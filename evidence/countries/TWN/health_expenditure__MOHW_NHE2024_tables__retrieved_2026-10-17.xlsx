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0 惠芬\工作5. NHE\0.歷年編算資料\113年\10.完成檔\05_上網\"/>
    </mc:Choice>
  </mc:AlternateContent>
  <xr:revisionPtr revIDLastSave="0" documentId="13_ncr:1_{4A92F121-E481-468B-87C2-E179E1BC10DD}" xr6:coauthVersionLast="47" xr6:coauthVersionMax="47" xr10:uidLastSave="{00000000-0000-0000-0000-000000000000}"/>
  <bookViews>
    <workbookView xWindow="765" yWindow="765" windowWidth="26235" windowHeight="13725" tabRatio="641" xr2:uid="{00000000-000D-0000-FFFF-FFFF00000000}"/>
  </bookViews>
  <sheets>
    <sheet name="目錄" sheetId="280" r:id="rId1"/>
    <sheet name="表1" sheetId="294" r:id="rId2"/>
    <sheet name="表2-80-84" sheetId="291" r:id="rId3"/>
    <sheet name="表2-85-104" sheetId="292" r:id="rId4"/>
    <sheet name="表2-105-113" sheetId="293" r:id="rId5"/>
    <sheet name="表3-103-105" sheetId="320" r:id="rId6"/>
    <sheet name="表3-106-111" sheetId="321" r:id="rId7"/>
    <sheet name="表3-112-113" sheetId="336" r:id="rId8"/>
    <sheet name="4-103" sheetId="331" r:id="rId9"/>
    <sheet name="4-104" sheetId="330" r:id="rId10"/>
    <sheet name="4-105" sheetId="329" r:id="rId11"/>
    <sheet name="4-106" sheetId="328" r:id="rId12"/>
    <sheet name="4-107" sheetId="327" r:id="rId13"/>
    <sheet name="4-108" sheetId="326" r:id="rId14"/>
    <sheet name="4-109" sheetId="325" r:id="rId15"/>
    <sheet name="4-110" sheetId="324" r:id="rId16"/>
    <sheet name="4-111" sheetId="323" r:id="rId17"/>
    <sheet name="4-112" sheetId="337" r:id="rId18"/>
    <sheet name="4-113" sheetId="346" r:id="rId19"/>
    <sheet name="表5(102-107)" sheetId="338" r:id="rId20"/>
    <sheet name="表5 (108-113)" sheetId="339" r:id="rId21"/>
    <sheet name="表6(102-107)" sheetId="340" r:id="rId22"/>
    <sheet name="表6 (108-113)" sheetId="341" r:id="rId23"/>
    <sheet name="表7(102-107)" sheetId="342" r:id="rId24"/>
    <sheet name="表7 (108-113)" sheetId="343" r:id="rId25"/>
    <sheet name="表8(102-105)" sheetId="347" r:id="rId26"/>
    <sheet name="表8(106-109)" sheetId="351" r:id="rId27"/>
    <sheet name="表8(110-113) " sheetId="352" r:id="rId28"/>
    <sheet name="表9(102-105)" sheetId="348" r:id="rId29"/>
    <sheet name="表9(106-109) " sheetId="353" r:id="rId30"/>
    <sheet name="表9(110-113)" sheetId="354" r:id="rId31"/>
    <sheet name="表10(102-105)" sheetId="349" r:id="rId32"/>
    <sheet name="表10(106-109)" sheetId="355" r:id="rId33"/>
    <sheet name="表10(110-113) " sheetId="356" r:id="rId34"/>
    <sheet name="表11" sheetId="314" r:id="rId35"/>
    <sheet name="表12" sheetId="315" r:id="rId36"/>
  </sheets>
  <definedNames>
    <definedName name="_xlnm.Print_Area" localSheetId="8">'4-103'!$A$1:$P$49</definedName>
    <definedName name="_xlnm.Print_Area" localSheetId="9">'4-104'!$A$1:$P$49</definedName>
    <definedName name="_xlnm.Print_Area" localSheetId="10">'4-105'!$A$1:$P$49</definedName>
    <definedName name="_xlnm.Print_Area" localSheetId="11">'4-106'!$A$1:$P$49</definedName>
    <definedName name="_xlnm.Print_Area" localSheetId="12">'4-107'!$A$1:$P$49</definedName>
    <definedName name="_xlnm.Print_Area" localSheetId="13">'4-108'!$A$1:$P$49</definedName>
    <definedName name="_xlnm.Print_Area" localSheetId="14">'4-109'!$A$1:$P$49</definedName>
    <definedName name="_xlnm.Print_Area" localSheetId="15">'4-110'!$A$1:$P$49</definedName>
    <definedName name="_xlnm.Print_Area" localSheetId="16">'4-111'!$A$1:$P$49</definedName>
    <definedName name="_xlnm.Print_Area" localSheetId="17">'4-112'!$A$1:$P$49</definedName>
    <definedName name="_xlnm.Print_Area" localSheetId="18">'4-113'!$A$1:$P$49</definedName>
    <definedName name="_xlnm.Print_Area" localSheetId="0">目錄!$A$1:$C$16</definedName>
    <definedName name="_xlnm.Print_Area" localSheetId="1">表1!$A$1:$U$51</definedName>
    <definedName name="_xlnm.Print_Area" localSheetId="31">'表10(102-105)'!$A$1:$S$50</definedName>
    <definedName name="_xlnm.Print_Area" localSheetId="32">'表10(106-109)'!$A$1:$S$50</definedName>
    <definedName name="_xlnm.Print_Area" localSheetId="33">'表10(110-113) '!$A$1:$S$50</definedName>
    <definedName name="_xlnm.Print_Area" localSheetId="34">表11!$A$1:$N$51</definedName>
    <definedName name="_xlnm.Print_Area" localSheetId="35">表12!$A$1:$N$51</definedName>
    <definedName name="_xlnm.Print_Area" localSheetId="4">'表2-105-113'!$A$1:$AI$49</definedName>
    <definedName name="_xlnm.Print_Area" localSheetId="2">'表2-80-84'!$A$1:$R$60</definedName>
    <definedName name="_xlnm.Print_Area" localSheetId="3">'表2-85-104'!$A$1:$BX$49</definedName>
    <definedName name="_xlnm.Print_Area" localSheetId="5">'表3-103-105'!$A$1:$Q$44</definedName>
    <definedName name="_xlnm.Print_Area" localSheetId="6">'表3-106-111'!$A$1:$AH$43</definedName>
    <definedName name="_xlnm.Print_Area" localSheetId="7">'表3-112-113'!$A$1:$P$43</definedName>
    <definedName name="_xlnm.Print_Area" localSheetId="20">'表5 (108-113)'!$A$1:$U$49</definedName>
    <definedName name="_xlnm.Print_Area" localSheetId="19">'表5(102-107)'!$A$1:$U$49</definedName>
    <definedName name="_xlnm.Print_Area" localSheetId="22">'表6 (108-113)'!$A$1:$U$48</definedName>
    <definedName name="_xlnm.Print_Area" localSheetId="21">'表6(102-107)'!$A$1:$U$48</definedName>
    <definedName name="_xlnm.Print_Area" localSheetId="24">'表7 (108-113)'!$A$1:$U$49</definedName>
    <definedName name="_xlnm.Print_Area" localSheetId="23">'表7(102-107)'!$A$1:$U$49</definedName>
    <definedName name="_xlnm.Print_Area" localSheetId="25">'表8(102-105)'!$A$1:$W$51</definedName>
    <definedName name="_xlnm.Print_Area" localSheetId="26">'表8(106-109)'!$A$1:$W$51</definedName>
    <definedName name="_xlnm.Print_Area" localSheetId="27">'表8(110-113) '!$A$1:$W$51</definedName>
    <definedName name="_xlnm.Print_Area" localSheetId="28">'表9(102-105)'!$A$1:$W$50</definedName>
    <definedName name="_xlnm.Print_Area" localSheetId="29">'表9(106-109) '!$A$1:$W$50</definedName>
    <definedName name="_xlnm.Print_Area" localSheetId="30">'表9(110-113)'!$A$1:$W$50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14" l="1"/>
  <c r="L48" i="356" l="1"/>
  <c r="K40" i="356" l="1"/>
  <c r="B40" i="349"/>
  <c r="F40" i="349" l="1"/>
  <c r="P48" i="349" l="1"/>
  <c r="L48" i="349"/>
  <c r="C48" i="349"/>
  <c r="G48" i="349"/>
  <c r="G48" i="356" l="1"/>
  <c r="C48" i="356"/>
  <c r="P48" i="355"/>
  <c r="L48" i="355"/>
  <c r="G48" i="355"/>
  <c r="C48" i="355"/>
</calcChain>
</file>

<file path=xl/sharedStrings.xml><?xml version="1.0" encoding="utf-8"?>
<sst xmlns="http://schemas.openxmlformats.org/spreadsheetml/2006/main" count="6594" uniqueCount="690">
  <si>
    <t xml:space="preserve">         Other</t>
    <phoneticPr fontId="16" type="noConversion"/>
  </si>
  <si>
    <t xml:space="preserve">         Charges for medicine</t>
    <phoneticPr fontId="16" type="noConversion"/>
  </si>
  <si>
    <t>診所</t>
    <phoneticPr fontId="17" type="noConversion"/>
  </si>
  <si>
    <t xml:space="preserve">       Gov't Employees' Insurance and its Related</t>
  </si>
  <si>
    <t>Public Medical Institution</t>
    <phoneticPr fontId="17" type="noConversion"/>
  </si>
  <si>
    <t>Insurance Sector</t>
  </si>
  <si>
    <t xml:space="preserve">   Inpatient</t>
    <phoneticPr fontId="16" type="noConversion"/>
  </si>
  <si>
    <t>門診</t>
    <phoneticPr fontId="17" type="noConversion"/>
  </si>
  <si>
    <t xml:space="preserve">   Outpatient</t>
    <phoneticPr fontId="16" type="noConversion"/>
  </si>
  <si>
    <t>西醫</t>
    <phoneticPr fontId="17" type="noConversion"/>
  </si>
  <si>
    <t>牙醫</t>
    <phoneticPr fontId="17" type="noConversion"/>
  </si>
  <si>
    <t>金 額</t>
  </si>
  <si>
    <t>醫院</t>
    <phoneticPr fontId="17" type="noConversion"/>
  </si>
  <si>
    <t>住院</t>
    <phoneticPr fontId="17" type="noConversion"/>
  </si>
  <si>
    <t>Total</t>
  </si>
  <si>
    <t>Ministry of the Interior</t>
    <phoneticPr fontId="16" type="noConversion"/>
  </si>
  <si>
    <t>Xenopayment of national health insurance</t>
    <phoneticPr fontId="17" type="noConversion"/>
  </si>
  <si>
    <t>Ministry of Foreign Affairs</t>
    <phoneticPr fontId="17" type="noConversion"/>
  </si>
  <si>
    <t>Council of Indigenous Peoples</t>
    <phoneticPr fontId="17" type="noConversion"/>
  </si>
  <si>
    <t>中醫</t>
    <phoneticPr fontId="17" type="noConversion"/>
  </si>
  <si>
    <t>Total</t>
    <phoneticPr fontId="16" type="noConversion"/>
  </si>
  <si>
    <t>%</t>
    <phoneticPr fontId="17" type="noConversion"/>
  </si>
  <si>
    <t>Public Sector</t>
    <phoneticPr fontId="16" type="noConversion"/>
  </si>
  <si>
    <r>
      <t>公部門</t>
    </r>
    <r>
      <rPr>
        <sz val="12"/>
        <rFont val="Times New Roman"/>
        <family val="1"/>
      </rPr>
      <t xml:space="preserve"> Public Sector</t>
    </r>
    <phoneticPr fontId="17" type="noConversion"/>
  </si>
  <si>
    <r>
      <t>私部門</t>
    </r>
    <r>
      <rPr>
        <sz val="12"/>
        <rFont val="Times New Roman"/>
        <family val="1"/>
      </rPr>
      <t xml:space="preserve"> Private Sector</t>
    </r>
    <phoneticPr fontId="16" type="noConversion"/>
  </si>
  <si>
    <r>
      <t>合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計</t>
    </r>
    <phoneticPr fontId="17" type="noConversion"/>
  </si>
  <si>
    <t xml:space="preserve">   Chinese Medicine</t>
    <phoneticPr fontId="16" type="noConversion"/>
  </si>
  <si>
    <t xml:space="preserve">   Western Medicine</t>
    <phoneticPr fontId="16" type="noConversion"/>
  </si>
  <si>
    <t>精神及專科機構</t>
    <phoneticPr fontId="16" type="noConversion"/>
  </si>
  <si>
    <t>慢性病及長期照護機構</t>
    <phoneticPr fontId="16" type="noConversion"/>
  </si>
  <si>
    <t>民俗醫療機構</t>
    <phoneticPr fontId="16" type="noConversion"/>
  </si>
  <si>
    <t>其他</t>
    <phoneticPr fontId="16" type="noConversion"/>
  </si>
  <si>
    <t xml:space="preserve">Atomic Energy Council </t>
  </si>
  <si>
    <t>Private Sector</t>
    <phoneticPr fontId="16" type="noConversion"/>
  </si>
  <si>
    <t>全民健保境外給付</t>
    <phoneticPr fontId="17" type="noConversion"/>
  </si>
  <si>
    <t>西藥</t>
    <phoneticPr fontId="17" type="noConversion"/>
  </si>
  <si>
    <t>中藥</t>
    <phoneticPr fontId="17" type="noConversion"/>
  </si>
  <si>
    <t>醫療保健用品</t>
    <phoneticPr fontId="17" type="noConversion"/>
  </si>
  <si>
    <t>醫療用具設備及器材</t>
    <phoneticPr fontId="17" type="noConversion"/>
  </si>
  <si>
    <t>Medical equipment and instrument</t>
    <phoneticPr fontId="16" type="noConversion"/>
  </si>
  <si>
    <t>Capital formation</t>
  </si>
  <si>
    <t>Ministry of Economic Affairs</t>
    <phoneticPr fontId="17" type="noConversion"/>
  </si>
  <si>
    <t>Ministry of Justice</t>
  </si>
  <si>
    <t>Academia Sinica</t>
  </si>
  <si>
    <t>總            計</t>
    <phoneticPr fontId="17" type="noConversion"/>
  </si>
  <si>
    <t>Coast Guard Administration</t>
    <phoneticPr fontId="17" type="noConversion"/>
  </si>
  <si>
    <r>
      <t>單位</t>
    </r>
    <r>
      <rPr>
        <sz val="10"/>
        <rFont val="Times New Roman"/>
        <family val="1"/>
      </rPr>
      <t>:</t>
    </r>
    <r>
      <rPr>
        <sz val="10"/>
        <rFont val="標楷體"/>
        <family val="4"/>
        <charset val="136"/>
      </rPr>
      <t>新臺幣百萬元、</t>
    </r>
    <r>
      <rPr>
        <sz val="10"/>
        <rFont val="Times New Roman"/>
        <family val="1"/>
      </rPr>
      <t>%</t>
    </r>
    <phoneticPr fontId="17" type="noConversion"/>
  </si>
  <si>
    <r>
      <t>總</t>
    </r>
    <r>
      <rPr>
        <sz val="12"/>
        <rFont val="Times New Roman"/>
        <family val="1"/>
      </rPr>
      <t xml:space="preserve">    </t>
    </r>
    <r>
      <rPr>
        <sz val="12"/>
        <rFont val="標楷體"/>
        <family val="4"/>
        <charset val="136"/>
      </rPr>
      <t>計</t>
    </r>
    <phoneticPr fontId="17" type="noConversion"/>
  </si>
  <si>
    <t xml:space="preserve"> </t>
    <phoneticPr fontId="16" type="noConversion"/>
  </si>
  <si>
    <t xml:space="preserve">       Labor Insurance</t>
  </si>
  <si>
    <t xml:space="preserve">       Farmers Health Insurance</t>
  </si>
  <si>
    <t>百分比</t>
  </si>
  <si>
    <t xml:space="preserve">       Councilmen Health Insurance</t>
  </si>
  <si>
    <t xml:space="preserve">       Low Income Household Health Insurance</t>
  </si>
  <si>
    <t xml:space="preserve">     Administration Fee</t>
  </si>
  <si>
    <t>…</t>
  </si>
  <si>
    <t>Amount</t>
  </si>
  <si>
    <t>...</t>
  </si>
  <si>
    <t>Taipei City Government</t>
    <phoneticPr fontId="17" type="noConversion"/>
  </si>
  <si>
    <t>Kaohsiung City Government</t>
    <phoneticPr fontId="17" type="noConversion"/>
  </si>
  <si>
    <t>New Taipei City Government</t>
    <phoneticPr fontId="17" type="noConversion"/>
  </si>
  <si>
    <t>Taichung City Government</t>
    <phoneticPr fontId="17" type="noConversion"/>
  </si>
  <si>
    <t>Tainan City Government</t>
    <phoneticPr fontId="17" type="noConversion"/>
  </si>
  <si>
    <t>Ministry of Education</t>
    <phoneticPr fontId="17" type="noConversion"/>
  </si>
  <si>
    <t>Taoyuan City Government</t>
    <phoneticPr fontId="17" type="noConversion"/>
  </si>
  <si>
    <t>Ministry of Health and Welfare &amp; it's subordinate organization</t>
    <phoneticPr fontId="17" type="noConversion"/>
  </si>
  <si>
    <t>Ministry of Labor</t>
  </si>
  <si>
    <t>Ministry of Science and Technology</t>
  </si>
  <si>
    <t>Unit : Million NT$</t>
    <phoneticPr fontId="16" type="noConversion"/>
  </si>
  <si>
    <t>Private Administrative Fee of Health Insurance</t>
    <phoneticPr fontId="17" type="noConversion"/>
  </si>
  <si>
    <t>Annual 
Growth Rate</t>
    <phoneticPr fontId="17" type="noConversion"/>
  </si>
  <si>
    <t>Households</t>
    <phoneticPr fontId="16" type="noConversion"/>
  </si>
  <si>
    <t>百分比</t>
    <phoneticPr fontId="17" type="noConversion"/>
  </si>
  <si>
    <t>Capital Account</t>
    <phoneticPr fontId="16" type="noConversion"/>
  </si>
  <si>
    <t>%</t>
    <phoneticPr fontId="16" type="noConversion"/>
  </si>
  <si>
    <t>年增率</t>
    <phoneticPr fontId="17" type="noConversion"/>
  </si>
  <si>
    <t>Annual Growth Rate</t>
  </si>
  <si>
    <r>
      <rPr>
        <sz val="12"/>
        <rFont val="Times New Roman"/>
        <family val="1"/>
      </rPr>
      <t>103</t>
    </r>
    <r>
      <rPr>
        <sz val="12"/>
        <rFont val="標楷體"/>
        <family val="4"/>
        <charset val="136"/>
      </rPr>
      <t>年</t>
    </r>
    <phoneticPr fontId="17" type="noConversion"/>
  </si>
  <si>
    <t>Ministry of National Defense</t>
    <phoneticPr fontId="17" type="noConversion"/>
  </si>
  <si>
    <t>Veterans Affairs Council</t>
    <phoneticPr fontId="17" type="noConversion"/>
  </si>
  <si>
    <r>
      <rPr>
        <sz val="12"/>
        <rFont val="標楷體"/>
        <family val="4"/>
        <charset val="136"/>
      </rPr>
      <t>總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計</t>
    </r>
    <phoneticPr fontId="17" type="noConversion"/>
  </si>
  <si>
    <r>
      <rPr>
        <sz val="12"/>
        <rFont val="標楷體"/>
        <family val="4"/>
        <charset val="136"/>
      </rPr>
      <t>中央研究院</t>
    </r>
  </si>
  <si>
    <r>
      <rPr>
        <b/>
        <sz val="12"/>
        <rFont val="標楷體"/>
        <family val="4"/>
        <charset val="136"/>
      </rPr>
      <t>私部門</t>
    </r>
  </si>
  <si>
    <r>
      <rPr>
        <sz val="12"/>
        <rFont val="標楷體"/>
        <family val="4"/>
        <charset val="136"/>
      </rPr>
      <t>百分比</t>
    </r>
    <phoneticPr fontId="17" type="noConversion"/>
  </si>
  <si>
    <r>
      <rPr>
        <b/>
        <sz val="12"/>
        <rFont val="標楷體"/>
        <family val="4"/>
        <charset val="136"/>
      </rPr>
      <t>公部門</t>
    </r>
    <phoneticPr fontId="16" type="noConversion"/>
  </si>
  <si>
    <t xml:space="preserve">   Dental Medicine</t>
    <phoneticPr fontId="16" type="noConversion"/>
  </si>
  <si>
    <t>醫藥及保健用品支出</t>
    <phoneticPr fontId="17" type="noConversion"/>
  </si>
  <si>
    <t>Hospitals</t>
    <phoneticPr fontId="16" type="noConversion"/>
  </si>
  <si>
    <t>Clinics</t>
    <phoneticPr fontId="16" type="noConversion"/>
  </si>
  <si>
    <t xml:space="preserve">   Psychiatric &amp; Special institutions</t>
    <phoneticPr fontId="16" type="noConversion"/>
  </si>
  <si>
    <t xml:space="preserve">   Chronic &amp; long-term nursing institutions</t>
    <phoneticPr fontId="16" type="noConversion"/>
  </si>
  <si>
    <t xml:space="preserve">   Traditional medical institutions</t>
    <phoneticPr fontId="16" type="noConversion"/>
  </si>
  <si>
    <t xml:space="preserve">   Other</t>
    <phoneticPr fontId="16" type="noConversion"/>
  </si>
  <si>
    <t>Expenditure of medical article and healthy goods</t>
    <phoneticPr fontId="16" type="noConversion"/>
  </si>
  <si>
    <t xml:space="preserve">   Health care appliance and healthy goods</t>
    <phoneticPr fontId="16" type="noConversion"/>
  </si>
  <si>
    <t>Private Administrative Fee 
of Health Insurance</t>
    <phoneticPr fontId="17" type="noConversion"/>
  </si>
  <si>
    <t>附註：1.依最新國民所得統計進行編算修正。</t>
    <phoneticPr fontId="16" type="noConversion"/>
  </si>
  <si>
    <t>Other Central Government</t>
    <phoneticPr fontId="17" type="noConversion"/>
  </si>
  <si>
    <t xml:space="preserve">16 County/City Government </t>
    <phoneticPr fontId="17" type="noConversion"/>
  </si>
  <si>
    <r>
      <rPr>
        <sz val="12"/>
        <rFont val="Times New Roman"/>
        <family val="1"/>
      </rPr>
      <t>104</t>
    </r>
    <r>
      <rPr>
        <sz val="12"/>
        <rFont val="標楷體"/>
        <family val="4"/>
        <charset val="136"/>
      </rPr>
      <t>年</t>
    </r>
    <phoneticPr fontId="17" type="noConversion"/>
  </si>
  <si>
    <t>其他中央政府</t>
    <phoneticPr fontId="17" type="noConversion"/>
  </si>
  <si>
    <r>
      <t xml:space="preserve">Unit : Million NT$, </t>
    </r>
    <r>
      <rPr>
        <strike/>
        <sz val="10"/>
        <rFont val="Times New Roman"/>
        <family val="1"/>
      </rPr>
      <t>%</t>
    </r>
    <phoneticPr fontId="16" type="noConversion"/>
  </si>
  <si>
    <r>
      <rPr>
        <sz val="12"/>
        <rFont val="標楷體"/>
        <family val="4"/>
        <charset val="136"/>
      </rPr>
      <t>內政部</t>
    </r>
    <phoneticPr fontId="16" type="noConversion"/>
  </si>
  <si>
    <r>
      <rPr>
        <sz val="10"/>
        <rFont val="標楷體"/>
        <family val="4"/>
        <charset val="136"/>
      </rPr>
      <t>單位</t>
    </r>
    <r>
      <rPr>
        <sz val="10"/>
        <rFont val="Times New Roman"/>
        <family val="1"/>
      </rPr>
      <t>:</t>
    </r>
    <r>
      <rPr>
        <sz val="10"/>
        <rFont val="標楷體"/>
        <family val="4"/>
        <charset val="136"/>
      </rPr>
      <t>新臺幣百萬元</t>
    </r>
    <phoneticPr fontId="17" type="noConversion"/>
  </si>
  <si>
    <r>
      <t xml:space="preserve">    </t>
    </r>
    <r>
      <rPr>
        <sz val="12"/>
        <rFont val="標楷體"/>
        <family val="4"/>
        <charset val="136"/>
      </rPr>
      <t xml:space="preserve">   百分比</t>
    </r>
    <phoneticPr fontId="17" type="noConversion"/>
  </si>
  <si>
    <r>
      <t xml:space="preserve">    </t>
    </r>
    <r>
      <rPr>
        <sz val="10"/>
        <rFont val="標楷體"/>
        <family val="4"/>
        <charset val="136"/>
      </rPr>
      <t>藥費</t>
    </r>
    <phoneticPr fontId="17" type="noConversion"/>
  </si>
  <si>
    <r>
      <t xml:space="preserve">    </t>
    </r>
    <r>
      <rPr>
        <sz val="10"/>
        <rFont val="標楷體"/>
        <family val="4"/>
        <charset val="136"/>
      </rPr>
      <t>其他</t>
    </r>
    <phoneticPr fontId="17" type="noConversion"/>
  </si>
  <si>
    <t>企業及民間非營利團體</t>
    <phoneticPr fontId="17" type="noConversion"/>
  </si>
  <si>
    <r>
      <t>80</t>
    </r>
    <r>
      <rPr>
        <sz val="12"/>
        <rFont val="標楷體"/>
        <family val="4"/>
        <charset val="136"/>
      </rPr>
      <t>年</t>
    </r>
    <phoneticPr fontId="16" type="noConversion"/>
  </si>
  <si>
    <r>
      <t>82</t>
    </r>
    <r>
      <rPr>
        <sz val="12"/>
        <rFont val="標楷體"/>
        <family val="4"/>
        <charset val="136"/>
      </rPr>
      <t>年</t>
    </r>
    <phoneticPr fontId="16" type="noConversion"/>
  </si>
  <si>
    <r>
      <t>84</t>
    </r>
    <r>
      <rPr>
        <sz val="12"/>
        <rFont val="標楷體"/>
        <family val="4"/>
        <charset val="136"/>
      </rPr>
      <t>年</t>
    </r>
    <phoneticPr fontId="17" type="noConversion"/>
  </si>
  <si>
    <r>
      <rPr>
        <sz val="12"/>
        <rFont val="Times New Roman"/>
        <family val="1"/>
      </rPr>
      <t>105</t>
    </r>
    <r>
      <rPr>
        <sz val="12"/>
        <rFont val="標楷體"/>
        <family val="4"/>
        <charset val="136"/>
      </rPr>
      <t>年</t>
    </r>
    <phoneticPr fontId="17" type="noConversion"/>
  </si>
  <si>
    <t>Enterprise and Private non-profit institution</t>
    <phoneticPr fontId="16" type="noConversion"/>
  </si>
  <si>
    <t>私人醫療保險行政
管理費</t>
    <phoneticPr fontId="17" type="noConversion"/>
  </si>
  <si>
    <t>Enterprise and Private non-profit institution</t>
    <phoneticPr fontId="17" type="noConversion"/>
  </si>
  <si>
    <t>Table 2   Statistics of  National Health Expenditure (Cont. 4)</t>
    <phoneticPr fontId="17" type="noConversion"/>
  </si>
  <si>
    <r>
      <t>資金運用單位</t>
    </r>
    <r>
      <rPr>
        <sz val="12"/>
        <rFont val="Times New Roman"/>
        <family val="1"/>
      </rPr>
      <t xml:space="preserve"> Financial Agents</t>
    </r>
    <phoneticPr fontId="16" type="noConversion"/>
  </si>
  <si>
    <r>
      <rPr>
        <sz val="12"/>
        <rFont val="標楷體"/>
        <family val="4"/>
        <charset val="136"/>
      </rPr>
      <t>國防部</t>
    </r>
    <r>
      <rPr>
        <sz val="12"/>
        <rFont val="Times New Roman"/>
        <family val="1"/>
      </rPr>
      <t xml:space="preserve"> </t>
    </r>
    <phoneticPr fontId="16" type="noConversion"/>
  </si>
  <si>
    <r>
      <rPr>
        <sz val="12"/>
        <rFont val="標楷體"/>
        <family val="4"/>
        <charset val="136"/>
      </rPr>
      <t>法務部</t>
    </r>
    <r>
      <rPr>
        <sz val="12"/>
        <rFont val="Times New Roman"/>
        <family val="1"/>
      </rPr>
      <t xml:space="preserve"> </t>
    </r>
    <phoneticPr fontId="16" type="noConversion"/>
  </si>
  <si>
    <r>
      <rPr>
        <sz val="12"/>
        <rFont val="標楷體"/>
        <family val="4"/>
        <charset val="136"/>
      </rPr>
      <t>衛生福利部及所屬</t>
    </r>
    <r>
      <rPr>
        <sz val="12"/>
        <rFont val="Times New Roman"/>
        <family val="1"/>
      </rPr>
      <t xml:space="preserve"> </t>
    </r>
    <phoneticPr fontId="17" type="noConversion"/>
  </si>
  <si>
    <r>
      <rPr>
        <sz val="12"/>
        <rFont val="標楷體"/>
        <family val="4"/>
        <charset val="136"/>
      </rPr>
      <t>勞動部</t>
    </r>
  </si>
  <si>
    <r>
      <rPr>
        <sz val="12"/>
        <rFont val="標楷體"/>
        <family val="4"/>
        <charset val="136"/>
      </rPr>
      <t>科技部</t>
    </r>
  </si>
  <si>
    <r>
      <rPr>
        <sz val="12"/>
        <rFont val="標楷體"/>
        <family val="4"/>
        <charset val="136"/>
      </rPr>
      <t>教育部</t>
    </r>
    <phoneticPr fontId="17" type="noConversion"/>
  </si>
  <si>
    <r>
      <rPr>
        <sz val="12"/>
        <rFont val="標楷體"/>
        <family val="4"/>
        <charset val="136"/>
      </rPr>
      <t>外交部</t>
    </r>
    <phoneticPr fontId="17" type="noConversion"/>
  </si>
  <si>
    <r>
      <rPr>
        <sz val="12"/>
        <rFont val="標楷體"/>
        <family val="4"/>
        <charset val="136"/>
      </rPr>
      <t>經濟部</t>
    </r>
    <phoneticPr fontId="17" type="noConversion"/>
  </si>
  <si>
    <r>
      <rPr>
        <sz val="12"/>
        <rFont val="標楷體"/>
        <family val="4"/>
        <charset val="136"/>
      </rPr>
      <t>新北市政府</t>
    </r>
    <phoneticPr fontId="16" type="noConversion"/>
  </si>
  <si>
    <r>
      <rPr>
        <sz val="12"/>
        <rFont val="標楷體"/>
        <family val="4"/>
        <charset val="136"/>
      </rPr>
      <t>臺北市政府</t>
    </r>
    <phoneticPr fontId="16" type="noConversion"/>
  </si>
  <si>
    <r>
      <rPr>
        <sz val="12"/>
        <rFont val="標楷體"/>
        <family val="4"/>
        <charset val="136"/>
      </rPr>
      <t>桃園市政府</t>
    </r>
    <phoneticPr fontId="17" type="noConversion"/>
  </si>
  <si>
    <r>
      <rPr>
        <sz val="12"/>
        <rFont val="標楷體"/>
        <family val="4"/>
        <charset val="136"/>
      </rPr>
      <t>臺中市政府</t>
    </r>
    <phoneticPr fontId="16" type="noConversion"/>
  </si>
  <si>
    <r>
      <rPr>
        <sz val="12"/>
        <rFont val="標楷體"/>
        <family val="4"/>
        <charset val="136"/>
      </rPr>
      <t>臺南市政府</t>
    </r>
    <phoneticPr fontId="16" type="noConversion"/>
  </si>
  <si>
    <r>
      <rPr>
        <sz val="12"/>
        <rFont val="標楷體"/>
        <family val="4"/>
        <charset val="136"/>
      </rPr>
      <t>高雄市政府</t>
    </r>
    <phoneticPr fontId="16" type="noConversion"/>
  </si>
  <si>
    <r>
      <t>16</t>
    </r>
    <r>
      <rPr>
        <sz val="12"/>
        <rFont val="標楷體"/>
        <family val="4"/>
        <charset val="136"/>
      </rPr>
      <t>縣市政府</t>
    </r>
    <phoneticPr fontId="16" type="noConversion"/>
  </si>
  <si>
    <r>
      <rPr>
        <sz val="10"/>
        <rFont val="標楷體"/>
        <family val="4"/>
        <charset val="136"/>
      </rPr>
      <t>單位：百萬美元</t>
    </r>
    <phoneticPr fontId="16" type="noConversion"/>
  </si>
  <si>
    <t>Unit : Million US$</t>
    <phoneticPr fontId="17" type="noConversion"/>
  </si>
  <si>
    <r>
      <t>102</t>
    </r>
    <r>
      <rPr>
        <sz val="10"/>
        <rFont val="標楷體"/>
        <family val="4"/>
        <charset val="136"/>
      </rPr>
      <t>年</t>
    </r>
  </si>
  <si>
    <r>
      <t>103</t>
    </r>
    <r>
      <rPr>
        <sz val="10"/>
        <rFont val="標楷體"/>
        <family val="4"/>
        <charset val="136"/>
      </rPr>
      <t>年</t>
    </r>
  </si>
  <si>
    <t>中華民國</t>
    <phoneticPr fontId="17" type="noConversion"/>
  </si>
  <si>
    <t>R.O.C.</t>
    <phoneticPr fontId="17" type="noConversion"/>
  </si>
  <si>
    <t>澳大利亞</t>
    <phoneticPr fontId="16" type="noConversion"/>
  </si>
  <si>
    <t>Australia</t>
  </si>
  <si>
    <t>奧地利</t>
    <phoneticPr fontId="16" type="noConversion"/>
  </si>
  <si>
    <t>Austria</t>
  </si>
  <si>
    <t>比利時</t>
    <phoneticPr fontId="16" type="noConversion"/>
  </si>
  <si>
    <t>Belgium</t>
  </si>
  <si>
    <t>加拿大</t>
    <phoneticPr fontId="16" type="noConversion"/>
  </si>
  <si>
    <t>Canada</t>
  </si>
  <si>
    <t>智利</t>
    <phoneticPr fontId="17" type="noConversion"/>
  </si>
  <si>
    <t>Chile</t>
  </si>
  <si>
    <t>捷克</t>
    <phoneticPr fontId="16" type="noConversion"/>
  </si>
  <si>
    <t>Czech Republic</t>
  </si>
  <si>
    <t>丹麥</t>
    <phoneticPr fontId="16" type="noConversion"/>
  </si>
  <si>
    <t>Denmark</t>
  </si>
  <si>
    <t>愛沙尼亞</t>
    <phoneticPr fontId="17" type="noConversion"/>
  </si>
  <si>
    <t>Estonia</t>
  </si>
  <si>
    <t>芬蘭</t>
    <phoneticPr fontId="16" type="noConversion"/>
  </si>
  <si>
    <t>Finland</t>
  </si>
  <si>
    <t>法國</t>
    <phoneticPr fontId="16" type="noConversion"/>
  </si>
  <si>
    <t>France</t>
  </si>
  <si>
    <t>德國</t>
    <phoneticPr fontId="16" type="noConversion"/>
  </si>
  <si>
    <t>Germany</t>
  </si>
  <si>
    <t>希臘</t>
    <phoneticPr fontId="16" type="noConversion"/>
  </si>
  <si>
    <t>Greece</t>
  </si>
  <si>
    <t>匈牙利</t>
    <phoneticPr fontId="16" type="noConversion"/>
  </si>
  <si>
    <t>Hungary</t>
  </si>
  <si>
    <t>冰島</t>
    <phoneticPr fontId="16" type="noConversion"/>
  </si>
  <si>
    <t>Iceland</t>
  </si>
  <si>
    <t>愛爾蘭</t>
    <phoneticPr fontId="16" type="noConversion"/>
  </si>
  <si>
    <t>Ireland</t>
  </si>
  <si>
    <t>以色列</t>
    <phoneticPr fontId="17" type="noConversion"/>
  </si>
  <si>
    <t>Israel</t>
  </si>
  <si>
    <t>義大利</t>
    <phoneticPr fontId="16" type="noConversion"/>
  </si>
  <si>
    <t>Italy</t>
  </si>
  <si>
    <t>日本</t>
    <phoneticPr fontId="16" type="noConversion"/>
  </si>
  <si>
    <t>Japan</t>
  </si>
  <si>
    <t>南韓</t>
    <phoneticPr fontId="16" type="noConversion"/>
  </si>
  <si>
    <t>Korea</t>
  </si>
  <si>
    <t>拉脫維亞</t>
    <phoneticPr fontId="17" type="noConversion"/>
  </si>
  <si>
    <t>Latvia</t>
  </si>
  <si>
    <t>盧森堡</t>
    <phoneticPr fontId="16" type="noConversion"/>
  </si>
  <si>
    <t>Luxembourg</t>
  </si>
  <si>
    <t>墨西哥</t>
    <phoneticPr fontId="16" type="noConversion"/>
  </si>
  <si>
    <t>Mexico</t>
  </si>
  <si>
    <t>荷蘭</t>
    <phoneticPr fontId="16" type="noConversion"/>
  </si>
  <si>
    <t>Netherlands</t>
  </si>
  <si>
    <t>紐西蘭</t>
    <phoneticPr fontId="16" type="noConversion"/>
  </si>
  <si>
    <t>New Zealand</t>
  </si>
  <si>
    <t>挪威</t>
    <phoneticPr fontId="16" type="noConversion"/>
  </si>
  <si>
    <t>Norway</t>
  </si>
  <si>
    <t>波蘭</t>
    <phoneticPr fontId="16" type="noConversion"/>
  </si>
  <si>
    <t>Poland</t>
  </si>
  <si>
    <t>葡萄牙</t>
    <phoneticPr fontId="16" type="noConversion"/>
  </si>
  <si>
    <t>Portugal</t>
  </si>
  <si>
    <t>斯洛伐克</t>
    <phoneticPr fontId="17" type="noConversion"/>
  </si>
  <si>
    <t>Slovak Republic</t>
  </si>
  <si>
    <t>斯洛維尼亞</t>
    <phoneticPr fontId="17" type="noConversion"/>
  </si>
  <si>
    <t>Slovenia</t>
  </si>
  <si>
    <t>西班牙</t>
    <phoneticPr fontId="16" type="noConversion"/>
  </si>
  <si>
    <t>Spain</t>
  </si>
  <si>
    <t>瑞典</t>
    <phoneticPr fontId="16" type="noConversion"/>
  </si>
  <si>
    <t>Sweden</t>
  </si>
  <si>
    <t>瑞士</t>
    <phoneticPr fontId="16" type="noConversion"/>
  </si>
  <si>
    <t>Switzerland</t>
  </si>
  <si>
    <t>土耳其</t>
    <phoneticPr fontId="16" type="noConversion"/>
  </si>
  <si>
    <t>英國</t>
    <phoneticPr fontId="16" type="noConversion"/>
  </si>
  <si>
    <t>United Kingdom</t>
  </si>
  <si>
    <t>美國</t>
    <phoneticPr fontId="16" type="noConversion"/>
  </si>
  <si>
    <t>United States</t>
  </si>
  <si>
    <t>Note: Currency rate of Taiwan Dollar is from DGBAS.</t>
    <phoneticPr fontId="17" type="noConversion"/>
  </si>
  <si>
    <r>
      <rPr>
        <sz val="10"/>
        <rFont val="標楷體"/>
        <family val="4"/>
        <charset val="136"/>
      </rPr>
      <t>單位：</t>
    </r>
    <r>
      <rPr>
        <sz val="10"/>
        <rFont val="Times New Roman"/>
        <family val="1"/>
      </rPr>
      <t>%</t>
    </r>
    <phoneticPr fontId="16" type="noConversion"/>
  </si>
  <si>
    <t>Unit : %</t>
    <phoneticPr fontId="16" type="noConversion"/>
  </si>
  <si>
    <r>
      <t>105</t>
    </r>
    <r>
      <rPr>
        <sz val="10"/>
        <rFont val="標楷體"/>
        <family val="4"/>
        <charset val="136"/>
      </rPr>
      <t>年</t>
    </r>
  </si>
  <si>
    <t>附註：1.我國藥品消費支出參閱表1附註。</t>
    <phoneticPr fontId="17" type="noConversion"/>
  </si>
  <si>
    <r>
      <rPr>
        <b/>
        <sz val="36"/>
        <rFont val="標楷體"/>
        <family val="4"/>
        <charset val="136"/>
      </rPr>
      <t>目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4"/>
        <charset val="136"/>
      </rPr>
      <t>錄</t>
    </r>
    <phoneticPr fontId="17" type="noConversion"/>
  </si>
  <si>
    <t>凡例</t>
    <phoneticPr fontId="17" type="noConversion"/>
  </si>
  <si>
    <r>
      <t>貳</t>
    </r>
    <r>
      <rPr>
        <b/>
        <sz val="26"/>
        <rFont val="新細明體"/>
        <family val="1"/>
        <charset val="136"/>
      </rPr>
      <t>、</t>
    </r>
    <r>
      <rPr>
        <b/>
        <sz val="26"/>
        <rFont val="標楷體"/>
        <family val="4"/>
        <charset val="136"/>
      </rPr>
      <t>統計表</t>
    </r>
    <phoneticPr fontId="17" type="noConversion"/>
  </si>
  <si>
    <r>
      <rPr>
        <sz val="12"/>
        <rFont val="Times New Roman"/>
        <family val="1"/>
      </rPr>
      <t>106</t>
    </r>
    <r>
      <rPr>
        <sz val="12"/>
        <rFont val="標楷體"/>
        <family val="4"/>
        <charset val="136"/>
      </rPr>
      <t>年</t>
    </r>
    <phoneticPr fontId="17" type="noConversion"/>
  </si>
  <si>
    <t>Private Administrative Fee of Health Insurance</t>
    <phoneticPr fontId="16" type="noConversion"/>
  </si>
  <si>
    <t>總計</t>
    <phoneticPr fontId="16" type="noConversion"/>
  </si>
  <si>
    <t>Enterprise and Private Non-Profit Organization</t>
    <phoneticPr fontId="16" type="noConversion"/>
  </si>
  <si>
    <t>Table 2   Statistics of  National Health Expenditure</t>
    <phoneticPr fontId="17" type="noConversion"/>
  </si>
  <si>
    <t>Annual Growth Rate</t>
    <phoneticPr fontId="17" type="noConversion"/>
  </si>
  <si>
    <t>Enterprise and Private Non-Profit Organization</t>
    <phoneticPr fontId="16" type="noConversion"/>
  </si>
  <si>
    <t>Private Administrative Fee of Health Insurance</t>
    <phoneticPr fontId="17" type="noConversion"/>
  </si>
  <si>
    <t>資金運用單位</t>
    <phoneticPr fontId="17" type="noConversion"/>
  </si>
  <si>
    <t>Financial Agents</t>
    <phoneticPr fontId="17" type="noConversion"/>
  </si>
  <si>
    <t>Public Sector</t>
    <phoneticPr fontId="17" type="noConversion"/>
  </si>
  <si>
    <t>Central Government</t>
    <phoneticPr fontId="17" type="noConversion"/>
  </si>
  <si>
    <t>County/City Government</t>
    <phoneticPr fontId="17" type="noConversion"/>
  </si>
  <si>
    <t>Public Medical Institutions</t>
    <phoneticPr fontId="17" type="noConversion"/>
  </si>
  <si>
    <t xml:space="preserve">       National Health Insurance</t>
    <phoneticPr fontId="17" type="noConversion"/>
  </si>
  <si>
    <t>Private Sector</t>
    <phoneticPr fontId="17" type="noConversion"/>
  </si>
  <si>
    <t>Financial Allocation</t>
    <phoneticPr fontId="17" type="noConversion"/>
  </si>
  <si>
    <t>Personal Health Care</t>
    <phoneticPr fontId="17" type="noConversion"/>
  </si>
  <si>
    <t xml:space="preserve">                    traditional Chinese and herbal medicines, healthy foods, and other medical non-durable goods).</t>
    <phoneticPr fontId="17" type="noConversion"/>
  </si>
  <si>
    <t>Table 2   Statistics of  National Health Expenditure (Cont. 1)</t>
    <phoneticPr fontId="17" type="noConversion"/>
  </si>
  <si>
    <t>Table 2   Statistics of  National Health Expenditure (Cont. 2)</t>
    <phoneticPr fontId="17" type="noConversion"/>
  </si>
  <si>
    <t>Table 2   Statistics of  National Health Expenditure (Cont. 3)</t>
    <phoneticPr fontId="17" type="noConversion"/>
  </si>
  <si>
    <t>Annual 
Growth Rate</t>
    <phoneticPr fontId="17" type="noConversion"/>
  </si>
  <si>
    <t>Amount</t>
    <phoneticPr fontId="17" type="noConversion"/>
  </si>
  <si>
    <t>Public Medical Institution</t>
    <phoneticPr fontId="17" type="noConversion"/>
  </si>
  <si>
    <t xml:space="preserve">                  and its Related, Labor, Farmers, Councilmen and Low Income Household Health Insurance) excludes the related medical benefits,</t>
    <phoneticPr fontId="17" type="noConversion"/>
  </si>
  <si>
    <t xml:space="preserve">                  the table only keeps National Health Insurance .</t>
    <phoneticPr fontId="17" type="noConversion"/>
  </si>
  <si>
    <t xml:space="preserve">                  western, traditional Chinese and herbal medicines, healthy foods, and other medical non-durable goods).</t>
    <phoneticPr fontId="17" type="noConversion"/>
  </si>
  <si>
    <r>
      <rPr>
        <sz val="12"/>
        <rFont val="標楷體"/>
        <family val="4"/>
        <charset val="136"/>
      </rPr>
      <t>金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額</t>
    </r>
  </si>
  <si>
    <r>
      <rPr>
        <sz val="12"/>
        <rFont val="標楷體"/>
        <family val="4"/>
        <charset val="136"/>
      </rPr>
      <t>百分比</t>
    </r>
  </si>
  <si>
    <r>
      <rPr>
        <sz val="12"/>
        <rFont val="標楷體"/>
        <family val="4"/>
        <charset val="136"/>
      </rPr>
      <t>年增率</t>
    </r>
    <phoneticPr fontId="16" type="noConversion"/>
  </si>
  <si>
    <r>
      <rPr>
        <b/>
        <sz val="12"/>
        <rFont val="標楷體"/>
        <family val="4"/>
        <charset val="136"/>
      </rPr>
      <t>總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計</t>
    </r>
    <phoneticPr fontId="17" type="noConversion"/>
  </si>
  <si>
    <r>
      <rPr>
        <sz val="12"/>
        <rFont val="標楷體"/>
        <family val="4"/>
        <charset val="136"/>
      </rPr>
      <t>企業及民間非營利團體</t>
    </r>
    <phoneticPr fontId="17" type="noConversion"/>
  </si>
  <si>
    <r>
      <rPr>
        <sz val="12"/>
        <rFont val="標楷體"/>
        <family val="4"/>
        <charset val="136"/>
      </rPr>
      <t>私人醫療保險行政管理費</t>
    </r>
    <phoneticPr fontId="17" type="noConversion"/>
  </si>
  <si>
    <r>
      <rPr>
        <b/>
        <sz val="12"/>
        <rFont val="標楷體"/>
        <family val="4"/>
        <charset val="136"/>
      </rPr>
      <t>資金運用單位</t>
    </r>
    <phoneticPr fontId="17" type="noConversion"/>
  </si>
  <si>
    <r>
      <rPr>
        <sz val="12"/>
        <rFont val="標楷體"/>
        <family val="4"/>
        <charset val="136"/>
      </rPr>
      <t>公部門</t>
    </r>
    <phoneticPr fontId="17" type="noConversion"/>
  </si>
  <si>
    <r>
      <rPr>
        <sz val="12"/>
        <rFont val="標楷體"/>
        <family val="4"/>
        <charset val="136"/>
      </rPr>
      <t>中央政府</t>
    </r>
    <phoneticPr fontId="17" type="noConversion"/>
  </si>
  <si>
    <r>
      <rPr>
        <sz val="12"/>
        <rFont val="標楷體"/>
        <family val="4"/>
        <charset val="136"/>
      </rPr>
      <t>地方政府</t>
    </r>
    <phoneticPr fontId="17" type="noConversion"/>
  </si>
  <si>
    <r>
      <rPr>
        <sz val="12"/>
        <rFont val="標楷體"/>
        <family val="4"/>
        <charset val="136"/>
      </rPr>
      <t>公營醫療機構</t>
    </r>
    <phoneticPr fontId="17" type="noConversion"/>
  </si>
  <si>
    <r>
      <rPr>
        <sz val="12"/>
        <rFont val="標楷體"/>
        <family val="4"/>
        <charset val="136"/>
      </rPr>
      <t>保險部門</t>
    </r>
  </si>
  <si>
    <r>
      <t xml:space="preserve">   </t>
    </r>
    <r>
      <rPr>
        <sz val="12"/>
        <rFont val="標楷體"/>
        <family val="4"/>
        <charset val="136"/>
      </rPr>
      <t>全民健康保險</t>
    </r>
    <phoneticPr fontId="17" type="noConversion"/>
  </si>
  <si>
    <r>
      <t xml:space="preserve">   </t>
    </r>
    <r>
      <rPr>
        <sz val="12"/>
        <rFont val="標楷體"/>
        <family val="4"/>
        <charset val="136"/>
      </rPr>
      <t>公務人員及相關保險</t>
    </r>
    <phoneticPr fontId="17" type="noConversion"/>
  </si>
  <si>
    <r>
      <t xml:space="preserve">   </t>
    </r>
    <r>
      <rPr>
        <sz val="12"/>
        <rFont val="標楷體"/>
        <family val="4"/>
        <charset val="136"/>
      </rPr>
      <t>勞工保險</t>
    </r>
  </si>
  <si>
    <r>
      <t xml:space="preserve">   </t>
    </r>
    <r>
      <rPr>
        <sz val="12"/>
        <rFont val="標楷體"/>
        <family val="4"/>
        <charset val="136"/>
      </rPr>
      <t>農民保險</t>
    </r>
  </si>
  <si>
    <r>
      <t xml:space="preserve">   </t>
    </r>
    <r>
      <rPr>
        <sz val="12"/>
        <rFont val="標楷體"/>
        <family val="4"/>
        <charset val="136"/>
      </rPr>
      <t>民意代表保險</t>
    </r>
  </si>
  <si>
    <r>
      <t xml:space="preserve">   </t>
    </r>
    <r>
      <rPr>
        <sz val="12"/>
        <rFont val="標楷體"/>
        <family val="4"/>
        <charset val="136"/>
      </rPr>
      <t>低收入戶保險</t>
    </r>
  </si>
  <si>
    <r>
      <t xml:space="preserve">   </t>
    </r>
    <r>
      <rPr>
        <sz val="12"/>
        <rFont val="標楷體"/>
        <family val="4"/>
        <charset val="136"/>
      </rPr>
      <t>行政管理費</t>
    </r>
  </si>
  <si>
    <r>
      <rPr>
        <sz val="12"/>
        <rFont val="標楷體"/>
        <family val="4"/>
        <charset val="136"/>
      </rPr>
      <t>私部門</t>
    </r>
    <phoneticPr fontId="17" type="noConversion"/>
  </si>
  <si>
    <r>
      <rPr>
        <sz val="12"/>
        <rFont val="標楷體"/>
        <family val="4"/>
        <charset val="136"/>
      </rPr>
      <t>個人醫療保健</t>
    </r>
    <phoneticPr fontId="17" type="noConversion"/>
  </si>
  <si>
    <r>
      <rPr>
        <sz val="12"/>
        <rFont val="標楷體"/>
        <family val="4"/>
        <charset val="136"/>
      </rPr>
      <t>資本形成</t>
    </r>
    <phoneticPr fontId="17" type="noConversion"/>
  </si>
  <si>
    <r>
      <t>81</t>
    </r>
    <r>
      <rPr>
        <sz val="12"/>
        <rFont val="標楷體"/>
        <family val="4"/>
        <charset val="136"/>
      </rPr>
      <t>年</t>
    </r>
    <phoneticPr fontId="16" type="noConversion"/>
  </si>
  <si>
    <r>
      <t>83</t>
    </r>
    <r>
      <rPr>
        <sz val="12"/>
        <rFont val="標楷體"/>
        <family val="4"/>
        <charset val="136"/>
      </rPr>
      <t>年</t>
    </r>
    <phoneticPr fontId="17" type="noConversion"/>
  </si>
  <si>
    <r>
      <rPr>
        <sz val="11"/>
        <rFont val="標楷體"/>
        <family val="4"/>
        <charset val="136"/>
      </rPr>
      <t>附註：</t>
    </r>
    <r>
      <rPr>
        <sz val="11"/>
        <rFont val="Times New Roman"/>
        <family val="1"/>
      </rPr>
      <t xml:space="preserve">1. </t>
    </r>
    <r>
      <rPr>
        <sz val="11"/>
        <rFont val="標楷體"/>
        <family val="4"/>
        <charset val="136"/>
      </rPr>
      <t>依最新國民所得統計進行編算修正。</t>
    </r>
    <phoneticPr fontId="16" type="noConversion"/>
  </si>
  <si>
    <t>年增率</t>
    <phoneticPr fontId="16" type="noConversion"/>
  </si>
  <si>
    <r>
      <t xml:space="preserve">            2. </t>
    </r>
    <r>
      <rPr>
        <sz val="11"/>
        <rFont val="標楷體"/>
        <family val="4"/>
        <charset val="136"/>
      </rPr>
      <t>家庭自付</t>
    </r>
    <r>
      <rPr>
        <sz val="11"/>
        <rFont val="Times New Roman"/>
        <family val="1"/>
      </rPr>
      <t>(Out-of-Pocket)</t>
    </r>
    <r>
      <rPr>
        <sz val="11"/>
        <rFont val="標楷體"/>
        <family val="4"/>
        <charset val="136"/>
      </rPr>
      <t>項目係包含</t>
    </r>
    <r>
      <rPr>
        <sz val="11"/>
        <rFont val="Times New Roman"/>
        <family val="1"/>
      </rPr>
      <t>(1)</t>
    </r>
    <r>
      <rPr>
        <sz val="11"/>
        <rFont val="標楷體"/>
        <family val="4"/>
        <charset val="136"/>
      </rPr>
      <t>醫療用具設備及器材自付費用</t>
    </r>
    <r>
      <rPr>
        <sz val="11"/>
        <rFont val="Times New Roman"/>
        <family val="1"/>
      </rPr>
      <t>(2)</t>
    </r>
    <r>
      <rPr>
        <sz val="11"/>
        <rFont val="標楷體"/>
        <family val="4"/>
        <charset val="136"/>
      </rPr>
      <t>醫療照護自付費用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含門診及住院自付費用、假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鑲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牙</t>
    </r>
    <phoneticPr fontId="16" type="noConversion"/>
  </si>
  <si>
    <r>
      <rPr>
        <sz val="12"/>
        <rFont val="標楷體"/>
        <family val="4"/>
        <charset val="136"/>
      </rPr>
      <t>百分比</t>
    </r>
    <phoneticPr fontId="16" type="noConversion"/>
  </si>
  <si>
    <t>年增率</t>
    <phoneticPr fontId="16" type="noConversion"/>
  </si>
  <si>
    <t>百分比</t>
    <phoneticPr fontId="16" type="noConversion"/>
  </si>
  <si>
    <r>
      <t>85</t>
    </r>
    <r>
      <rPr>
        <sz val="12"/>
        <rFont val="標楷體"/>
        <family val="4"/>
        <charset val="136"/>
      </rPr>
      <t>年</t>
    </r>
    <phoneticPr fontId="16" type="noConversion"/>
  </si>
  <si>
    <r>
      <t>86</t>
    </r>
    <r>
      <rPr>
        <sz val="12"/>
        <rFont val="標楷體"/>
        <family val="4"/>
        <charset val="136"/>
      </rPr>
      <t>年</t>
    </r>
    <phoneticPr fontId="16" type="noConversion"/>
  </si>
  <si>
    <r>
      <t>87</t>
    </r>
    <r>
      <rPr>
        <sz val="12"/>
        <rFont val="標楷體"/>
        <family val="4"/>
        <charset val="136"/>
      </rPr>
      <t>年</t>
    </r>
    <phoneticPr fontId="17" type="noConversion"/>
  </si>
  <si>
    <r>
      <t>88</t>
    </r>
    <r>
      <rPr>
        <sz val="12"/>
        <rFont val="標楷體"/>
        <family val="4"/>
        <charset val="136"/>
      </rPr>
      <t>年</t>
    </r>
    <phoneticPr fontId="17" type="noConversion"/>
  </si>
  <si>
    <r>
      <t>89</t>
    </r>
    <r>
      <rPr>
        <sz val="12"/>
        <rFont val="標楷體"/>
        <family val="4"/>
        <charset val="136"/>
      </rPr>
      <t>年</t>
    </r>
    <phoneticPr fontId="17" type="noConversion"/>
  </si>
  <si>
    <r>
      <t>90</t>
    </r>
    <r>
      <rPr>
        <sz val="12"/>
        <rFont val="標楷體"/>
        <family val="4"/>
        <charset val="136"/>
      </rPr>
      <t>年</t>
    </r>
    <phoneticPr fontId="16" type="noConversion"/>
  </si>
  <si>
    <r>
      <t>91</t>
    </r>
    <r>
      <rPr>
        <sz val="12"/>
        <rFont val="標楷體"/>
        <family val="4"/>
        <charset val="136"/>
      </rPr>
      <t>年</t>
    </r>
    <phoneticPr fontId="16" type="noConversion"/>
  </si>
  <si>
    <r>
      <t>92</t>
    </r>
    <r>
      <rPr>
        <sz val="12"/>
        <rFont val="標楷體"/>
        <family val="4"/>
        <charset val="136"/>
      </rPr>
      <t>年</t>
    </r>
    <phoneticPr fontId="17" type="noConversion"/>
  </si>
  <si>
    <r>
      <t>93</t>
    </r>
    <r>
      <rPr>
        <sz val="12"/>
        <rFont val="標楷體"/>
        <family val="4"/>
        <charset val="136"/>
      </rPr>
      <t>年</t>
    </r>
    <phoneticPr fontId="17" type="noConversion"/>
  </si>
  <si>
    <r>
      <t>94</t>
    </r>
    <r>
      <rPr>
        <sz val="12"/>
        <rFont val="標楷體"/>
        <family val="4"/>
        <charset val="136"/>
      </rPr>
      <t>年</t>
    </r>
    <phoneticPr fontId="17" type="noConversion"/>
  </si>
  <si>
    <r>
      <t>95</t>
    </r>
    <r>
      <rPr>
        <sz val="12"/>
        <rFont val="標楷體"/>
        <family val="4"/>
        <charset val="136"/>
      </rPr>
      <t>年</t>
    </r>
    <phoneticPr fontId="16" type="noConversion"/>
  </si>
  <si>
    <r>
      <t>96</t>
    </r>
    <r>
      <rPr>
        <sz val="12"/>
        <rFont val="標楷體"/>
        <family val="4"/>
        <charset val="136"/>
      </rPr>
      <t>年</t>
    </r>
    <phoneticPr fontId="16" type="noConversion"/>
  </si>
  <si>
    <r>
      <t>97</t>
    </r>
    <r>
      <rPr>
        <sz val="12"/>
        <rFont val="標楷體"/>
        <family val="4"/>
        <charset val="136"/>
      </rPr>
      <t>年</t>
    </r>
    <phoneticPr fontId="17" type="noConversion"/>
  </si>
  <si>
    <r>
      <t>98</t>
    </r>
    <r>
      <rPr>
        <sz val="12"/>
        <rFont val="標楷體"/>
        <family val="4"/>
        <charset val="136"/>
      </rPr>
      <t>年</t>
    </r>
    <phoneticPr fontId="17" type="noConversion"/>
  </si>
  <si>
    <r>
      <t>99</t>
    </r>
    <r>
      <rPr>
        <sz val="12"/>
        <rFont val="標楷體"/>
        <family val="4"/>
        <charset val="136"/>
      </rPr>
      <t>年</t>
    </r>
    <phoneticPr fontId="17" type="noConversion"/>
  </si>
  <si>
    <r>
      <t>100</t>
    </r>
    <r>
      <rPr>
        <sz val="12"/>
        <rFont val="標楷體"/>
        <family val="4"/>
        <charset val="136"/>
      </rPr>
      <t>年</t>
    </r>
    <phoneticPr fontId="16" type="noConversion"/>
  </si>
  <si>
    <r>
      <t>101</t>
    </r>
    <r>
      <rPr>
        <sz val="12"/>
        <rFont val="標楷體"/>
        <family val="4"/>
        <charset val="136"/>
      </rPr>
      <t>年</t>
    </r>
    <phoneticPr fontId="16" type="noConversion"/>
  </si>
  <si>
    <r>
      <t>102</t>
    </r>
    <r>
      <rPr>
        <sz val="12"/>
        <rFont val="標楷體"/>
        <family val="4"/>
        <charset val="136"/>
      </rPr>
      <t>年</t>
    </r>
    <phoneticPr fontId="16" type="noConversion"/>
  </si>
  <si>
    <r>
      <t>103</t>
    </r>
    <r>
      <rPr>
        <sz val="12"/>
        <rFont val="標楷體"/>
        <family val="4"/>
        <charset val="136"/>
      </rPr>
      <t>年</t>
    </r>
    <phoneticPr fontId="16" type="noConversion"/>
  </si>
  <si>
    <r>
      <t>104</t>
    </r>
    <r>
      <rPr>
        <sz val="12"/>
        <rFont val="標楷體"/>
        <family val="4"/>
        <charset val="136"/>
      </rPr>
      <t>年</t>
    </r>
    <phoneticPr fontId="16" type="noConversion"/>
  </si>
  <si>
    <r>
      <rPr>
        <b/>
        <sz val="11"/>
        <rFont val="標楷體"/>
        <family val="4"/>
        <charset val="136"/>
      </rPr>
      <t>總</t>
    </r>
    <r>
      <rPr>
        <b/>
        <sz val="11"/>
        <rFont val="Times New Roman"/>
        <family val="1"/>
      </rPr>
      <t xml:space="preserve">  </t>
    </r>
    <r>
      <rPr>
        <b/>
        <sz val="11"/>
        <rFont val="標楷體"/>
        <family val="4"/>
        <charset val="136"/>
      </rPr>
      <t>計</t>
    </r>
    <phoneticPr fontId="17" type="noConversion"/>
  </si>
  <si>
    <t>資金配置</t>
    <phoneticPr fontId="17" type="noConversion"/>
  </si>
  <si>
    <t>資金配置</t>
    <phoneticPr fontId="17" type="noConversion"/>
  </si>
  <si>
    <r>
      <t xml:space="preserve">                  center, traditional medical treatments etc.</t>
    </r>
    <r>
      <rPr>
        <sz val="10"/>
        <rFont val="細明體"/>
        <family val="3"/>
        <charset val="136"/>
      </rPr>
      <t>；</t>
    </r>
    <r>
      <rPr>
        <sz val="10"/>
        <rFont val="Times New Roman"/>
        <family val="1"/>
      </rPr>
      <t xml:space="preserve">3) household expenditure on health care appliance (including over-the-counter             </t>
    </r>
    <phoneticPr fontId="16" type="noConversion"/>
  </si>
  <si>
    <r>
      <t>Notes</t>
    </r>
    <r>
      <rPr>
        <sz val="10"/>
        <rFont val="新細明體"/>
        <family val="1"/>
        <charset val="136"/>
      </rPr>
      <t>：</t>
    </r>
    <r>
      <rPr>
        <sz val="10"/>
        <rFont val="Times New Roman"/>
        <family val="1"/>
      </rPr>
      <t>1. The data are based on the figures of National Income revised.</t>
    </r>
    <phoneticPr fontId="16" type="noConversion"/>
  </si>
  <si>
    <r>
      <t>105</t>
    </r>
    <r>
      <rPr>
        <sz val="12"/>
        <rFont val="標楷體"/>
        <family val="4"/>
        <charset val="136"/>
      </rPr>
      <t>年</t>
    </r>
    <phoneticPr fontId="16" type="noConversion"/>
  </si>
  <si>
    <r>
      <t>106</t>
    </r>
    <r>
      <rPr>
        <sz val="12"/>
        <rFont val="標楷體"/>
        <family val="4"/>
        <charset val="136"/>
      </rPr>
      <t>年</t>
    </r>
    <phoneticPr fontId="16" type="noConversion"/>
  </si>
  <si>
    <r>
      <rPr>
        <b/>
        <sz val="12"/>
        <rFont val="標楷體"/>
        <family val="4"/>
        <charset val="136"/>
      </rPr>
      <t>資金配置</t>
    </r>
    <phoneticPr fontId="17" type="noConversion"/>
  </si>
  <si>
    <t>年增率</t>
    <phoneticPr fontId="16" type="noConversion"/>
  </si>
  <si>
    <t>百分比</t>
    <phoneticPr fontId="17" type="noConversion"/>
  </si>
  <si>
    <t>Private Administrative Fee of Health Insurance</t>
    <phoneticPr fontId="16" type="noConversion"/>
  </si>
  <si>
    <r>
      <t>資金配置</t>
    </r>
    <r>
      <rPr>
        <sz val="12"/>
        <rFont val="Times New Roman"/>
        <family val="1"/>
      </rPr>
      <t xml:space="preserve"> Financial Allocation</t>
    </r>
    <phoneticPr fontId="16" type="noConversion"/>
  </si>
  <si>
    <t>Lithuania</t>
    <phoneticPr fontId="17" type="noConversion"/>
  </si>
  <si>
    <t>立陶宛</t>
    <phoneticPr fontId="17" type="noConversion"/>
  </si>
  <si>
    <r>
      <t>104</t>
    </r>
    <r>
      <rPr>
        <sz val="10"/>
        <rFont val="標楷體"/>
        <family val="4"/>
        <charset val="136"/>
      </rPr>
      <t>年</t>
    </r>
  </si>
  <si>
    <r>
      <t>106</t>
    </r>
    <r>
      <rPr>
        <sz val="10"/>
        <rFont val="標楷體"/>
        <family val="4"/>
        <charset val="136"/>
      </rPr>
      <t>年</t>
    </r>
  </si>
  <si>
    <t xml:space="preserve">             2. National Health Insurance Administration setting up from 1995, other insurance sector (including Gov't Employees' Insurance</t>
    <phoneticPr fontId="17" type="noConversion"/>
  </si>
  <si>
    <t>Notes: 1.The data are based on the figures of National Income revised.</t>
    <phoneticPr fontId="16" type="noConversion"/>
  </si>
  <si>
    <t>Notes: 1.Pharmaceutical Expenditur of R.O.C refers to the remark in table 1.</t>
    <phoneticPr fontId="17" type="noConversion"/>
  </si>
  <si>
    <t>Private Administrative Fee of Health Insurance</t>
    <phoneticPr fontId="16" type="noConversion"/>
  </si>
  <si>
    <t>Private Sector</t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</si>
  <si>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2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</si>
  <si>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3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</si>
  <si>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4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</si>
  <si>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6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</si>
  <si>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7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</si>
  <si>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8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</si>
  <si>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9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</si>
  <si>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10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</si>
  <si>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11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</si>
  <si>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12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</si>
  <si>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1</t>
    </r>
    <phoneticPr fontId="17" type="noConversion"/>
  </si>
  <si>
    <t>Table 1   Indicator of  National Health Expenditure</t>
    <phoneticPr fontId="16" type="noConversion"/>
  </si>
  <si>
    <t>Mid-year Population
(person)</t>
    <phoneticPr fontId="17" type="noConversion"/>
  </si>
  <si>
    <t>National 
Health 
Expenditure
(million NT$)</t>
    <phoneticPr fontId="17" type="noConversion"/>
  </si>
  <si>
    <t>Nominal 
Gross 
Domestic 
Product
(million NT$)</t>
    <phoneticPr fontId="17" type="noConversion"/>
  </si>
  <si>
    <t>Per Capita Health Expenditure
(NT$)</t>
    <phoneticPr fontId="17" type="noConversion"/>
  </si>
  <si>
    <t>Per Capita Health Expenditure
(US$)</t>
    <phoneticPr fontId="17" type="noConversion"/>
  </si>
  <si>
    <t>Per Capita Current Health Expenditure
(NT$)</t>
    <phoneticPr fontId="17" type="noConversion"/>
  </si>
  <si>
    <t>Per Capita Current Health Expenditure
(US$)</t>
    <phoneticPr fontId="17" type="noConversion"/>
  </si>
  <si>
    <t>Compulsory 
Contributory 
Health Insurance 
Schemes 
as % of 
Public Current Health Expenditure</t>
    <phoneticPr fontId="17" type="noConversion"/>
  </si>
  <si>
    <r>
      <t xml:space="preserve">            3.</t>
    </r>
    <r>
      <rPr>
        <sz val="11"/>
        <rFont val="標楷體"/>
        <family val="4"/>
        <charset val="136"/>
      </rPr>
      <t>藥品消費支出包含表</t>
    </r>
    <r>
      <rPr>
        <sz val="11"/>
        <rFont val="Times New Roman"/>
        <family val="1"/>
      </rPr>
      <t>4</t>
    </r>
    <r>
      <rPr>
        <sz val="11"/>
        <rFont val="標楷體"/>
        <family val="4"/>
        <charset val="136"/>
      </rPr>
      <t>之醫院門診藥費、診所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西醫、中醫及牙醫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藥費、醫藥及保健用品支出之西藥與中藥。</t>
    </r>
    <phoneticPr fontId="16" type="noConversion"/>
  </si>
  <si>
    <r>
      <rPr>
        <sz val="16"/>
        <rFont val="標楷體"/>
        <family val="4"/>
        <charset val="136"/>
      </rPr>
      <t xml:space="preserve">年中
人口數
</t>
    </r>
    <r>
      <rPr>
        <sz val="16"/>
        <rFont val="Times New Roman"/>
        <family val="1"/>
      </rPr>
      <t>(</t>
    </r>
    <r>
      <rPr>
        <sz val="16"/>
        <rFont val="標楷體"/>
        <family val="4"/>
        <charset val="136"/>
      </rPr>
      <t>人</t>
    </r>
    <r>
      <rPr>
        <sz val="16"/>
        <rFont val="Times New Roman"/>
        <family val="1"/>
      </rPr>
      <t>)</t>
    </r>
    <phoneticPr fontId="17" type="noConversion"/>
  </si>
  <si>
    <r>
      <t>80</t>
    </r>
    <r>
      <rPr>
        <sz val="16"/>
        <rFont val="標楷體"/>
        <family val="4"/>
        <charset val="136"/>
      </rPr>
      <t>年</t>
    </r>
    <phoneticPr fontId="16" type="noConversion"/>
  </si>
  <si>
    <r>
      <t>81</t>
    </r>
    <r>
      <rPr>
        <sz val="16"/>
        <rFont val="標楷體"/>
        <family val="4"/>
        <charset val="136"/>
      </rPr>
      <t>年</t>
    </r>
  </si>
  <si>
    <r>
      <t>82</t>
    </r>
    <r>
      <rPr>
        <sz val="16"/>
        <rFont val="標楷體"/>
        <family val="4"/>
        <charset val="136"/>
      </rPr>
      <t>年</t>
    </r>
  </si>
  <si>
    <r>
      <t>83</t>
    </r>
    <r>
      <rPr>
        <sz val="16"/>
        <rFont val="標楷體"/>
        <family val="4"/>
        <charset val="136"/>
      </rPr>
      <t>年</t>
    </r>
  </si>
  <si>
    <r>
      <t>84</t>
    </r>
    <r>
      <rPr>
        <sz val="16"/>
        <rFont val="標楷體"/>
        <family val="4"/>
        <charset val="136"/>
      </rPr>
      <t>年</t>
    </r>
  </si>
  <si>
    <r>
      <t>85</t>
    </r>
    <r>
      <rPr>
        <sz val="16"/>
        <rFont val="標楷體"/>
        <family val="4"/>
        <charset val="136"/>
      </rPr>
      <t>年</t>
    </r>
  </si>
  <si>
    <r>
      <t>86</t>
    </r>
    <r>
      <rPr>
        <sz val="16"/>
        <rFont val="標楷體"/>
        <family val="4"/>
        <charset val="136"/>
      </rPr>
      <t>年</t>
    </r>
  </si>
  <si>
    <r>
      <t>87</t>
    </r>
    <r>
      <rPr>
        <sz val="16"/>
        <rFont val="標楷體"/>
        <family val="4"/>
        <charset val="136"/>
      </rPr>
      <t>年</t>
    </r>
  </si>
  <si>
    <r>
      <t>88</t>
    </r>
    <r>
      <rPr>
        <sz val="16"/>
        <rFont val="標楷體"/>
        <family val="4"/>
        <charset val="136"/>
      </rPr>
      <t>年</t>
    </r>
  </si>
  <si>
    <r>
      <t>89</t>
    </r>
    <r>
      <rPr>
        <sz val="16"/>
        <rFont val="標楷體"/>
        <family val="4"/>
        <charset val="136"/>
      </rPr>
      <t>年</t>
    </r>
  </si>
  <si>
    <r>
      <t>90</t>
    </r>
    <r>
      <rPr>
        <sz val="16"/>
        <rFont val="標楷體"/>
        <family val="4"/>
        <charset val="136"/>
      </rPr>
      <t>年</t>
    </r>
  </si>
  <si>
    <r>
      <t>91</t>
    </r>
    <r>
      <rPr>
        <sz val="16"/>
        <rFont val="標楷體"/>
        <family val="4"/>
        <charset val="136"/>
      </rPr>
      <t>年</t>
    </r>
  </si>
  <si>
    <r>
      <t>92</t>
    </r>
    <r>
      <rPr>
        <sz val="16"/>
        <rFont val="標楷體"/>
        <family val="4"/>
        <charset val="136"/>
      </rPr>
      <t>年</t>
    </r>
  </si>
  <si>
    <r>
      <t>93</t>
    </r>
    <r>
      <rPr>
        <sz val="16"/>
        <rFont val="標楷體"/>
        <family val="4"/>
        <charset val="136"/>
      </rPr>
      <t>年</t>
    </r>
  </si>
  <si>
    <r>
      <t>94</t>
    </r>
    <r>
      <rPr>
        <sz val="16"/>
        <rFont val="標楷體"/>
        <family val="4"/>
        <charset val="136"/>
      </rPr>
      <t>年</t>
    </r>
  </si>
  <si>
    <r>
      <t>95</t>
    </r>
    <r>
      <rPr>
        <sz val="16"/>
        <rFont val="標楷體"/>
        <family val="4"/>
        <charset val="136"/>
      </rPr>
      <t>年</t>
    </r>
  </si>
  <si>
    <r>
      <t>96</t>
    </r>
    <r>
      <rPr>
        <sz val="16"/>
        <rFont val="標楷體"/>
        <family val="4"/>
        <charset val="136"/>
      </rPr>
      <t>年</t>
    </r>
  </si>
  <si>
    <r>
      <t>97</t>
    </r>
    <r>
      <rPr>
        <sz val="16"/>
        <rFont val="標楷體"/>
        <family val="4"/>
        <charset val="136"/>
      </rPr>
      <t>年</t>
    </r>
  </si>
  <si>
    <r>
      <t>98</t>
    </r>
    <r>
      <rPr>
        <sz val="16"/>
        <rFont val="標楷體"/>
        <family val="4"/>
        <charset val="136"/>
      </rPr>
      <t>年</t>
    </r>
  </si>
  <si>
    <r>
      <t>99</t>
    </r>
    <r>
      <rPr>
        <sz val="16"/>
        <rFont val="標楷體"/>
        <family val="4"/>
        <charset val="136"/>
      </rPr>
      <t>年</t>
    </r>
  </si>
  <si>
    <r>
      <t>100</t>
    </r>
    <r>
      <rPr>
        <sz val="16"/>
        <rFont val="標楷體"/>
        <family val="4"/>
        <charset val="136"/>
      </rPr>
      <t>年</t>
    </r>
  </si>
  <si>
    <r>
      <t>101</t>
    </r>
    <r>
      <rPr>
        <sz val="16"/>
        <rFont val="標楷體"/>
        <family val="4"/>
        <charset val="136"/>
      </rPr>
      <t>年</t>
    </r>
  </si>
  <si>
    <r>
      <t>102</t>
    </r>
    <r>
      <rPr>
        <sz val="16"/>
        <rFont val="標楷體"/>
        <family val="4"/>
        <charset val="136"/>
      </rPr>
      <t>年</t>
    </r>
  </si>
  <si>
    <r>
      <t>103</t>
    </r>
    <r>
      <rPr>
        <sz val="16"/>
        <rFont val="標楷體"/>
        <family val="4"/>
        <charset val="136"/>
      </rPr>
      <t>年</t>
    </r>
  </si>
  <si>
    <r>
      <t>104</t>
    </r>
    <r>
      <rPr>
        <sz val="16"/>
        <rFont val="標楷體"/>
        <family val="4"/>
        <charset val="136"/>
      </rPr>
      <t>年</t>
    </r>
  </si>
  <si>
    <r>
      <t>105</t>
    </r>
    <r>
      <rPr>
        <sz val="16"/>
        <rFont val="標楷體"/>
        <family val="4"/>
        <charset val="136"/>
      </rPr>
      <t>年</t>
    </r>
    <phoneticPr fontId="17" type="noConversion"/>
  </si>
  <si>
    <t>Public
Health 
Expenditure
 as % of 
NHE</t>
  </si>
  <si>
    <t>Public
Current Health 
Expenditure
 as % of 
CHE</t>
    <phoneticPr fontId="17" type="noConversion"/>
  </si>
  <si>
    <r>
      <t>資料來源：衛生福利部</t>
    </r>
    <r>
      <rPr>
        <sz val="11"/>
        <rFont val="新細明體"/>
        <family val="1"/>
        <charset val="136"/>
      </rPr>
      <t>、</t>
    </r>
    <r>
      <rPr>
        <sz val="11"/>
        <rFont val="標楷體"/>
        <family val="4"/>
        <charset val="136"/>
      </rPr>
      <t>行政院主計總處</t>
    </r>
    <r>
      <rPr>
        <sz val="11"/>
        <rFont val="新細明體"/>
        <family val="1"/>
        <charset val="136"/>
      </rPr>
      <t>、</t>
    </r>
    <r>
      <rPr>
        <sz val="11"/>
        <rFont val="標楷體"/>
        <family val="4"/>
        <charset val="136"/>
      </rPr>
      <t>內政部。</t>
    </r>
    <phoneticPr fontId="16" type="noConversion"/>
  </si>
  <si>
    <r>
      <t xml:space="preserve">             2.Out-of Pocket includes 1) household expenditure on medical equipment and instruments</t>
    </r>
    <r>
      <rPr>
        <sz val="12"/>
        <rFont val="細明體"/>
        <family val="3"/>
        <charset val="136"/>
      </rPr>
      <t>；</t>
    </r>
    <r>
      <rPr>
        <sz val="12"/>
        <rFont val="Times New Roman"/>
        <family val="1"/>
      </rPr>
      <t>2) household expenditure on medical care</t>
    </r>
    <phoneticPr fontId="16" type="noConversion"/>
  </si>
  <si>
    <t xml:space="preserve">             3.Expenditure on Pharmaceuticals includes 1) Outpatient Pharmaceutical expenditure in hospitals ; 2) Pharmaceutical expenditure in
               clinics(including western medicine clinics,Chinese medicine clinics and dental clinics) ; 3) Western medicines and Chinese 
               medicines expenditure in medical article and healthy goods in table 4.</t>
    <phoneticPr fontId="17" type="noConversion"/>
  </si>
  <si>
    <r>
      <t xml:space="preserve">               traditional medical treatments etc.)</t>
    </r>
    <r>
      <rPr>
        <sz val="12"/>
        <rFont val="細明體"/>
        <family val="3"/>
        <charset val="136"/>
      </rPr>
      <t>；</t>
    </r>
    <r>
      <rPr>
        <sz val="12"/>
        <rFont val="Times New Roman"/>
        <family val="1"/>
      </rPr>
      <t>3) household expenditure on health care  appliance (including over-the-counter western,</t>
    </r>
    <phoneticPr fontId="16" type="noConversion"/>
  </si>
  <si>
    <t xml:space="preserve">               traditional Chinese and herbal medicines, healthy foods, and other medical non-durable goods).</t>
    <phoneticPr fontId="17" type="noConversion"/>
  </si>
  <si>
    <r>
      <t>Notes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1.The data are based on the figures of National Income revised.</t>
    </r>
    <phoneticPr fontId="16" type="noConversion"/>
  </si>
  <si>
    <r>
      <t>Sources</t>
    </r>
    <r>
      <rPr>
        <sz val="12"/>
        <rFont val="細明體"/>
        <family val="3"/>
        <charset val="136"/>
      </rPr>
      <t>：</t>
    </r>
    <r>
      <rPr>
        <sz val="12"/>
        <rFont val="Times New Roman"/>
        <family val="1"/>
      </rPr>
      <t>Ministry of Health and Welfare, DGBAS,Ministry of the Interior.</t>
    </r>
    <phoneticPr fontId="16" type="noConversion"/>
  </si>
  <si>
    <r>
      <rPr>
        <sz val="12"/>
        <rFont val="Times New Roman"/>
        <family val="1"/>
      </rPr>
      <t>107</t>
    </r>
    <r>
      <rPr>
        <sz val="12"/>
        <rFont val="標楷體"/>
        <family val="4"/>
        <charset val="136"/>
      </rPr>
      <t>年</t>
    </r>
    <phoneticPr fontId="17" type="noConversion"/>
  </si>
  <si>
    <r>
      <t>107</t>
    </r>
    <r>
      <rPr>
        <sz val="12"/>
        <rFont val="標楷體"/>
        <family val="4"/>
        <charset val="136"/>
      </rPr>
      <t>年</t>
    </r>
    <phoneticPr fontId="16" type="noConversion"/>
  </si>
  <si>
    <r>
      <t>107</t>
    </r>
    <r>
      <rPr>
        <sz val="16"/>
        <rFont val="標楷體"/>
        <family val="4"/>
        <charset val="136"/>
      </rPr>
      <t>年</t>
    </r>
  </si>
  <si>
    <r>
      <t>106</t>
    </r>
    <r>
      <rPr>
        <sz val="16"/>
        <rFont val="標楷體"/>
        <family val="4"/>
        <charset val="136"/>
      </rPr>
      <t>年</t>
    </r>
    <phoneticPr fontId="17" type="noConversion"/>
  </si>
  <si>
    <t>-</t>
    <phoneticPr fontId="17" type="noConversion"/>
  </si>
  <si>
    <t>-</t>
    <phoneticPr fontId="17" type="noConversion"/>
  </si>
  <si>
    <r>
      <t>107</t>
    </r>
    <r>
      <rPr>
        <sz val="10"/>
        <rFont val="標楷體"/>
        <family val="4"/>
        <charset val="136"/>
      </rPr>
      <t>年</t>
    </r>
    <phoneticPr fontId="17" type="noConversion"/>
  </si>
  <si>
    <t>國民醫療保健支出統計</t>
    <phoneticPr fontId="17" type="noConversion"/>
  </si>
  <si>
    <r>
      <t>108</t>
    </r>
    <r>
      <rPr>
        <sz val="16"/>
        <rFont val="標楷體"/>
        <family val="4"/>
        <charset val="136"/>
      </rPr>
      <t>年</t>
    </r>
    <phoneticPr fontId="17" type="noConversion"/>
  </si>
  <si>
    <r>
      <t>108</t>
    </r>
    <r>
      <rPr>
        <sz val="12"/>
        <rFont val="標楷體"/>
        <family val="4"/>
        <charset val="136"/>
      </rPr>
      <t>年</t>
    </r>
    <phoneticPr fontId="16" type="noConversion"/>
  </si>
  <si>
    <r>
      <rPr>
        <sz val="12"/>
        <rFont val="Times New Roman"/>
        <family val="1"/>
      </rPr>
      <t>108</t>
    </r>
    <r>
      <rPr>
        <sz val="12"/>
        <rFont val="標楷體"/>
        <family val="4"/>
        <charset val="136"/>
      </rPr>
      <t>年</t>
    </r>
    <phoneticPr fontId="17" type="noConversion"/>
  </si>
  <si>
    <r>
      <t>108</t>
    </r>
    <r>
      <rPr>
        <sz val="10"/>
        <rFont val="標楷體"/>
        <family val="4"/>
        <charset val="136"/>
      </rPr>
      <t>年</t>
    </r>
    <phoneticPr fontId="17" type="noConversion"/>
  </si>
  <si>
    <t>哥倫比亞</t>
    <phoneticPr fontId="17" type="noConversion"/>
  </si>
  <si>
    <t>Colombia</t>
    <phoneticPr fontId="17" type="noConversion"/>
  </si>
  <si>
    <t>國民醫療保健支出指標</t>
    <phoneticPr fontId="17" type="noConversion"/>
  </si>
  <si>
    <t>Unit : Million NT$,%</t>
    <phoneticPr fontId="16" type="noConversion"/>
  </si>
  <si>
    <r>
      <rPr>
        <sz val="12"/>
        <rFont val="標楷體"/>
        <family val="4"/>
        <charset val="136"/>
      </rPr>
      <t>單位：新臺幣百萬元、</t>
    </r>
    <r>
      <rPr>
        <sz val="12"/>
        <rFont val="Times New Roman"/>
        <family val="1"/>
      </rPr>
      <t>%</t>
    </r>
    <phoneticPr fontId="17" type="noConversion"/>
  </si>
  <si>
    <r>
      <t>109</t>
    </r>
    <r>
      <rPr>
        <sz val="12"/>
        <rFont val="標楷體"/>
        <family val="4"/>
        <charset val="136"/>
      </rPr>
      <t>年</t>
    </r>
    <phoneticPr fontId="16" type="noConversion"/>
  </si>
  <si>
    <r>
      <rPr>
        <sz val="12"/>
        <rFont val="Times New Roman"/>
        <family val="1"/>
      </rPr>
      <t>109</t>
    </r>
    <r>
      <rPr>
        <sz val="12"/>
        <rFont val="標楷體"/>
        <family val="4"/>
        <charset val="136"/>
      </rPr>
      <t>年</t>
    </r>
    <phoneticPr fontId="17" type="noConversion"/>
  </si>
  <si>
    <r>
      <t>109</t>
    </r>
    <r>
      <rPr>
        <sz val="10"/>
        <rFont val="標楷體"/>
        <family val="4"/>
        <charset val="136"/>
      </rPr>
      <t>年</t>
    </r>
    <phoneticPr fontId="17" type="noConversion"/>
  </si>
  <si>
    <t>Costa Rica</t>
    <phoneticPr fontId="17" type="noConversion"/>
  </si>
  <si>
    <t>哥斯大黎加</t>
    <phoneticPr fontId="17" type="noConversion"/>
  </si>
  <si>
    <t xml:space="preserve">               (including outpatient and inpatient care, dental prosthesis &amp; orthopedics, sanatorium, nursing homes, postpartum nursing care center,</t>
    <phoneticPr fontId="16" type="noConversion"/>
  </si>
  <si>
    <t xml:space="preserve">                    (including outpatient and inpatient care, dental prosthesis &amp; orthopedics, sanatorium, nursing homes, postpartum nursing care center,</t>
    <phoneticPr fontId="16" type="noConversion"/>
  </si>
  <si>
    <t xml:space="preserve">                  care (including outpatient and inpatient care, dental prosthesis &amp; orthopedics, sanatorium, nursing homes, postpartum nursing care</t>
    <phoneticPr fontId="17" type="noConversion"/>
  </si>
  <si>
    <r>
      <t>109</t>
    </r>
    <r>
      <rPr>
        <sz val="16"/>
        <rFont val="標楷體"/>
        <family val="4"/>
        <charset val="136"/>
      </rPr>
      <t>年</t>
    </r>
    <phoneticPr fontId="17" type="noConversion"/>
  </si>
  <si>
    <r>
      <t>110</t>
    </r>
    <r>
      <rPr>
        <sz val="12"/>
        <rFont val="標楷體"/>
        <family val="4"/>
        <charset val="136"/>
      </rPr>
      <t>年</t>
    </r>
    <phoneticPr fontId="16" type="noConversion"/>
  </si>
  <si>
    <t>Table 2   Statistics of  National Health Expenditure  (Cont. 5)</t>
    <phoneticPr fontId="17" type="noConversion"/>
  </si>
  <si>
    <r>
      <rPr>
        <sz val="12"/>
        <rFont val="Times New Roman"/>
        <family val="1"/>
      </rPr>
      <t>110</t>
    </r>
    <r>
      <rPr>
        <sz val="12"/>
        <rFont val="標楷體"/>
        <family val="4"/>
        <charset val="136"/>
      </rPr>
      <t>年</t>
    </r>
    <phoneticPr fontId="17" type="noConversion"/>
  </si>
  <si>
    <r>
      <t>110</t>
    </r>
    <r>
      <rPr>
        <sz val="10"/>
        <rFont val="標楷體"/>
        <family val="4"/>
        <charset val="136"/>
      </rPr>
      <t>年</t>
    </r>
    <phoneticPr fontId="17" type="noConversion"/>
  </si>
  <si>
    <t>Türkiye</t>
  </si>
  <si>
    <t>國軍退除役官兵輔導委員會</t>
    <phoneticPr fontId="16" type="noConversion"/>
  </si>
  <si>
    <t>原住民族委員會</t>
    <phoneticPr fontId="17" type="noConversion"/>
  </si>
  <si>
    <t>行政院原子能委員會</t>
    <phoneticPr fontId="17" type="noConversion"/>
  </si>
  <si>
    <t>行政院海岸巡防署</t>
    <phoneticPr fontId="17" type="noConversion"/>
  </si>
  <si>
    <r>
      <t>111</t>
    </r>
    <r>
      <rPr>
        <sz val="16"/>
        <rFont val="標楷體"/>
        <family val="4"/>
        <charset val="136"/>
      </rPr>
      <t>年</t>
    </r>
    <phoneticPr fontId="17" type="noConversion"/>
  </si>
  <si>
    <r>
      <t>111</t>
    </r>
    <r>
      <rPr>
        <sz val="12"/>
        <rFont val="標楷體"/>
        <family val="4"/>
        <charset val="136"/>
      </rPr>
      <t>年</t>
    </r>
    <phoneticPr fontId="16" type="noConversion"/>
  </si>
  <si>
    <t>Current Health 
Expenditure</t>
    <phoneticPr fontId="17" type="noConversion"/>
  </si>
  <si>
    <t>中央政府</t>
    <phoneticPr fontId="17" type="noConversion"/>
  </si>
  <si>
    <t>中央政府莫拉克颱風災後重建特別預算（執行數）</t>
    <phoneticPr fontId="17" type="noConversion"/>
  </si>
  <si>
    <t>Special Budget of Central Government for Reconstruction of the Molake wind-caused Disaster(Executive number)</t>
    <phoneticPr fontId="17" type="noConversion"/>
  </si>
  <si>
    <t>地方政府</t>
    <phoneticPr fontId="17" type="noConversion"/>
  </si>
  <si>
    <t xml:space="preserve">County/City Government </t>
    <phoneticPr fontId="17" type="noConversion"/>
  </si>
  <si>
    <t>全民健康保險</t>
    <phoneticPr fontId="17" type="noConversion"/>
  </si>
  <si>
    <t>家庭部門</t>
    <phoneticPr fontId="17" type="noConversion"/>
  </si>
  <si>
    <r>
      <rPr>
        <sz val="10.5"/>
        <rFont val="標楷體"/>
        <family val="4"/>
        <charset val="136"/>
      </rPr>
      <t>附註：</t>
    </r>
    <r>
      <rPr>
        <sz val="10.5"/>
        <rFont val="標楷體"/>
        <family val="4"/>
        <charset val="136"/>
      </rPr>
      <t>依最新國民所得統計進行編算修正。</t>
    </r>
    <phoneticPr fontId="16" type="noConversion"/>
  </si>
  <si>
    <t>總 計</t>
    <phoneticPr fontId="17" type="noConversion"/>
  </si>
  <si>
    <t>Table 3   Financial  Agents of National Health Expenditure (Cont. 1)</t>
    <phoneticPr fontId="17" type="noConversion"/>
  </si>
  <si>
    <r>
      <rPr>
        <sz val="12"/>
        <rFont val="Times New Roman"/>
        <family val="1"/>
      </rPr>
      <t>111</t>
    </r>
    <r>
      <rPr>
        <sz val="12"/>
        <rFont val="標楷體"/>
        <family val="4"/>
        <charset val="136"/>
      </rPr>
      <t>年</t>
    </r>
    <phoneticPr fontId="17" type="noConversion"/>
  </si>
  <si>
    <t>各級政府</t>
    <phoneticPr fontId="17" type="noConversion"/>
  </si>
  <si>
    <t>家庭部門</t>
    <phoneticPr fontId="16" type="noConversion"/>
  </si>
  <si>
    <t>私人醫療保險行政管理費</t>
    <phoneticPr fontId="17" type="noConversion"/>
  </si>
  <si>
    <t>Government</t>
  </si>
  <si>
    <t xml:space="preserve">National Health Insurance </t>
    <phoneticPr fontId="17" type="noConversion"/>
  </si>
  <si>
    <r>
      <t>2.</t>
    </r>
    <r>
      <rPr>
        <b/>
        <sz val="12"/>
        <rFont val="標楷體"/>
        <family val="4"/>
        <charset val="136"/>
      </rPr>
      <t>個人醫療保健</t>
    </r>
    <phoneticPr fontId="17" type="noConversion"/>
  </si>
  <si>
    <t>2.Personal Health Care</t>
    <phoneticPr fontId="16" type="noConversion"/>
  </si>
  <si>
    <t>3.資本形成</t>
    <phoneticPr fontId="17" type="noConversion"/>
  </si>
  <si>
    <t>3.Capital Formation</t>
    <phoneticPr fontId="16" type="noConversion"/>
  </si>
  <si>
    <t>經常性支出</t>
    <phoneticPr fontId="17" type="noConversion"/>
  </si>
  <si>
    <t>National Health Expenditure</t>
    <phoneticPr fontId="17" type="noConversion"/>
  </si>
  <si>
    <t>Current Health Expenditure</t>
    <phoneticPr fontId="17" type="noConversion"/>
  </si>
  <si>
    <t>Capital Formation</t>
    <phoneticPr fontId="17" type="noConversion"/>
  </si>
  <si>
    <r>
      <t>111</t>
    </r>
    <r>
      <rPr>
        <sz val="10"/>
        <rFont val="標楷體"/>
        <family val="4"/>
        <charset val="136"/>
      </rPr>
      <t>年</t>
    </r>
    <phoneticPr fontId="17" type="noConversion"/>
  </si>
  <si>
    <t>Table 8   Per Capita Public Current Health Expenditure at Average Exchange Rate (US$)</t>
    <phoneticPr fontId="17" type="noConversion"/>
  </si>
  <si>
    <t>Table 9   Public Current Health Expenditure as % of Current Health Expenditure</t>
    <phoneticPr fontId="17" type="noConversion"/>
  </si>
  <si>
    <t>Table 10   Private Current Health Expenditure as % of Current Health Expenditure</t>
    <phoneticPr fontId="17" type="noConversion"/>
  </si>
  <si>
    <t>一般行政及公共衛生</t>
  </si>
  <si>
    <r>
      <t>1.</t>
    </r>
    <r>
      <rPr>
        <b/>
        <sz val="12"/>
        <rFont val="標楷體"/>
        <family val="4"/>
        <charset val="136"/>
      </rPr>
      <t>一般行政及公共衛生</t>
    </r>
    <phoneticPr fontId="17" type="noConversion"/>
  </si>
  <si>
    <r>
      <rPr>
        <sz val="20"/>
        <rFont val="標楷體"/>
        <family val="4"/>
        <charset val="136"/>
      </rPr>
      <t>表</t>
    </r>
    <r>
      <rPr>
        <sz val="20"/>
        <rFont val="Times New Roman"/>
        <family val="1"/>
      </rPr>
      <t>5</t>
    </r>
    <phoneticPr fontId="17" type="noConversion"/>
  </si>
  <si>
    <t>General Administration and Public Health</t>
    <phoneticPr fontId="17" type="noConversion"/>
  </si>
  <si>
    <t>National Health Insurance</t>
    <phoneticPr fontId="17" type="noConversion"/>
  </si>
  <si>
    <t>1.General Administration and Public Health</t>
    <phoneticPr fontId="16" type="noConversion"/>
  </si>
  <si>
    <t>國家科學及技術委員會</t>
    <phoneticPr fontId="17" type="noConversion"/>
  </si>
  <si>
    <t>National Science and Technology Council</t>
    <phoneticPr fontId="17" type="noConversion"/>
  </si>
  <si>
    <t>海洋委員會</t>
    <phoneticPr fontId="17" type="noConversion"/>
  </si>
  <si>
    <t>Ocean Affairs Council</t>
    <phoneticPr fontId="17" type="noConversion"/>
  </si>
  <si>
    <t>國民醫療保健支出－美元計價</t>
    <phoneticPr fontId="17" type="noConversion"/>
  </si>
  <si>
    <t>國民醫療保健支出占國內生產毛額比重</t>
    <phoneticPr fontId="17" type="noConversion"/>
  </si>
  <si>
    <t>平均每人國民醫療保健支出－美元計價</t>
    <phoneticPr fontId="17" type="noConversion"/>
  </si>
  <si>
    <t>私部門經常性醫療保健支出占經常性醫療保健支出比重</t>
    <phoneticPr fontId="17" type="noConversion"/>
  </si>
  <si>
    <t>藥品消費支出占經常性醫療保健支出比重</t>
    <phoneticPr fontId="17" type="noConversion"/>
  </si>
  <si>
    <t>藥品消費支出占國內生產毛額比重</t>
    <phoneticPr fontId="17" type="noConversion"/>
  </si>
  <si>
    <t>公營醫療機構</t>
    <phoneticPr fontId="16" type="noConversion"/>
  </si>
  <si>
    <t>年別</t>
    <phoneticPr fontId="17" type="noConversion"/>
  </si>
  <si>
    <t>Year</t>
    <phoneticPr fontId="17" type="noConversion"/>
  </si>
  <si>
    <r>
      <t xml:space="preserve">            4.</t>
    </r>
    <r>
      <rPr>
        <sz val="11"/>
        <rFont val="標楷體"/>
        <family val="4"/>
        <charset val="136"/>
      </rPr>
      <t>民國</t>
    </r>
    <r>
      <rPr>
        <sz val="11"/>
        <rFont val="Times New Roman"/>
        <family val="1"/>
      </rPr>
      <t>96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含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起含長期照顧服務支出。</t>
    </r>
    <phoneticPr fontId="16" type="noConversion"/>
  </si>
  <si>
    <t xml:space="preserve">             4.Since 1997, national health expenditures have included long-term care service expenses.</t>
    <phoneticPr fontId="17" type="noConversion"/>
  </si>
  <si>
    <t>Households</t>
    <phoneticPr fontId="17" type="noConversion"/>
  </si>
  <si>
    <r>
      <rPr>
        <sz val="10"/>
        <rFont val="標楷體"/>
        <family val="4"/>
        <charset val="136"/>
      </rPr>
      <t>附註：</t>
    </r>
    <r>
      <rPr>
        <sz val="10"/>
        <rFont val="Times New Roman"/>
        <family val="1"/>
      </rPr>
      <t xml:space="preserve">1. </t>
    </r>
    <r>
      <rPr>
        <sz val="10"/>
        <rFont val="標楷體"/>
        <family val="4"/>
        <charset val="136"/>
      </rPr>
      <t>依最新國民所得統計進行編算修正。</t>
    </r>
    <phoneticPr fontId="16" type="noConversion"/>
  </si>
  <si>
    <r>
      <t xml:space="preserve">            2. </t>
    </r>
    <r>
      <rPr>
        <sz val="10"/>
        <rFont val="標楷體"/>
        <family val="4"/>
        <charset val="136"/>
      </rPr>
      <t>中央健康保險署自</t>
    </r>
    <r>
      <rPr>
        <sz val="10"/>
        <rFont val="Times New Roman"/>
        <family val="1"/>
      </rPr>
      <t>84</t>
    </r>
    <r>
      <rPr>
        <sz val="10"/>
        <rFont val="標楷體"/>
        <family val="4"/>
        <charset val="136"/>
      </rPr>
      <t>年開辦後，其他保險部門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含公務人員及相關保險、勞工保險、農民保險、民意代表保險、</t>
    </r>
    <phoneticPr fontId="17" type="noConversion"/>
  </si>
  <si>
    <r>
      <t xml:space="preserve">                </t>
    </r>
    <r>
      <rPr>
        <sz val="10"/>
        <rFont val="標楷體"/>
        <family val="4"/>
        <charset val="136"/>
      </rPr>
      <t>低收入戸保險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即不再涵括相關之醫療保險給付，故本表僅保留全民健保部分。</t>
    </r>
    <phoneticPr fontId="17" type="noConversion"/>
  </si>
  <si>
    <r>
      <t xml:space="preserve">            4. </t>
    </r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起含長期照顧服務支出。</t>
    </r>
    <phoneticPr fontId="16" type="noConversion"/>
  </si>
  <si>
    <t xml:space="preserve">            4. Since 1997, national health expenditures have included long-term care service expenses.</t>
    <phoneticPr fontId="16" type="noConversion"/>
  </si>
  <si>
    <r>
      <rPr>
        <sz val="12"/>
        <rFont val="標楷體"/>
        <family val="4"/>
        <charset val="136"/>
      </rPr>
      <t>資金運用單位</t>
    </r>
    <r>
      <rPr>
        <sz val="12"/>
        <rFont val="Times New Roman"/>
        <family val="1"/>
      </rPr>
      <t xml:space="preserve"> Financial Agents           </t>
    </r>
    <phoneticPr fontId="16" type="noConversion"/>
  </si>
  <si>
    <r>
      <rPr>
        <sz val="12"/>
        <rFont val="標楷體"/>
        <family val="4"/>
        <charset val="136"/>
      </rPr>
      <t>支出型態</t>
    </r>
    <r>
      <rPr>
        <sz val="12"/>
        <rFont val="Times New Roman"/>
        <family val="1"/>
      </rPr>
      <t xml:space="preserve"> Type of expenditure</t>
    </r>
    <phoneticPr fontId="16" type="noConversion"/>
  </si>
  <si>
    <t>資本支出</t>
    <phoneticPr fontId="16" type="noConversion"/>
  </si>
  <si>
    <t>經常性
支出</t>
    <phoneticPr fontId="17" type="noConversion"/>
  </si>
  <si>
    <t>資本
支出</t>
    <phoneticPr fontId="17" type="noConversion"/>
  </si>
  <si>
    <t>國別</t>
    <phoneticPr fontId="17" type="noConversion"/>
  </si>
  <si>
    <t xml:space="preserve">Countries </t>
    <phoneticPr fontId="17" type="noConversion"/>
  </si>
  <si>
    <t>Table 4   Financial Allocation of National Health Expenditure</t>
    <phoneticPr fontId="16" type="noConversion"/>
  </si>
  <si>
    <t>Table 4   Financial Allocation of National Health Expenditure (Cont. 1)</t>
    <phoneticPr fontId="16" type="noConversion"/>
  </si>
  <si>
    <t>Table 4   Financial Allocation of National Health Expenditure (Cont. 2)</t>
    <phoneticPr fontId="16" type="noConversion"/>
  </si>
  <si>
    <t>Table 4   Financial Allocation of National Health Expenditure (Cont .3)</t>
    <phoneticPr fontId="16" type="noConversion"/>
  </si>
  <si>
    <t>Table 4   Financial Allocation of National Health Expenditure (Cont. 4)</t>
    <phoneticPr fontId="16" type="noConversion"/>
  </si>
  <si>
    <t>Table 4   Financial Allocation of National Health Expenditure (Cont. 5)</t>
    <phoneticPr fontId="16" type="noConversion"/>
  </si>
  <si>
    <t>Table 4   Financial Allocation of National Health Expenditure (Cont. 6)</t>
    <phoneticPr fontId="16" type="noConversion"/>
  </si>
  <si>
    <t>Table 4   Financial Allocation of National Health Expenditure (Cont. 7)</t>
    <phoneticPr fontId="16" type="noConversion"/>
  </si>
  <si>
    <t>Table 4   Financial Allocation of National Health Expenditure (Cont'd)</t>
    <phoneticPr fontId="16" type="noConversion"/>
  </si>
  <si>
    <t>國別</t>
    <phoneticPr fontId="16" type="noConversion"/>
  </si>
  <si>
    <t>國民醫療保健支出－依資金運用單位分</t>
    <phoneticPr fontId="17" type="noConversion"/>
  </si>
  <si>
    <t>國民醫療保健支出－依資金配置分</t>
    <phoneticPr fontId="17" type="noConversion"/>
  </si>
  <si>
    <r>
      <t>Notes</t>
    </r>
    <r>
      <rPr>
        <sz val="9"/>
        <rFont val="標楷體"/>
        <family val="4"/>
        <charset val="136"/>
      </rPr>
      <t>：</t>
    </r>
    <r>
      <rPr>
        <sz val="9"/>
        <rFont val="Times New Roman"/>
        <family val="1"/>
      </rPr>
      <t>1. The data are based on the figures of National Income revised.</t>
    </r>
    <phoneticPr fontId="16" type="noConversion"/>
  </si>
  <si>
    <r>
      <t xml:space="preserve">                    traditional medical treatments etc.)</t>
    </r>
    <r>
      <rPr>
        <sz val="9"/>
        <rFont val="標楷體"/>
        <family val="4"/>
        <charset val="136"/>
      </rPr>
      <t>；</t>
    </r>
    <r>
      <rPr>
        <sz val="9"/>
        <rFont val="Times New Roman"/>
        <family val="1"/>
      </rPr>
      <t>3) household expenditure on health care  appliance (including over-the-counter western,</t>
    </r>
    <phoneticPr fontId="16" type="noConversion"/>
  </si>
  <si>
    <r>
      <t xml:space="preserve">             3. Households includes 1) household expenditure on medical equipment and instruments</t>
    </r>
    <r>
      <rPr>
        <sz val="10"/>
        <rFont val="細明體"/>
        <family val="3"/>
        <charset val="136"/>
      </rPr>
      <t>；</t>
    </r>
    <r>
      <rPr>
        <sz val="10"/>
        <rFont val="Times New Roman"/>
        <family val="1"/>
      </rPr>
      <t>2) household expenditure on medical</t>
    </r>
    <phoneticPr fontId="16" type="noConversion"/>
  </si>
  <si>
    <t>國民醫療
保健支出</t>
    <phoneticPr fontId="64" type="noConversion"/>
  </si>
  <si>
    <r>
      <t>103</t>
    </r>
    <r>
      <rPr>
        <sz val="11"/>
        <rFont val="標楷體"/>
        <family val="4"/>
        <charset val="136"/>
      </rPr>
      <t>年</t>
    </r>
    <phoneticPr fontId="17" type="noConversion"/>
  </si>
  <si>
    <r>
      <t>104</t>
    </r>
    <r>
      <rPr>
        <sz val="11"/>
        <rFont val="標楷體"/>
        <family val="4"/>
        <charset val="136"/>
      </rPr>
      <t>年</t>
    </r>
    <phoneticPr fontId="17" type="noConversion"/>
  </si>
  <si>
    <r>
      <t>105</t>
    </r>
    <r>
      <rPr>
        <sz val="11"/>
        <rFont val="標楷體"/>
        <family val="4"/>
        <charset val="136"/>
      </rPr>
      <t>年</t>
    </r>
    <phoneticPr fontId="17" type="noConversion"/>
  </si>
  <si>
    <r>
      <t>106</t>
    </r>
    <r>
      <rPr>
        <sz val="11"/>
        <rFont val="標楷體"/>
        <family val="4"/>
        <charset val="136"/>
      </rPr>
      <t>年</t>
    </r>
    <phoneticPr fontId="17" type="noConversion"/>
  </si>
  <si>
    <r>
      <t>107</t>
    </r>
    <r>
      <rPr>
        <sz val="11"/>
        <rFont val="標楷體"/>
        <family val="4"/>
        <charset val="136"/>
      </rPr>
      <t>年</t>
    </r>
    <phoneticPr fontId="17" type="noConversion"/>
  </si>
  <si>
    <r>
      <t>108</t>
    </r>
    <r>
      <rPr>
        <sz val="11"/>
        <rFont val="標楷體"/>
        <family val="4"/>
        <charset val="136"/>
      </rPr>
      <t>年</t>
    </r>
    <phoneticPr fontId="17" type="noConversion"/>
  </si>
  <si>
    <r>
      <t>109</t>
    </r>
    <r>
      <rPr>
        <sz val="11"/>
        <rFont val="標楷體"/>
        <family val="4"/>
        <charset val="136"/>
      </rPr>
      <t>年</t>
    </r>
    <phoneticPr fontId="17" type="noConversion"/>
  </si>
  <si>
    <r>
      <t>110</t>
    </r>
    <r>
      <rPr>
        <sz val="11"/>
        <rFont val="標楷體"/>
        <family val="4"/>
        <charset val="136"/>
      </rPr>
      <t>年</t>
    </r>
    <phoneticPr fontId="17" type="noConversion"/>
  </si>
  <si>
    <r>
      <t>111</t>
    </r>
    <r>
      <rPr>
        <sz val="11"/>
        <rFont val="標楷體"/>
        <family val="4"/>
        <charset val="136"/>
      </rPr>
      <t>年</t>
    </r>
    <phoneticPr fontId="17" type="noConversion"/>
  </si>
  <si>
    <r>
      <t xml:space="preserve">                </t>
    </r>
    <r>
      <rPr>
        <sz val="11"/>
        <rFont val="標楷體"/>
        <family val="4"/>
        <charset val="136"/>
      </rPr>
      <t>其他醫療非耐久財等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。</t>
    </r>
    <phoneticPr fontId="17" type="noConversion"/>
  </si>
  <si>
    <t xml:space="preserve">Table 3   Financial Agents of National Health Expenditure </t>
    <phoneticPr fontId="17" type="noConversion"/>
  </si>
  <si>
    <t>新加坡</t>
    <phoneticPr fontId="17" type="noConversion"/>
  </si>
  <si>
    <t>Singapore</t>
    <phoneticPr fontId="17" type="noConversion"/>
  </si>
  <si>
    <r>
      <t xml:space="preserve">            2. </t>
    </r>
    <r>
      <rPr>
        <sz val="10"/>
        <rFont val="標楷體"/>
        <family val="4"/>
        <charset val="136"/>
      </rPr>
      <t>家庭部門包含</t>
    </r>
    <r>
      <rPr>
        <sz val="10"/>
        <rFont val="Times New Roman"/>
        <family val="1"/>
      </rPr>
      <t>(1)</t>
    </r>
    <r>
      <rPr>
        <sz val="10"/>
        <rFont val="標楷體"/>
        <family val="4"/>
        <charset val="136"/>
      </rPr>
      <t>醫療用具設備及器材自付費用</t>
    </r>
    <r>
      <rPr>
        <sz val="10"/>
        <rFont val="Times New Roman"/>
        <family val="1"/>
      </rPr>
      <t>(2)</t>
    </r>
    <r>
      <rPr>
        <sz val="10"/>
        <rFont val="標楷體"/>
        <family val="4"/>
        <charset val="136"/>
      </rPr>
      <t>醫療照護自付費用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含門診及住院自付費用、假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鑲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牙及矯正費</t>
    </r>
    <phoneticPr fontId="16" type="noConversion"/>
  </si>
  <si>
    <r>
      <t xml:space="preserve">            3. </t>
    </r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起含長期照顧服務支出。</t>
    </r>
    <phoneticPr fontId="16" type="noConversion"/>
  </si>
  <si>
    <r>
      <t xml:space="preserve">             2. Households includes 1) household expenditure on medical equipment and instruments</t>
    </r>
    <r>
      <rPr>
        <sz val="9"/>
        <rFont val="標楷體"/>
        <family val="4"/>
        <charset val="136"/>
      </rPr>
      <t>；</t>
    </r>
    <r>
      <rPr>
        <sz val="9"/>
        <rFont val="Times New Roman"/>
        <family val="1"/>
      </rPr>
      <t>2) household expenditure on medical care</t>
    </r>
    <phoneticPr fontId="16" type="noConversion"/>
  </si>
  <si>
    <t xml:space="preserve">             3. Since 1997, national health expenditures have included long-term care service expenses.</t>
    <phoneticPr fontId="16" type="noConversion"/>
  </si>
  <si>
    <r>
      <t xml:space="preserve">            3. </t>
    </r>
    <r>
      <rPr>
        <sz val="10"/>
        <rFont val="標楷體"/>
        <family val="4"/>
        <charset val="136"/>
      </rPr>
      <t>家庭部門包含</t>
    </r>
    <r>
      <rPr>
        <sz val="10"/>
        <rFont val="Times New Roman"/>
        <family val="1"/>
      </rPr>
      <t>(1)</t>
    </r>
    <r>
      <rPr>
        <sz val="10"/>
        <rFont val="標楷體"/>
        <family val="4"/>
        <charset val="136"/>
      </rPr>
      <t>醫療用具設備及器材自付費用</t>
    </r>
    <r>
      <rPr>
        <sz val="10"/>
        <rFont val="Times New Roman"/>
        <family val="1"/>
      </rPr>
      <t>(2)</t>
    </r>
    <r>
      <rPr>
        <sz val="10"/>
        <rFont val="標楷體"/>
        <family val="4"/>
        <charset val="136"/>
      </rPr>
      <t>醫療照護自付費用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含門診及住院自付費用</t>
    </r>
    <phoneticPr fontId="16" type="noConversion"/>
  </si>
  <si>
    <t xml:space="preserve">              2. National Health Insurance Administration setting up from 1995, other insurance sector (including Gov't Employees' Insurance</t>
    <phoneticPr fontId="17" type="noConversion"/>
  </si>
  <si>
    <r>
      <t xml:space="preserve">              3. Households includes 1) household expenditure on medical equipment and instruments</t>
    </r>
    <r>
      <rPr>
        <sz val="10"/>
        <rFont val="細明體"/>
        <family val="3"/>
        <charset val="136"/>
      </rPr>
      <t>；</t>
    </r>
    <r>
      <rPr>
        <sz val="10"/>
        <rFont val="Times New Roman"/>
        <family val="1"/>
      </rPr>
      <t>2) household expenditure on medical</t>
    </r>
    <phoneticPr fontId="16" type="noConversion"/>
  </si>
  <si>
    <t xml:space="preserve">             4. Since 1997, national health expenditures have included long-term care service expenses.</t>
    <phoneticPr fontId="16" type="noConversion"/>
  </si>
  <si>
    <r>
      <t xml:space="preserve">               2. </t>
    </r>
    <r>
      <rPr>
        <sz val="10"/>
        <rFont val="標楷體"/>
        <family val="4"/>
        <charset val="136"/>
      </rPr>
      <t>中央健康保險署自</t>
    </r>
    <r>
      <rPr>
        <sz val="10"/>
        <rFont val="Times New Roman"/>
        <family val="1"/>
      </rPr>
      <t>84</t>
    </r>
    <r>
      <rPr>
        <sz val="10"/>
        <rFont val="標楷體"/>
        <family val="4"/>
        <charset val="136"/>
      </rPr>
      <t>年開辦後，其他保險部門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含公務人員及相關保險、勞工保險、農民保險、民意代表保險、</t>
    </r>
    <phoneticPr fontId="17" type="noConversion"/>
  </si>
  <si>
    <r>
      <t xml:space="preserve">                   </t>
    </r>
    <r>
      <rPr>
        <sz val="10"/>
        <rFont val="標楷體"/>
        <family val="4"/>
        <charset val="136"/>
      </rPr>
      <t>低收入戸保險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即不再涵括相關之醫療保險給付，故本表僅保留全民健保部分。</t>
    </r>
    <phoneticPr fontId="17" type="noConversion"/>
  </si>
  <si>
    <r>
      <t xml:space="preserve">               3. </t>
    </r>
    <r>
      <rPr>
        <sz val="10"/>
        <rFont val="標楷體"/>
        <family val="4"/>
        <charset val="136"/>
      </rPr>
      <t>家庭部門包含</t>
    </r>
    <r>
      <rPr>
        <sz val="10"/>
        <rFont val="Times New Roman"/>
        <family val="1"/>
      </rPr>
      <t>(1)</t>
    </r>
    <r>
      <rPr>
        <sz val="10"/>
        <rFont val="標楷體"/>
        <family val="4"/>
        <charset val="136"/>
      </rPr>
      <t>醫療用具設備及器材自付費用</t>
    </r>
    <r>
      <rPr>
        <sz val="10"/>
        <rFont val="Times New Roman"/>
        <family val="1"/>
      </rPr>
      <t>(2)</t>
    </r>
    <r>
      <rPr>
        <sz val="10"/>
        <rFont val="標楷體"/>
        <family val="4"/>
        <charset val="136"/>
      </rPr>
      <t>醫療照護自付費用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含門診及住院自付費</t>
    </r>
    <phoneticPr fontId="16" type="noConversion"/>
  </si>
  <si>
    <r>
      <t xml:space="preserve">                   </t>
    </r>
    <r>
      <rPr>
        <sz val="10"/>
        <rFont val="標楷體"/>
        <family val="4"/>
        <charset val="136"/>
      </rPr>
      <t>用、假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鑲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牙及矯正費、療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養院、產後護理之家、居家照護費、民俗醫療費用等</t>
    </r>
    <r>
      <rPr>
        <sz val="10"/>
        <rFont val="Times New Roman"/>
        <family val="1"/>
      </rPr>
      <t>(3)</t>
    </r>
    <r>
      <rPr>
        <sz val="10"/>
        <rFont val="標楷體"/>
        <family val="4"/>
        <charset val="136"/>
      </rPr>
      <t>醫療保健用品自付費用</t>
    </r>
    <r>
      <rPr>
        <sz val="10"/>
        <rFont val="Times New Roman"/>
        <family val="1"/>
      </rPr>
      <t xml:space="preserve"> (</t>
    </r>
    <r>
      <rPr>
        <sz val="10"/>
        <rFont val="標楷體"/>
        <family val="4"/>
        <charset val="136"/>
      </rPr>
      <t>含非</t>
    </r>
    <phoneticPr fontId="17" type="noConversion"/>
  </si>
  <si>
    <r>
      <t xml:space="preserve">                   </t>
    </r>
    <r>
      <rPr>
        <sz val="10"/>
        <rFont val="標楷體"/>
        <family val="4"/>
        <charset val="136"/>
      </rPr>
      <t>處方西藥及中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藥、健康及保健食品、其他醫療非耐久財等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。</t>
    </r>
    <phoneticPr fontId="17" type="noConversion"/>
  </si>
  <si>
    <t>專業機構及其他</t>
    <phoneticPr fontId="17" type="noConversion"/>
  </si>
  <si>
    <t xml:space="preserve">Specialty Institutions and Other </t>
    <phoneticPr fontId="16" type="noConversion"/>
  </si>
  <si>
    <t>Current 
Health 
Expenditure
(million NT$)</t>
    <phoneticPr fontId="17" type="noConversion"/>
  </si>
  <si>
    <t>NHE</t>
    <phoneticPr fontId="17" type="noConversion"/>
  </si>
  <si>
    <t>CHE</t>
    <phoneticPr fontId="17" type="noConversion"/>
  </si>
  <si>
    <r>
      <t xml:space="preserve">Expenditure on Pharmaceuticals
as 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 xml:space="preserve"> of GDP</t>
    </r>
    <phoneticPr fontId="17" type="noConversion"/>
  </si>
  <si>
    <r>
      <t xml:space="preserve">Expenditure on 
Pharmaceuticals 
as 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 xml:space="preserve"> of CHE</t>
    </r>
    <phoneticPr fontId="17" type="noConversion"/>
  </si>
  <si>
    <r>
      <t>annual 
increase 
rate(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>)</t>
    </r>
    <phoneticPr fontId="42" type="noConversion"/>
  </si>
  <si>
    <r>
      <t xml:space="preserve">NHE as 
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 xml:space="preserve"> of 
GDP</t>
    </r>
    <phoneticPr fontId="17" type="noConversion"/>
  </si>
  <si>
    <r>
      <t xml:space="preserve">Current Health Expenditure as 
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 xml:space="preserve"> of 
GDP</t>
    </r>
    <phoneticPr fontId="17" type="noConversion"/>
  </si>
  <si>
    <r>
      <t xml:space="preserve">Out-of-Pocket Payments
as </t>
    </r>
    <r>
      <rPr>
        <sz val="14"/>
        <rFont val="標楷體"/>
        <family val="4"/>
        <charset val="136"/>
      </rPr>
      <t>％</t>
    </r>
    <r>
      <rPr>
        <sz val="14"/>
        <rFont val="Times New Roman"/>
        <family val="1"/>
      </rPr>
      <t xml:space="preserve"> of 
CHE</t>
    </r>
    <phoneticPr fontId="17" type="noConversion"/>
  </si>
  <si>
    <r>
      <rPr>
        <sz val="16"/>
        <rFont val="標楷體"/>
        <family val="4"/>
        <charset val="136"/>
      </rPr>
      <t xml:space="preserve">年增率
</t>
    </r>
    <r>
      <rPr>
        <sz val="16"/>
        <rFont val="Times New Roman"/>
        <family val="1"/>
      </rPr>
      <t>(</t>
    </r>
    <r>
      <rPr>
        <sz val="16"/>
        <rFont val="標楷體"/>
        <family val="4"/>
        <charset val="136"/>
      </rPr>
      <t>％</t>
    </r>
    <r>
      <rPr>
        <sz val="16"/>
        <rFont val="Times New Roman"/>
        <family val="1"/>
      </rPr>
      <t>)</t>
    </r>
    <phoneticPr fontId="42" type="noConversion"/>
  </si>
  <si>
    <r>
      <t>(</t>
    </r>
    <r>
      <rPr>
        <sz val="16"/>
        <rFont val="標楷體"/>
        <family val="4"/>
        <charset val="136"/>
      </rPr>
      <t>元</t>
    </r>
    <r>
      <rPr>
        <sz val="16"/>
        <rFont val="Times New Roman"/>
        <family val="1"/>
      </rPr>
      <t>)</t>
    </r>
    <phoneticPr fontId="17" type="noConversion"/>
  </si>
  <si>
    <r>
      <t>(</t>
    </r>
    <r>
      <rPr>
        <sz val="16"/>
        <rFont val="標楷體"/>
        <family val="4"/>
        <charset val="136"/>
      </rPr>
      <t>美元</t>
    </r>
    <r>
      <rPr>
        <sz val="16"/>
        <rFont val="Times New Roman"/>
        <family val="1"/>
      </rPr>
      <t>)</t>
    </r>
    <phoneticPr fontId="17" type="noConversion"/>
  </si>
  <si>
    <r>
      <t>NHE</t>
    </r>
    <r>
      <rPr>
        <sz val="16"/>
        <rFont val="標楷體"/>
        <family val="4"/>
        <charset val="136"/>
      </rPr>
      <t>占</t>
    </r>
    <r>
      <rPr>
        <sz val="16"/>
        <rFont val="Times New Roman"/>
        <family val="1"/>
      </rPr>
      <t>GDP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phoneticPr fontId="17" type="noConversion"/>
  </si>
  <si>
    <r>
      <t>CHE</t>
    </r>
    <r>
      <rPr>
        <sz val="16"/>
        <rFont val="標楷體"/>
        <family val="4"/>
        <charset val="136"/>
      </rPr>
      <t>占</t>
    </r>
    <r>
      <rPr>
        <sz val="16"/>
        <rFont val="Times New Roman"/>
        <family val="1"/>
      </rPr>
      <t>GDP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phoneticPr fontId="17" type="noConversion"/>
  </si>
  <si>
    <r>
      <rPr>
        <sz val="16"/>
        <rFont val="標楷體"/>
        <family val="4"/>
        <charset val="136"/>
      </rPr>
      <t xml:space="preserve">名目國內生產毛額
</t>
    </r>
    <r>
      <rPr>
        <sz val="16"/>
        <rFont val="Times New Roman"/>
        <family val="1"/>
      </rPr>
      <t>(GDP)</t>
    </r>
    <phoneticPr fontId="17" type="noConversion"/>
  </si>
  <si>
    <r>
      <rPr>
        <sz val="16"/>
        <rFont val="標楷體"/>
        <family val="4"/>
        <charset val="136"/>
      </rPr>
      <t xml:space="preserve">醫療保健支出
</t>
    </r>
    <r>
      <rPr>
        <sz val="16"/>
        <rFont val="Times New Roman"/>
        <family val="1"/>
      </rPr>
      <t>(NHE)</t>
    </r>
    <phoneticPr fontId="17" type="noConversion"/>
  </si>
  <si>
    <r>
      <rPr>
        <sz val="16"/>
        <rFont val="標楷體"/>
        <family val="4"/>
        <charset val="136"/>
      </rPr>
      <t xml:space="preserve">經常性醫療保健支出
</t>
    </r>
    <r>
      <rPr>
        <sz val="16"/>
        <rFont val="Times New Roman"/>
        <family val="1"/>
      </rPr>
      <t xml:space="preserve">(CHE) </t>
    </r>
    <phoneticPr fontId="17" type="noConversion"/>
  </si>
  <si>
    <r>
      <t>(</t>
    </r>
    <r>
      <rPr>
        <sz val="16"/>
        <rFont val="標楷體"/>
        <family val="4"/>
        <charset val="136"/>
      </rPr>
      <t>百萬元</t>
    </r>
    <r>
      <rPr>
        <sz val="16"/>
        <rFont val="Times New Roman"/>
        <family val="1"/>
      </rPr>
      <t>)</t>
    </r>
    <phoneticPr fontId="17" type="noConversion"/>
  </si>
  <si>
    <r>
      <rPr>
        <sz val="16"/>
        <rFont val="標楷體"/>
        <family val="4"/>
        <charset val="136"/>
      </rPr>
      <t>公部門
醫療保健支出
占</t>
    </r>
    <r>
      <rPr>
        <sz val="16"/>
        <rFont val="Times New Roman"/>
        <family val="1"/>
      </rPr>
      <t>NHE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phoneticPr fontId="17" type="noConversion"/>
  </si>
  <si>
    <r>
      <rPr>
        <sz val="16"/>
        <rFont val="標楷體"/>
        <family val="4"/>
        <charset val="136"/>
      </rPr>
      <t>藥品消費
支出
占</t>
    </r>
    <r>
      <rPr>
        <sz val="16"/>
        <rFont val="Times New Roman"/>
        <family val="1"/>
      </rPr>
      <t>CHE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r>
      <rPr>
        <sz val="16"/>
        <rFont val="標楷體"/>
        <family val="4"/>
        <charset val="136"/>
      </rPr>
      <t xml:space="preserve">
</t>
    </r>
    <r>
      <rPr>
        <sz val="16"/>
        <rFont val="Times New Roman"/>
        <family val="1"/>
      </rPr>
      <t/>
    </r>
    <phoneticPr fontId="17" type="noConversion"/>
  </si>
  <si>
    <r>
      <rPr>
        <sz val="16"/>
        <rFont val="標楷體"/>
        <family val="4"/>
        <charset val="136"/>
      </rPr>
      <t>藥品消費
支出
占</t>
    </r>
    <r>
      <rPr>
        <sz val="16"/>
        <rFont val="Times New Roman"/>
        <family val="1"/>
      </rPr>
      <t>GDP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r>
      <rPr>
        <sz val="16"/>
        <rFont val="標楷體"/>
        <family val="4"/>
        <charset val="136"/>
      </rPr>
      <t xml:space="preserve">
</t>
    </r>
    <r>
      <rPr>
        <sz val="16"/>
        <rFont val="Times New Roman"/>
        <family val="1"/>
      </rPr>
      <t/>
    </r>
    <phoneticPr fontId="17" type="noConversion"/>
  </si>
  <si>
    <r>
      <rPr>
        <sz val="16"/>
        <rFont val="標楷體"/>
        <family val="4"/>
        <charset val="136"/>
      </rPr>
      <t>強制醫療保險
占公部門</t>
    </r>
    <r>
      <rPr>
        <sz val="16"/>
        <rFont val="Times New Roman"/>
        <family val="1"/>
      </rPr>
      <t>CHE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phoneticPr fontId="17" type="noConversion"/>
  </si>
  <si>
    <r>
      <rPr>
        <sz val="16"/>
        <rFont val="標楷體"/>
        <family val="4"/>
        <charset val="136"/>
      </rPr>
      <t>公部門經常性
醫療保健支出
占</t>
    </r>
    <r>
      <rPr>
        <sz val="16"/>
        <rFont val="Times New Roman"/>
        <family val="1"/>
      </rPr>
      <t>CHE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 xml:space="preserve">(%) </t>
    </r>
    <phoneticPr fontId="17" type="noConversion"/>
  </si>
  <si>
    <r>
      <rPr>
        <sz val="16"/>
        <rFont val="標楷體"/>
        <family val="4"/>
        <charset val="136"/>
      </rPr>
      <t>家庭自付
費用
占</t>
    </r>
    <r>
      <rPr>
        <sz val="16"/>
        <rFont val="Times New Roman"/>
        <family val="1"/>
      </rPr>
      <t>CHE</t>
    </r>
    <r>
      <rPr>
        <sz val="16"/>
        <rFont val="標楷體"/>
        <family val="4"/>
        <charset val="136"/>
      </rPr>
      <t xml:space="preserve">比重
</t>
    </r>
    <r>
      <rPr>
        <sz val="16"/>
        <rFont val="Times New Roman"/>
        <family val="1"/>
      </rPr>
      <t>(%)</t>
    </r>
    <phoneticPr fontId="17" type="noConversion"/>
  </si>
  <si>
    <t>平均每人支出</t>
    <phoneticPr fontId="17" type="noConversion"/>
  </si>
  <si>
    <r>
      <rPr>
        <sz val="16"/>
        <rFont val="Times New Roman"/>
        <family val="1"/>
      </rPr>
      <t>110</t>
    </r>
    <r>
      <rPr>
        <sz val="16"/>
        <rFont val="標楷體"/>
        <family val="4"/>
        <charset val="136"/>
      </rPr>
      <t>年</t>
    </r>
    <phoneticPr fontId="17" type="noConversion"/>
  </si>
  <si>
    <r>
      <t>112</t>
    </r>
    <r>
      <rPr>
        <sz val="16"/>
        <rFont val="標楷體"/>
        <family val="4"/>
        <charset val="136"/>
      </rPr>
      <t>年</t>
    </r>
    <phoneticPr fontId="17" type="noConversion"/>
  </si>
  <si>
    <t>Table 2   Statistics of  National Health Expenditure  (Cont'd)</t>
    <phoneticPr fontId="17" type="noConversion"/>
  </si>
  <si>
    <r>
      <t>112</t>
    </r>
    <r>
      <rPr>
        <sz val="12"/>
        <rFont val="標楷體"/>
        <family val="4"/>
        <charset val="136"/>
      </rPr>
      <t>年</t>
    </r>
    <phoneticPr fontId="16" type="noConversion"/>
  </si>
  <si>
    <r>
      <rPr>
        <sz val="12"/>
        <rFont val="Times New Roman"/>
        <family val="1"/>
      </rPr>
      <t>112</t>
    </r>
    <r>
      <rPr>
        <sz val="12"/>
        <rFont val="標楷體"/>
        <family val="4"/>
        <charset val="136"/>
      </rPr>
      <t>年</t>
    </r>
    <phoneticPr fontId="17" type="noConversion"/>
  </si>
  <si>
    <t>Table 3   Financial  Agents of National Health Expenditure (Cont.2)</t>
    <phoneticPr fontId="17" type="noConversion"/>
  </si>
  <si>
    <r>
      <t>102</t>
    </r>
    <r>
      <rPr>
        <sz val="11"/>
        <rFont val="標楷體"/>
        <family val="4"/>
        <charset val="136"/>
      </rPr>
      <t>年</t>
    </r>
    <phoneticPr fontId="17" type="noConversion"/>
  </si>
  <si>
    <t>Capital
 Formation</t>
    <phoneticPr fontId="17" type="noConversion"/>
  </si>
  <si>
    <t>Capital 
Formation</t>
    <phoneticPr fontId="17" type="noConversion"/>
  </si>
  <si>
    <r>
      <t>112</t>
    </r>
    <r>
      <rPr>
        <sz val="11"/>
        <rFont val="標楷體"/>
        <family val="4"/>
        <charset val="136"/>
      </rPr>
      <t>年</t>
    </r>
    <phoneticPr fontId="17" type="noConversion"/>
  </si>
  <si>
    <t>Capital
Formation</t>
    <phoneticPr fontId="17" type="noConversion"/>
  </si>
  <si>
    <r>
      <t>112</t>
    </r>
    <r>
      <rPr>
        <sz val="10"/>
        <rFont val="標楷體"/>
        <family val="4"/>
        <charset val="136"/>
      </rPr>
      <t>年</t>
    </r>
    <phoneticPr fontId="17" type="noConversion"/>
  </si>
  <si>
    <t>Table 5   Health Expenditure at Average Exchange Rate (US$)</t>
    <phoneticPr fontId="17" type="noConversion"/>
  </si>
  <si>
    <t>Table 5   Health Expenditure at Average Exchange Rate (US$) (Cont.)</t>
    <phoneticPr fontId="17" type="noConversion"/>
  </si>
  <si>
    <t>Table 6   Health Expenditure as % of Gross Domestic Product</t>
    <phoneticPr fontId="17" type="noConversion"/>
  </si>
  <si>
    <t>Table 6   Health Expenditure as % of Gross Domestic Product (Cont.)</t>
    <phoneticPr fontId="17" type="noConversion"/>
  </si>
  <si>
    <t>Table 7   Per Capita Health Expenditure at Average Exchange Rate (US$)</t>
    <phoneticPr fontId="17" type="noConversion"/>
  </si>
  <si>
    <t>Table 7   Per Capita Health Expenditure at Average Exchange Rate (US$)  (Cont.)</t>
    <phoneticPr fontId="17" type="noConversion"/>
  </si>
  <si>
    <t>附註：依最新國民所得統計進行編算修正。</t>
    <phoneticPr fontId="16" type="noConversion"/>
  </si>
  <si>
    <r>
      <t xml:space="preserve">            2.Households includes 1) household expenditure on medical equipment and instruments</t>
    </r>
    <r>
      <rPr>
        <sz val="9"/>
        <rFont val="標楷體"/>
        <family val="4"/>
        <charset val="136"/>
      </rPr>
      <t>；</t>
    </r>
    <r>
      <rPr>
        <sz val="9"/>
        <rFont val="Times New Roman"/>
        <family val="1"/>
      </rPr>
      <t>2) household expenditure</t>
    </r>
    <phoneticPr fontId="17" type="noConversion"/>
  </si>
  <si>
    <t xml:space="preserve">              on medical care  (including outpatient and inpatient care, dental prosthesis &amp; orthopedics, sanatorium, nursing homes, </t>
    <phoneticPr fontId="16" type="noConversion"/>
  </si>
  <si>
    <r>
      <t xml:space="preserve">              postpartum nursing care center, traditional medical treatments etc.</t>
    </r>
    <r>
      <rPr>
        <sz val="9"/>
        <rFont val="新細明體"/>
        <family val="1"/>
        <charset val="136"/>
      </rPr>
      <t>；</t>
    </r>
    <r>
      <rPr>
        <sz val="9"/>
        <rFont val="Times New Roman"/>
        <family val="1"/>
      </rPr>
      <t xml:space="preserve">3) household expenditure on health care appliance </t>
    </r>
    <phoneticPr fontId="16" type="noConversion"/>
  </si>
  <si>
    <t xml:space="preserve">              (including over-the-counter western, traditional Chinese and herbal medicines, healthy foods, and other medical </t>
    <phoneticPr fontId="16" type="noConversion"/>
  </si>
  <si>
    <t xml:space="preserve">              non-durable goods).</t>
    <phoneticPr fontId="16" type="noConversion"/>
  </si>
  <si>
    <r>
      <t xml:space="preserve">                </t>
    </r>
    <r>
      <rPr>
        <sz val="11"/>
        <rFont val="標楷體"/>
        <family val="4"/>
        <charset val="136"/>
      </rPr>
      <t>及矯正費、療養院、產後護理之家、居家照護費、民俗醫療費用等)</t>
    </r>
    <r>
      <rPr>
        <sz val="11"/>
        <rFont val="Times New Roman"/>
        <family val="1"/>
      </rPr>
      <t>(3)</t>
    </r>
    <r>
      <rPr>
        <sz val="11"/>
        <rFont val="標楷體"/>
        <family val="4"/>
        <charset val="136"/>
      </rPr>
      <t>醫療保健用品自付費用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含非處方西藥及中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草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藥、</t>
    </r>
    <phoneticPr fontId="17" type="noConversion"/>
  </si>
  <si>
    <r>
      <t xml:space="preserve">              </t>
    </r>
    <r>
      <rPr>
        <sz val="11"/>
        <rFont val="標楷體"/>
        <family val="4"/>
        <charset val="136"/>
      </rPr>
      <t xml:space="preserve"> 營養保健品、其他醫療非耐久財等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。</t>
    </r>
    <phoneticPr fontId="17" type="noConversion"/>
  </si>
  <si>
    <r>
      <t xml:space="preserve">                </t>
    </r>
    <r>
      <rPr>
        <sz val="10"/>
        <rFont val="標楷體"/>
        <family val="4"/>
        <charset val="136"/>
      </rPr>
      <t>、療</t>
    </r>
    <r>
      <rPr>
        <sz val="10"/>
        <rFont val="標楷體"/>
        <family val="4"/>
        <charset val="136"/>
      </rPr>
      <t>養院、產後護理之家、居家照護費、民俗醫療費用等</t>
    </r>
    <r>
      <rPr>
        <sz val="10"/>
        <rFont val="Times New Roman"/>
        <family val="1"/>
      </rPr>
      <t>)(3)</t>
    </r>
    <r>
      <rPr>
        <sz val="10"/>
        <rFont val="標楷體"/>
        <family val="4"/>
        <charset val="136"/>
      </rPr>
      <t>醫療保健用品自付費用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含非處方西藥及中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藥、</t>
    </r>
    <phoneticPr fontId="17" type="noConversion"/>
  </si>
  <si>
    <r>
      <t xml:space="preserve">               </t>
    </r>
    <r>
      <rPr>
        <sz val="10"/>
        <rFont val="標楷體"/>
        <family val="4"/>
        <charset val="136"/>
      </rPr>
      <t>營養保健品、其他醫療非耐久財等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。</t>
    </r>
    <phoneticPr fontId="17" type="noConversion"/>
  </si>
  <si>
    <r>
      <t xml:space="preserve">                </t>
    </r>
    <r>
      <rPr>
        <sz val="10"/>
        <rFont val="標楷體"/>
        <family val="4"/>
        <charset val="136"/>
      </rPr>
      <t>處方西藥及中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藥、營養保健品、其他醫療非耐久財等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。</t>
    </r>
    <phoneticPr fontId="17" type="noConversion"/>
  </si>
  <si>
    <r>
      <t xml:space="preserve">                </t>
    </r>
    <r>
      <rPr>
        <sz val="10"/>
        <rFont val="標楷體"/>
        <family val="4"/>
        <charset val="136"/>
      </rPr>
      <t>、假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鑲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牙及矯正費、療</t>
    </r>
    <r>
      <rPr>
        <sz val="10"/>
        <rFont val="標楷體"/>
        <family val="4"/>
        <charset val="136"/>
      </rPr>
      <t>養院、產後護理之家、居家照護費、民俗醫療費用等</t>
    </r>
    <r>
      <rPr>
        <sz val="10"/>
        <rFont val="Times New Roman"/>
        <family val="1"/>
      </rPr>
      <t>(3)</t>
    </r>
    <r>
      <rPr>
        <sz val="10"/>
        <rFont val="標楷體"/>
        <family val="4"/>
        <charset val="136"/>
      </rPr>
      <t>醫療保健用品自付費用</t>
    </r>
    <r>
      <rPr>
        <sz val="10"/>
        <rFont val="Times New Roman"/>
        <family val="1"/>
      </rPr>
      <t xml:space="preserve"> (</t>
    </r>
    <r>
      <rPr>
        <sz val="10"/>
        <rFont val="標楷體"/>
        <family val="4"/>
        <charset val="136"/>
      </rPr>
      <t>含非</t>
    </r>
    <phoneticPr fontId="17" type="noConversion"/>
  </si>
  <si>
    <r>
      <t xml:space="preserve">                </t>
    </r>
    <r>
      <rPr>
        <sz val="11"/>
        <rFont val="標楷體"/>
        <family val="4"/>
        <charset val="136"/>
      </rPr>
      <t>醫療費用等</t>
    </r>
    <r>
      <rPr>
        <sz val="11"/>
        <rFont val="Times New Roman"/>
        <family val="1"/>
      </rPr>
      <t>(3)</t>
    </r>
    <r>
      <rPr>
        <sz val="11"/>
        <rFont val="標楷體"/>
        <family val="4"/>
        <charset val="136"/>
      </rPr>
      <t>醫療保健用品自付費用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含非處方西藥及中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草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藥、營養保健品、</t>
    </r>
    <phoneticPr fontId="17" type="noConversion"/>
  </si>
  <si>
    <t>家庭
自付</t>
    <phoneticPr fontId="17" type="noConversion"/>
  </si>
  <si>
    <r>
      <t>113</t>
    </r>
    <r>
      <rPr>
        <sz val="16"/>
        <rFont val="標楷體"/>
        <family val="4"/>
        <charset val="136"/>
      </rPr>
      <t>年</t>
    </r>
    <phoneticPr fontId="17" type="noConversion"/>
  </si>
  <si>
    <r>
      <t>113</t>
    </r>
    <r>
      <rPr>
        <sz val="12"/>
        <rFont val="標楷體"/>
        <family val="4"/>
        <charset val="136"/>
      </rPr>
      <t>年</t>
    </r>
    <phoneticPr fontId="16" type="noConversion"/>
  </si>
  <si>
    <t>Table 3   Financial  Agents of National Health Expenditure (Cont'd)</t>
    <phoneticPr fontId="17" type="noConversion"/>
  </si>
  <si>
    <r>
      <rPr>
        <sz val="12"/>
        <rFont val="Times New Roman"/>
        <family val="1"/>
      </rPr>
      <t>113</t>
    </r>
    <r>
      <rPr>
        <sz val="12"/>
        <rFont val="標楷體"/>
        <family val="4"/>
        <charset val="136"/>
      </rPr>
      <t>年</t>
    </r>
    <phoneticPr fontId="17" type="noConversion"/>
  </si>
  <si>
    <t>Table 4   Financial Allocation of National Health Expenditure (Cont. 8)</t>
    <phoneticPr fontId="16" type="noConversion"/>
  </si>
  <si>
    <t>Table 4   Financial Allocation of National Health Expenditure (Cont. 9)</t>
    <phoneticPr fontId="16" type="noConversion"/>
  </si>
  <si>
    <r>
      <t>113</t>
    </r>
    <r>
      <rPr>
        <sz val="11"/>
        <rFont val="標楷體"/>
        <family val="4"/>
        <charset val="136"/>
      </rPr>
      <t>年</t>
    </r>
    <phoneticPr fontId="17" type="noConversion"/>
  </si>
  <si>
    <t>政府</t>
    <phoneticPr fontId="17" type="noConversion"/>
  </si>
  <si>
    <t>強制
醫療保險
計畫</t>
    <phoneticPr fontId="42" type="noConversion"/>
  </si>
  <si>
    <t>社會醫療
保險</t>
    <phoneticPr fontId="42" type="noConversion"/>
  </si>
  <si>
    <t>強制性
私人保險</t>
    <phoneticPr fontId="42" type="noConversion"/>
  </si>
  <si>
    <t>Government/compulsory schemes</t>
    <phoneticPr fontId="17" type="noConversion"/>
  </si>
  <si>
    <t>Government schemes</t>
    <phoneticPr fontId="17" type="noConversion"/>
  </si>
  <si>
    <t>Compulsory contributory health insurance schemes</t>
    <phoneticPr fontId="17" type="noConversion"/>
  </si>
  <si>
    <t>Social health insurance schemes</t>
    <phoneticPr fontId="17" type="noConversion"/>
  </si>
  <si>
    <t>Compulsory private insurance schemes</t>
    <phoneticPr fontId="17" type="noConversion"/>
  </si>
  <si>
    <t>表10 私部門經常性醫療保健支出占經常性醫療保健支出比重</t>
    <phoneticPr fontId="17" type="noConversion"/>
  </si>
  <si>
    <t>公部門
(政府及
強制醫療
保險計畫)</t>
    <phoneticPr fontId="64" type="noConversion"/>
  </si>
  <si>
    <t>私部門</t>
    <phoneticPr fontId="64" type="noConversion"/>
  </si>
  <si>
    <t>Voluntary schemes/household out-of-pocket payments</t>
    <phoneticPr fontId="17" type="noConversion"/>
  </si>
  <si>
    <t>自願
健康保險</t>
    <phoneticPr fontId="17" type="noConversion"/>
  </si>
  <si>
    <t>Voluntary health insurance schemes</t>
    <phoneticPr fontId="17" type="noConversion"/>
  </si>
  <si>
    <t>Enterprise and NPISH financing schemes</t>
    <phoneticPr fontId="17" type="noConversion"/>
  </si>
  <si>
    <t>Household out-of-pocket payments</t>
    <phoneticPr fontId="17" type="noConversion"/>
  </si>
  <si>
    <t>雇主/企業及民間非營利團體</t>
    <phoneticPr fontId="42" type="noConversion"/>
  </si>
  <si>
    <t>說明：我國自願健康保險制度係由民眾先支付醫療支出，事後申請理賠，故我國家庭自付費用包含自願健康(商業)保險理賠。</t>
    <phoneticPr fontId="16" type="noConversion"/>
  </si>
  <si>
    <t>Note: In R.O.C., individuals pay medical expenses first and claim reimbursement later. As a result, OOP include reimbursements from commercial insurance.</t>
    <phoneticPr fontId="17" type="noConversion"/>
  </si>
  <si>
    <r>
      <t>113</t>
    </r>
    <r>
      <rPr>
        <sz val="10"/>
        <rFont val="標楷體"/>
        <family val="4"/>
        <charset val="136"/>
      </rPr>
      <t>年</t>
    </r>
    <phoneticPr fontId="17" type="noConversion"/>
  </si>
  <si>
    <r>
      <rPr>
        <sz val="10"/>
        <rFont val="標楷體"/>
        <family val="4"/>
        <charset val="136"/>
      </rPr>
      <t>附註：</t>
    </r>
    <r>
      <rPr>
        <sz val="10"/>
        <rFont val="Times New Roman"/>
        <family val="1"/>
      </rPr>
      <t>1.</t>
    </r>
    <r>
      <rPr>
        <sz val="10"/>
        <rFont val="標楷體"/>
        <family val="4"/>
        <charset val="136"/>
      </rPr>
      <t>我國藥品消費支出參閱表</t>
    </r>
    <r>
      <rPr>
        <sz val="10"/>
        <rFont val="Times New Roman"/>
        <family val="1"/>
      </rPr>
      <t>1</t>
    </r>
    <r>
      <rPr>
        <sz val="10"/>
        <rFont val="標楷體"/>
        <family val="4"/>
        <charset val="136"/>
      </rPr>
      <t>附註。</t>
    </r>
    <phoneticPr fontId="17" type="noConversion"/>
  </si>
  <si>
    <r>
      <t xml:space="preserve">              2.OECD </t>
    </r>
    <r>
      <rPr>
        <sz val="10"/>
        <rFont val="標楷體"/>
        <family val="4"/>
        <charset val="136"/>
      </rPr>
      <t>國家藥品消費支出為其健康統計資料中「藥費及其他醫療非耐久財｣項下「處方藥｣及「非處方藥｣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之合計。</t>
    </r>
    <phoneticPr fontId="17" type="noConversion"/>
  </si>
  <si>
    <r>
      <rPr>
        <sz val="9"/>
        <rFont val="標楷體"/>
        <family val="4"/>
        <charset val="136"/>
      </rPr>
      <t>附註：我國匯率資料源於行政院主計總處。</t>
    </r>
  </si>
  <si>
    <t/>
  </si>
  <si>
    <t>…</t>
    <phoneticPr fontId="17" type="noConversion"/>
  </si>
  <si>
    <t>...</t>
    <phoneticPr fontId="17" type="noConversion"/>
  </si>
  <si>
    <t xml:space="preserve">           2.Pharmaceutical Expenditur of OECD member states includes prescription medicines and over-the-counter medicines</t>
    <phoneticPr fontId="17" type="noConversion"/>
  </si>
  <si>
    <t xml:space="preserve">             (Other medical non-durable goods are not included).</t>
    <phoneticPr fontId="17" type="noConversion"/>
  </si>
  <si>
    <r>
      <t xml:space="preserve">            2.OECD </t>
    </r>
    <r>
      <rPr>
        <sz val="10"/>
        <rFont val="標楷體"/>
        <family val="4"/>
        <charset val="136"/>
      </rPr>
      <t>國家藥品消費支出為其健康統計資料中「藥費及其他醫療非耐久財｣項下「處方藥｣及「非處方藥｣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之合計。</t>
    </r>
    <phoneticPr fontId="17" type="noConversion"/>
  </si>
  <si>
    <r>
      <rPr>
        <sz val="9"/>
        <rFont val="標楷體"/>
        <family val="4"/>
        <charset val="136"/>
      </rPr>
      <t>附註：</t>
    </r>
    <r>
      <rPr>
        <sz val="9"/>
        <rFont val="Times New Roman"/>
        <family val="1"/>
      </rPr>
      <t>1.</t>
    </r>
    <r>
      <rPr>
        <sz val="9"/>
        <rFont val="標楷體"/>
        <family val="4"/>
        <charset val="136"/>
      </rPr>
      <t>我國匯率資料源於行政院主計總處。</t>
    </r>
    <phoneticPr fontId="17" type="noConversion"/>
  </si>
  <si>
    <t>Note: 1.Currency rate of Taiwan Dollar is from DGBAS.</t>
    <phoneticPr fontId="17" type="noConversion"/>
  </si>
  <si>
    <t xml:space="preserve">          2.Under the Government/compulsory schemes, Singapore also has a “Compulsory medical saving accounts.”</t>
    <phoneticPr fontId="17" type="noConversion"/>
  </si>
  <si>
    <t xml:space="preserve">              2.Pharmaceutical Expenditur of OECD member states includes prescription medicines and over-the-counter medicines</t>
    <phoneticPr fontId="17" type="noConversion"/>
  </si>
  <si>
    <t xml:space="preserve">               (Other medical non-durable goods are not included).</t>
    <phoneticPr fontId="17" type="noConversion"/>
  </si>
  <si>
    <t>Source: OECD Health Statistics (Data extracted on 15 Dec. 2025), WHO Global Health Expenditure Database(Data extracted on 15 Dec. 2025).</t>
    <phoneticPr fontId="17" type="noConversion"/>
  </si>
  <si>
    <r>
      <rPr>
        <sz val="10"/>
        <rFont val="標楷體"/>
        <family val="4"/>
        <charset val="136"/>
      </rPr>
      <t>資料來源：經濟合作與發展組織健康統計資料</t>
    </r>
    <r>
      <rPr>
        <sz val="10"/>
        <rFont val="Times New Roman"/>
        <family val="1"/>
      </rPr>
      <t>(OECD Health Statistics)</t>
    </r>
    <r>
      <rPr>
        <sz val="10"/>
        <rFont val="標楷體"/>
        <family val="4"/>
        <charset val="136"/>
      </rPr>
      <t>，資料擷取時間</t>
    </r>
    <r>
      <rPr>
        <sz val="10"/>
        <rFont val="Times New Roman"/>
        <family val="1"/>
      </rPr>
      <t>2025/12/15</t>
    </r>
    <r>
      <rPr>
        <sz val="10"/>
        <rFont val="標楷體"/>
        <family val="4"/>
        <charset val="136"/>
      </rPr>
      <t>；
          世界衛生組織全球衛生支出資料庫，資料擷取時間</t>
    </r>
    <r>
      <rPr>
        <sz val="10"/>
        <rFont val="Times New Roman"/>
        <family val="1"/>
      </rPr>
      <t>2025/12/15</t>
    </r>
    <r>
      <rPr>
        <sz val="10"/>
        <rFont val="標楷體"/>
        <family val="4"/>
        <charset val="136"/>
      </rPr>
      <t>。</t>
    </r>
    <phoneticPr fontId="16" type="noConversion"/>
  </si>
  <si>
    <t>單位：美元</t>
    <phoneticPr fontId="16" type="noConversion"/>
  </si>
  <si>
    <t>Unit : US$</t>
    <phoneticPr fontId="17" type="noConversion"/>
  </si>
  <si>
    <r>
      <t xml:space="preserve">           2.</t>
    </r>
    <r>
      <rPr>
        <sz val="9"/>
        <rFont val="標楷體"/>
        <family val="4"/>
        <charset val="136"/>
      </rPr>
      <t>新加坡在公部門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政府及強制醫療保險計畫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項下，尚有「強制性醫療儲蓄帳戶」。</t>
    </r>
    <phoneticPr fontId="17" type="noConversion"/>
  </si>
  <si>
    <r>
      <t xml:space="preserve">          2.</t>
    </r>
    <r>
      <rPr>
        <sz val="9"/>
        <rFont val="標楷體"/>
        <family val="4"/>
        <charset val="136"/>
      </rPr>
      <t>新加坡在公部門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政府及強制醫療保險計畫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項下，尚有「強制性醫療儲蓄帳戶」。</t>
    </r>
    <phoneticPr fontId="17" type="noConversion"/>
  </si>
  <si>
    <r>
      <rPr>
        <sz val="9"/>
        <rFont val="標楷體"/>
        <family val="4"/>
        <charset val="136"/>
      </rPr>
      <t>資料來源：經濟合作與發展組織健康統計資料</t>
    </r>
    <r>
      <rPr>
        <sz val="9"/>
        <rFont val="Times New Roman"/>
        <family val="1"/>
      </rPr>
      <t>(OECD Health Statistics)</t>
    </r>
    <r>
      <rPr>
        <sz val="9"/>
        <rFont val="標楷體"/>
        <family val="4"/>
        <charset val="136"/>
      </rPr>
      <t>，資料擷取時間</t>
    </r>
    <r>
      <rPr>
        <sz val="9"/>
        <rFont val="Times New Roman"/>
        <family val="1"/>
      </rPr>
      <t>2025/12/22</t>
    </r>
    <r>
      <rPr>
        <sz val="9"/>
        <rFont val="標楷體"/>
        <family val="4"/>
        <charset val="136"/>
      </rPr>
      <t>；世界衛生組織全球衛生支出資料庫，資料擷取時間</t>
    </r>
    <r>
      <rPr>
        <sz val="9"/>
        <rFont val="Times New Roman"/>
        <family val="1"/>
      </rPr>
      <t>2025/12/22</t>
    </r>
    <r>
      <rPr>
        <sz val="9"/>
        <rFont val="標楷體"/>
        <family val="4"/>
        <charset val="136"/>
      </rPr>
      <t>。</t>
    </r>
    <phoneticPr fontId="16" type="noConversion"/>
  </si>
  <si>
    <t>Source: OECD Health Statistics (Data extracted on 22 Dec. 2025), WHO Global Health Expenditure Database(Data extracted on 22 Dec. 2025).</t>
    <phoneticPr fontId="17" type="noConversion"/>
  </si>
  <si>
    <r>
      <rPr>
        <sz val="10"/>
        <rFont val="標楷體"/>
        <family val="4"/>
        <charset val="136"/>
      </rPr>
      <t>資料來源：經濟合作與發展組織健康統計資料</t>
    </r>
    <r>
      <rPr>
        <sz val="10"/>
        <rFont val="Times New Roman"/>
        <family val="1"/>
      </rPr>
      <t>(OECD Health Statistics)</t>
    </r>
    <r>
      <rPr>
        <sz val="10"/>
        <rFont val="標楷體"/>
        <family val="4"/>
        <charset val="136"/>
      </rPr>
      <t>，資料擷取時間</t>
    </r>
    <r>
      <rPr>
        <sz val="10"/>
        <rFont val="Times New Roman"/>
        <family val="1"/>
      </rPr>
      <t>2025/12/22</t>
    </r>
    <r>
      <rPr>
        <sz val="10"/>
        <rFont val="標楷體"/>
        <family val="4"/>
        <charset val="136"/>
      </rPr>
      <t>；
          世界衛生組織全球衛生支出資料庫，資料擷取時間</t>
    </r>
    <r>
      <rPr>
        <sz val="10"/>
        <rFont val="Times New Roman"/>
        <family val="1"/>
      </rPr>
      <t>2025/12/22</t>
    </r>
    <r>
      <rPr>
        <sz val="10"/>
        <rFont val="標楷體"/>
        <family val="4"/>
        <charset val="136"/>
      </rPr>
      <t>。</t>
    </r>
    <phoneticPr fontId="16" type="noConversion"/>
  </si>
  <si>
    <r>
      <rPr>
        <sz val="9"/>
        <rFont val="標楷體"/>
        <family val="4"/>
        <charset val="136"/>
      </rPr>
      <t>資料來源：經濟合作暨發展組織健康統計資料</t>
    </r>
    <r>
      <rPr>
        <sz val="9"/>
        <rFont val="Times New Roman"/>
        <family val="1"/>
      </rPr>
      <t>(OECD Health Statistics)</t>
    </r>
    <r>
      <rPr>
        <sz val="9"/>
        <rFont val="標楷體"/>
        <family val="4"/>
        <charset val="136"/>
      </rPr>
      <t>，資料擷取時間</t>
    </r>
    <r>
      <rPr>
        <sz val="9"/>
        <rFont val="Times New Roman"/>
        <family val="1"/>
      </rPr>
      <t>2025/12/22</t>
    </r>
    <r>
      <rPr>
        <sz val="9"/>
        <rFont val="標楷體"/>
        <family val="4"/>
        <charset val="136"/>
      </rPr>
      <t>；世界衛生組織全球衛生支出資料庫，資料擷取時間</t>
    </r>
    <r>
      <rPr>
        <sz val="9"/>
        <rFont val="Times New Roman"/>
        <family val="1"/>
      </rPr>
      <t>2025/12/22</t>
    </r>
    <r>
      <rPr>
        <sz val="9"/>
        <rFont val="標楷體"/>
        <family val="4"/>
        <charset val="136"/>
      </rPr>
      <t>。</t>
    </r>
    <phoneticPr fontId="16" type="noConversion"/>
  </si>
  <si>
    <r>
      <rPr>
        <sz val="9"/>
        <rFont val="標楷體"/>
        <family val="4"/>
        <charset val="136"/>
      </rPr>
      <t>資料來源：經濟合作暨發展組織健康統計資料</t>
    </r>
    <r>
      <rPr>
        <sz val="9"/>
        <rFont val="Times New Roman"/>
        <family val="1"/>
      </rPr>
      <t>(OECD Health Statistics)</t>
    </r>
    <r>
      <rPr>
        <sz val="9"/>
        <rFont val="標楷體"/>
        <family val="4"/>
        <charset val="136"/>
      </rPr>
      <t>，資料擷取時間</t>
    </r>
    <r>
      <rPr>
        <sz val="9"/>
        <rFont val="Times New Roman"/>
        <family val="1"/>
      </rPr>
      <t>2025/12/15</t>
    </r>
    <r>
      <rPr>
        <sz val="9"/>
        <rFont val="標楷體"/>
        <family val="4"/>
        <charset val="136"/>
      </rPr>
      <t>；世界衛生組織全球衛生支出資料庫，資料擷取時間</t>
    </r>
    <r>
      <rPr>
        <sz val="9"/>
        <rFont val="Times New Roman"/>
        <family val="1"/>
      </rPr>
      <t>2025/12/15</t>
    </r>
    <r>
      <rPr>
        <sz val="9"/>
        <rFont val="標楷體"/>
        <family val="4"/>
        <charset val="136"/>
      </rPr>
      <t>。</t>
    </r>
    <phoneticPr fontId="16" type="noConversion"/>
  </si>
  <si>
    <r>
      <rPr>
        <sz val="8.8000000000000007"/>
        <rFont val="標楷體"/>
        <family val="4"/>
        <charset val="136"/>
      </rPr>
      <t>資料來源：經濟合作暨發展組織健康統計資料</t>
    </r>
    <r>
      <rPr>
        <sz val="8.8000000000000007"/>
        <rFont val="Times New Roman"/>
        <family val="1"/>
      </rPr>
      <t>(OECD Health Statistics)</t>
    </r>
    <r>
      <rPr>
        <sz val="8.8000000000000007"/>
        <rFont val="標楷體"/>
        <family val="4"/>
        <charset val="136"/>
      </rPr>
      <t>，資料擷取時間</t>
    </r>
    <r>
      <rPr>
        <sz val="8.8000000000000007"/>
        <rFont val="Times New Roman"/>
        <family val="1"/>
      </rPr>
      <t>2025/12/22</t>
    </r>
    <r>
      <rPr>
        <sz val="8.8000000000000007"/>
        <rFont val="標楷體"/>
        <family val="4"/>
        <charset val="136"/>
      </rPr>
      <t>；世界衛生組織全球衛生支出資料庫，資料擷取時間</t>
    </r>
    <r>
      <rPr>
        <sz val="8.8000000000000007"/>
        <rFont val="Times New Roman"/>
        <family val="1"/>
      </rPr>
      <t>2025/12/22</t>
    </r>
    <r>
      <rPr>
        <sz val="8.8000000000000007"/>
        <rFont val="標楷體"/>
        <family val="4"/>
        <charset val="136"/>
      </rPr>
      <t>。</t>
    </r>
    <phoneticPr fontId="16" type="noConversion"/>
  </si>
  <si>
    <t>37.8</t>
    <phoneticPr fontId="17" type="noConversion"/>
  </si>
  <si>
    <t>38.0</t>
    <phoneticPr fontId="17" type="noConversion"/>
  </si>
  <si>
    <t>41.1</t>
    <phoneticPr fontId="17" type="noConversion"/>
  </si>
  <si>
    <t>41.3</t>
    <phoneticPr fontId="17" type="noConversion"/>
  </si>
  <si>
    <t>40.4</t>
    <phoneticPr fontId="17" type="noConversion"/>
  </si>
  <si>
    <t>41.2</t>
    <phoneticPr fontId="17" type="noConversion"/>
  </si>
  <si>
    <t>40.9</t>
    <phoneticPr fontId="17" type="noConversion"/>
  </si>
  <si>
    <t>40.7</t>
    <phoneticPr fontId="17" type="noConversion"/>
  </si>
  <si>
    <t>40.6</t>
    <phoneticPr fontId="17" type="noConversion"/>
  </si>
  <si>
    <t>附註：新加坡在公部門(政府及強制醫療保險計畫)項下，尚有「強制性醫療儲蓄帳戶」。</t>
    <phoneticPr fontId="17" type="noConversion"/>
  </si>
  <si>
    <t>Note: Under the Government/compulsory schemes, Singapore also has a “Compulsory medical saving accounts.”</t>
    <phoneticPr fontId="17" type="noConversion"/>
  </si>
  <si>
    <t>公部門(政府及強制醫療保險計畫)平均每人經常性醫療保健支出－美元計價</t>
    <phoneticPr fontId="17" type="noConversion"/>
  </si>
  <si>
    <t>公部門(政府及強制醫療保險計畫)經常性醫療保健支出占經常性醫療保健支出比重</t>
    <phoneticPr fontId="17" type="noConversion"/>
  </si>
  <si>
    <t>Table 8   Per Capita Public Current Health Expenditure at Average Exchange Rate (US$)(Cont. 1)</t>
    <phoneticPr fontId="17" type="noConversion"/>
  </si>
  <si>
    <t>Table 8   Per Capita Public Current Health Expenditure at Average Exchange Rate (US$)(Cont'd)</t>
    <phoneticPr fontId="17" type="noConversion"/>
  </si>
  <si>
    <t>Table 9   Public Current Health Expenditure as % of Current Health Expenditure(Cont. 1)</t>
    <phoneticPr fontId="17" type="noConversion"/>
  </si>
  <si>
    <t>Government/
compulsory schemes</t>
    <phoneticPr fontId="17" type="noConversion"/>
  </si>
  <si>
    <t>Table 9   Public Current Health Expenditure as % of Current Health Expenditure(Cont'd)</t>
    <phoneticPr fontId="17" type="noConversion"/>
  </si>
  <si>
    <t>表10 私部門經常性醫療保健支出占經常性醫療保健支出比重(續1)</t>
    <phoneticPr fontId="17" type="noConversion"/>
  </si>
  <si>
    <t>Table 10   Private Current Health Expenditure as % of Current Health Expenditure(Cont. 1)</t>
    <phoneticPr fontId="17" type="noConversion"/>
  </si>
  <si>
    <t>表10 私部門經常性醫療保健支出占經常性醫療保健支出比重(續完)</t>
    <phoneticPr fontId="17" type="noConversion"/>
  </si>
  <si>
    <t>Table 10   Private Current Health Expenditure as % of Current Health Expenditure(Cont'd)</t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</si>
  <si>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9 </t>
    </r>
    <r>
      <rPr>
        <b/>
        <sz val="16"/>
        <rFont val="標楷體"/>
        <family val="4"/>
        <charset val="136"/>
      </rPr>
      <t>公部門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政府及強制醫療保險計畫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4"/>
        <charset val="136"/>
      </rPr>
      <t>經常性醫療保健支出占經常性醫療保健支出比重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1)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</si>
  <si>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9 </t>
    </r>
    <r>
      <rPr>
        <b/>
        <sz val="16"/>
        <rFont val="標楷體"/>
        <family val="1"/>
        <charset val="136"/>
      </rPr>
      <t>公部門(政府及強制醫療保險計畫)經常性醫療保健支出</t>
    </r>
    <r>
      <rPr>
        <b/>
        <sz val="16"/>
        <rFont val="標楷體"/>
        <family val="4"/>
        <charset val="136"/>
      </rPr>
      <t>占經常性醫療保健支出比重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</si>
  <si>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9 </t>
    </r>
    <r>
      <rPr>
        <b/>
        <sz val="16"/>
        <rFont val="標楷體"/>
        <family val="4"/>
        <charset val="136"/>
      </rPr>
      <t>公部門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政府及強制醫療保險計畫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4"/>
        <charset val="136"/>
      </rPr>
      <t>經常性醫療保健支出占經常性醫療保健支出比重</t>
    </r>
    <r>
      <rPr>
        <b/>
        <sz val="15"/>
        <rFont val="Times New Roman"/>
        <family val="1"/>
      </rPr>
      <t>(</t>
    </r>
    <r>
      <rPr>
        <b/>
        <sz val="15"/>
        <rFont val="標楷體"/>
        <family val="4"/>
        <charset val="136"/>
      </rPr>
      <t>續完</t>
    </r>
    <r>
      <rPr>
        <b/>
        <sz val="15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</si>
  <si>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8   </t>
    </r>
    <r>
      <rPr>
        <b/>
        <sz val="16"/>
        <rFont val="標楷體"/>
        <family val="4"/>
        <charset val="136"/>
      </rPr>
      <t>公部門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政府及強制醫療保險計畫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4"/>
        <charset val="136"/>
      </rPr>
      <t>平均每人經常性醫療保健支出－美元計價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續完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</si>
  <si>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8   </t>
    </r>
    <r>
      <rPr>
        <b/>
        <sz val="16"/>
        <rFont val="標楷體"/>
        <family val="1"/>
        <charset val="136"/>
      </rPr>
      <t>公部門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1"/>
        <charset val="136"/>
      </rPr>
      <t>政府及強制醫療保險計畫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1"/>
        <charset val="136"/>
      </rPr>
      <t>平均每人經常性醫療保健支出</t>
    </r>
    <r>
      <rPr>
        <b/>
        <sz val="16"/>
        <rFont val="標楷體"/>
        <family val="4"/>
        <charset val="136"/>
      </rPr>
      <t>－美元計價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1)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</si>
  <si>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8   </t>
    </r>
    <r>
      <rPr>
        <b/>
        <sz val="16"/>
        <rFont val="標楷體"/>
        <family val="1"/>
        <charset val="136"/>
      </rPr>
      <t>公部門(政府及強制醫療保險計畫)平均每人經常性醫療保健支出</t>
    </r>
    <r>
      <rPr>
        <b/>
        <sz val="16"/>
        <rFont val="標楷體"/>
        <family val="4"/>
        <charset val="136"/>
      </rPr>
      <t>－美元計價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</si>
  <si>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7   </t>
    </r>
    <r>
      <rPr>
        <b/>
        <sz val="16"/>
        <rFont val="標楷體"/>
        <family val="4"/>
        <charset val="136"/>
      </rPr>
      <t>平均每人國民醫療保健支出－美元計價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</si>
  <si>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7   </t>
    </r>
    <r>
      <rPr>
        <b/>
        <sz val="16"/>
        <rFont val="標楷體"/>
        <family val="4"/>
        <charset val="136"/>
      </rPr>
      <t>平均每人國民醫療保健支出－美元計價</t>
    </r>
    <r>
      <rPr>
        <b/>
        <sz val="16"/>
        <rFont val="Times New Roman"/>
        <family val="1"/>
      </rPr>
      <t xml:space="preserve"> 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</si>
  <si>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12   </t>
    </r>
    <r>
      <rPr>
        <b/>
        <sz val="16"/>
        <rFont val="標楷體"/>
        <family val="4"/>
        <charset val="136"/>
      </rPr>
      <t xml:space="preserve">藥品消費支出占國內生產毛額比重
</t>
    </r>
    <r>
      <rPr>
        <b/>
        <sz val="16"/>
        <rFont val="Times New Roman"/>
        <family val="1"/>
      </rPr>
      <t>Table 12   Expenditure on Pharmaceuticals as % of Gross Domestic Product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</si>
  <si>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11   </t>
    </r>
    <r>
      <rPr>
        <b/>
        <sz val="16"/>
        <rFont val="標楷體"/>
        <family val="4"/>
        <charset val="136"/>
      </rPr>
      <t xml:space="preserve">藥品消費支出占經常性醫療保健支出比重
</t>
    </r>
    <r>
      <rPr>
        <b/>
        <sz val="16"/>
        <rFont val="Times New Roman"/>
        <family val="1"/>
      </rPr>
      <t>Table 11  Expenditure on Pharmaceuticals as % of Current Health Expenditure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</si>
  <si>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6   </t>
    </r>
    <r>
      <rPr>
        <b/>
        <sz val="16"/>
        <rFont val="標楷體"/>
        <family val="4"/>
        <charset val="136"/>
      </rPr>
      <t>國民醫療保健支出占國內生產毛額比重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)</t>
    </r>
    <phoneticPr fontId="16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</si>
  <si>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6   </t>
    </r>
    <r>
      <rPr>
        <b/>
        <sz val="16"/>
        <rFont val="標楷體"/>
        <family val="4"/>
        <charset val="136"/>
      </rPr>
      <t>國民醫療保健支出占國內生產毛額比重</t>
    </r>
    <phoneticPr fontId="16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</si>
  <si>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5   </t>
    </r>
    <r>
      <rPr>
        <b/>
        <sz val="16"/>
        <rFont val="標楷體"/>
        <family val="4"/>
        <charset val="136"/>
      </rPr>
      <t>國民醫療保健支出－美元計價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</si>
  <si>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5   </t>
    </r>
    <r>
      <rPr>
        <b/>
        <sz val="16"/>
        <rFont val="標楷體"/>
        <family val="4"/>
        <charset val="136"/>
      </rPr>
      <t>國民醫療保健支出－美元計價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</si>
  <si>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續完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</si>
  <si>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4"/>
      </rPr>
      <t>9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</si>
  <si>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8)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</si>
  <si>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7)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</si>
  <si>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6)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</si>
  <si>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5)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</si>
  <si>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4)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</si>
  <si>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3)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</si>
  <si>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2)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</si>
  <si>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國民醫療保健支出－依資金配置分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1)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</si>
  <si>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4   </t>
    </r>
    <r>
      <rPr>
        <b/>
        <sz val="16"/>
        <rFont val="標楷體"/>
        <family val="4"/>
        <charset val="136"/>
      </rPr>
      <t>國民醫療保健支出</t>
    </r>
    <r>
      <rPr>
        <b/>
        <sz val="16"/>
        <rFont val="新細明體"/>
        <family val="1"/>
        <charset val="136"/>
      </rPr>
      <t>－</t>
    </r>
    <r>
      <rPr>
        <b/>
        <sz val="16"/>
        <rFont val="標楷體"/>
        <family val="4"/>
        <charset val="136"/>
      </rPr>
      <t>依資金配置分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</si>
  <si>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3   </t>
    </r>
    <r>
      <rPr>
        <b/>
        <sz val="16"/>
        <rFont val="標楷體"/>
        <family val="4"/>
        <charset val="136"/>
      </rPr>
      <t>國民醫療保健支出－依資金運用單位分</t>
    </r>
    <r>
      <rPr>
        <b/>
        <sz val="16"/>
        <rFont val="Times New Roman"/>
        <family val="4"/>
        <charset val="136"/>
      </rPr>
      <t>(</t>
    </r>
    <r>
      <rPr>
        <b/>
        <sz val="16"/>
        <rFont val="標楷體"/>
        <family val="4"/>
        <charset val="136"/>
      </rPr>
      <t>續完</t>
    </r>
    <r>
      <rPr>
        <b/>
        <sz val="16"/>
        <rFont val="Times New Roman"/>
        <family val="4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</si>
  <si>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3   </t>
    </r>
    <r>
      <rPr>
        <b/>
        <sz val="16"/>
        <rFont val="標楷體"/>
        <family val="4"/>
        <charset val="136"/>
      </rPr>
      <t>國民醫療保健支出－依資金運用單位分</t>
    </r>
    <r>
      <rPr>
        <b/>
        <sz val="16"/>
        <rFont val="Times New Roman"/>
        <family val="4"/>
        <charset val="136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1</t>
    </r>
    <r>
      <rPr>
        <b/>
        <sz val="16"/>
        <rFont val="細明體"/>
        <family val="4"/>
        <charset val="136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</si>
  <si>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3   </t>
    </r>
    <r>
      <rPr>
        <b/>
        <sz val="16"/>
        <rFont val="標楷體"/>
        <family val="4"/>
        <charset val="136"/>
      </rPr>
      <t>國民醫療保健支出－依資金運用單位分</t>
    </r>
    <r>
      <rPr>
        <b/>
        <sz val="16"/>
        <rFont val="Times New Roman"/>
        <family val="4"/>
        <charset val="136"/>
      </rPr>
      <t>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4"/>
        <charset val="136"/>
      </rPr>
      <t>2</t>
    </r>
    <r>
      <rPr>
        <b/>
        <sz val="16"/>
        <rFont val="Times New Roman"/>
        <family val="4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</si>
  <si>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3   </t>
    </r>
    <r>
      <rPr>
        <b/>
        <sz val="16"/>
        <rFont val="標楷體"/>
        <family val="4"/>
        <charset val="136"/>
      </rPr>
      <t>國民醫療保健支出</t>
    </r>
    <r>
      <rPr>
        <b/>
        <sz val="16"/>
        <rFont val="新細明體"/>
        <family val="1"/>
        <charset val="136"/>
      </rPr>
      <t>－</t>
    </r>
    <r>
      <rPr>
        <b/>
        <sz val="16"/>
        <rFont val="標楷體"/>
        <family val="4"/>
        <charset val="136"/>
      </rPr>
      <t>依資金運用單位分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</si>
  <si>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 (</t>
    </r>
    <r>
      <rPr>
        <b/>
        <sz val="16"/>
        <rFont val="標楷體"/>
        <family val="4"/>
        <charset val="136"/>
      </rPr>
      <t>續完</t>
    </r>
    <r>
      <rPr>
        <b/>
        <sz val="16"/>
        <rFont val="Times New Roman"/>
        <family val="1"/>
      </rPr>
      <t>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</si>
  <si>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5)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</si>
  <si>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1)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</si>
  <si>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2)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</si>
  <si>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3)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</si>
  <si>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r>
      <rPr>
        <b/>
        <sz val="16"/>
        <rFont val="Times New Roman"/>
        <family val="1"/>
      </rPr>
      <t xml:space="preserve">  (</t>
    </r>
    <r>
      <rPr>
        <b/>
        <sz val="16"/>
        <rFont val="標楷體"/>
        <family val="4"/>
        <charset val="136"/>
      </rPr>
      <t>續</t>
    </r>
    <r>
      <rPr>
        <b/>
        <sz val="16"/>
        <rFont val="Times New Roman"/>
        <family val="1"/>
      </rPr>
      <t>4)</t>
    </r>
    <phoneticPr fontId="17" type="noConversion"/>
  </si>
  <si>
    <r>
      <rPr>
        <b/>
        <sz val="16"/>
        <rFont val="標楷體"/>
        <family val="4"/>
        <charset val="136"/>
      </rPr>
      <t>表</t>
    </r>
    <r>
      <rPr>
        <b/>
        <sz val="16"/>
        <rFont val="Times New Roman"/>
        <family val="1"/>
      </rPr>
      <t xml:space="preserve">2   </t>
    </r>
    <r>
      <rPr>
        <b/>
        <sz val="16"/>
        <rFont val="標楷體"/>
        <family val="4"/>
        <charset val="136"/>
      </rPr>
      <t>國民醫療保健支出統計</t>
    </r>
    <phoneticPr fontId="17" type="noConversion"/>
  </si>
  <si>
    <t>39.6</t>
    <phoneticPr fontId="17" type="noConversion"/>
  </si>
  <si>
    <r>
      <rPr>
        <b/>
        <sz val="20"/>
        <rFont val="標楷體"/>
        <family val="4"/>
        <charset val="136"/>
      </rPr>
      <t>表</t>
    </r>
    <r>
      <rPr>
        <b/>
        <sz val="20"/>
        <rFont val="Times New Roman"/>
        <family val="1"/>
      </rPr>
      <t xml:space="preserve">1   </t>
    </r>
    <r>
      <rPr>
        <b/>
        <sz val="20"/>
        <rFont val="標楷體"/>
        <family val="4"/>
        <charset val="136"/>
      </rPr>
      <t>國民醫療保健支出指標</t>
    </r>
    <phoneticPr fontId="16" type="noConversion"/>
  </si>
  <si>
    <t>壹、結果摘要</t>
    <phoneticPr fontId="17" type="noConversion"/>
  </si>
  <si>
    <t>Notes: The data are based on the figures of National Income revised.</t>
    <phoneticPr fontId="17" type="noConversion"/>
  </si>
  <si>
    <r>
      <t xml:space="preserve">            2. </t>
    </r>
    <r>
      <rPr>
        <sz val="11"/>
        <rFont val="標楷體"/>
        <family val="4"/>
        <charset val="136"/>
      </rPr>
      <t>家庭部門包含</t>
    </r>
    <r>
      <rPr>
        <sz val="11"/>
        <rFont val="Times New Roman"/>
        <family val="1"/>
      </rPr>
      <t>(1)</t>
    </r>
    <r>
      <rPr>
        <sz val="11"/>
        <rFont val="標楷體"/>
        <family val="4"/>
        <charset val="136"/>
      </rPr>
      <t>醫療用具設備及器材自付費用</t>
    </r>
    <r>
      <rPr>
        <sz val="11"/>
        <rFont val="Times New Roman"/>
        <family val="1"/>
      </rPr>
      <t>(2)</t>
    </r>
    <r>
      <rPr>
        <sz val="11"/>
        <rFont val="標楷體"/>
        <family val="4"/>
        <charset val="136"/>
      </rPr>
      <t>醫療照護自付費用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含門診及住院</t>
    </r>
    <phoneticPr fontId="17" type="noConversion"/>
  </si>
  <si>
    <r>
      <t xml:space="preserve">               </t>
    </r>
    <r>
      <rPr>
        <sz val="11"/>
        <rFont val="標楷體"/>
        <family val="4"/>
        <charset val="136"/>
      </rPr>
      <t>自付費用、假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鑲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牙及矯正費、療養院、產後護理之家、居家照護費、民俗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</si>
</sst>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#,##0.00_ "/>
    <numFmt numFmtId="178" formatCode="#,##0_ "/>
    <numFmt numFmtId="179" formatCode="0.00_);[Red]\(0.00\)"/>
    <numFmt numFmtId="180" formatCode="_-* #,##0.000000_-;\-* #,##0.000000_-;_-* &quot;-&quot;_-;_-@_-"/>
    <numFmt numFmtId="181" formatCode="_-* #,##0_-;\-* #,##0_-;_-* &quot;-&quot;??_-;_-@_-"/>
    <numFmt numFmtId="182" formatCode="_-* #,##0.0_-;\-* #,##0.0_-;_-* &quot;-&quot;??_-;_-@_-"/>
    <numFmt numFmtId="183" formatCode="#,##0.00&quot; &quot;;&quot;-&quot;#,##0.00&quot; &quot;;&quot; -&quot;00&quot; &quot;;@&quot; &quot;"/>
    <numFmt numFmtId="184" formatCode="#,##0.00_ ;[Red]\-#,##0.00\ "/>
    <numFmt numFmtId="185" formatCode="_-* #,##0.0_-;\-* #,##0.0_-;_-* &quot;-&quot;?_-;_-@_-"/>
    <numFmt numFmtId="186" formatCode="#,##0.0"/>
  </numFmts>
  <fonts count="84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標楷體"/>
      <family val="4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sz val="10"/>
      <name val="Times New Roman"/>
      <family val="1"/>
    </font>
    <font>
      <sz val="9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16"/>
      <name val="標楷體"/>
      <family val="4"/>
      <charset val="136"/>
    </font>
    <font>
      <b/>
      <sz val="12"/>
      <name val="標楷體"/>
      <family val="4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標楷體"/>
      <family val="4"/>
      <charset val="136"/>
    </font>
    <font>
      <b/>
      <sz val="11"/>
      <name val="Times New Roman"/>
      <family val="1"/>
    </font>
    <font>
      <strike/>
      <sz val="10"/>
      <name val="Times New Roman"/>
      <family val="1"/>
    </font>
    <font>
      <sz val="12"/>
      <name val="細明體"/>
      <family val="3"/>
      <charset val="136"/>
    </font>
    <font>
      <b/>
      <sz val="15"/>
      <name val="Times New Roman"/>
      <family val="1"/>
    </font>
    <font>
      <sz val="7"/>
      <name val="標楷體"/>
      <family val="4"/>
      <charset val="136"/>
    </font>
    <font>
      <sz val="11"/>
      <name val="新細明體"/>
      <family val="1"/>
      <charset val="136"/>
    </font>
    <font>
      <b/>
      <sz val="15.5"/>
      <name val="Times New Roman"/>
      <family val="1"/>
    </font>
    <font>
      <sz val="10.5"/>
      <name val="Times New Roman"/>
      <family val="1"/>
    </font>
    <font>
      <sz val="10.5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1"/>
      <name val="標楷體"/>
      <family val="4"/>
      <charset val="136"/>
    </font>
    <font>
      <sz val="12"/>
      <name val="新細明體"/>
      <family val="2"/>
      <charset val="136"/>
      <scheme val="minor"/>
    </font>
    <font>
      <b/>
      <sz val="36"/>
      <name val="Times New Roman"/>
      <family val="1"/>
    </font>
    <font>
      <b/>
      <sz val="36"/>
      <name val="標楷體"/>
      <family val="4"/>
      <charset val="136"/>
    </font>
    <font>
      <b/>
      <sz val="26"/>
      <name val="標楷體"/>
      <family val="4"/>
      <charset val="136"/>
    </font>
    <font>
      <sz val="18"/>
      <name val="Times New Roman"/>
      <family val="1"/>
    </font>
    <font>
      <sz val="20"/>
      <name val="Times New Roman"/>
      <family val="1"/>
    </font>
    <font>
      <b/>
      <sz val="26"/>
      <name val="新細明體"/>
      <family val="1"/>
      <charset val="136"/>
    </font>
    <font>
      <sz val="20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sz val="12"/>
      <color rgb="FF9C6500"/>
      <name val="新細明體"/>
      <family val="2"/>
      <charset val="136"/>
      <scheme val="minor"/>
    </font>
    <font>
      <b/>
      <i/>
      <sz val="16"/>
      <color rgb="FF000000"/>
      <name val="標楷體"/>
      <family val="4"/>
      <charset val="136"/>
    </font>
    <font>
      <b/>
      <i/>
      <u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name val="細明體"/>
      <family val="3"/>
      <charset val="136"/>
    </font>
    <font>
      <u/>
      <sz val="20"/>
      <color theme="10"/>
      <name val="標楷體"/>
      <family val="4"/>
      <charset val="136"/>
    </font>
    <font>
      <sz val="16"/>
      <name val="Times New Roman"/>
      <family val="1"/>
    </font>
    <font>
      <sz val="16"/>
      <name val="標楷體"/>
      <family val="4"/>
      <charset val="136"/>
    </font>
    <font>
      <sz val="12"/>
      <name val="標楷體"/>
      <family val="1"/>
      <charset val="136"/>
    </font>
    <font>
      <b/>
      <sz val="16"/>
      <name val="Times New Roman"/>
      <family val="4"/>
      <charset val="136"/>
    </font>
    <font>
      <b/>
      <sz val="16"/>
      <name val="細明體"/>
      <family val="4"/>
      <charset val="136"/>
    </font>
    <font>
      <sz val="9"/>
      <name val="微軟正黑體"/>
      <family val="2"/>
      <charset val="136"/>
    </font>
    <font>
      <b/>
      <sz val="16"/>
      <name val="Times New Roman"/>
      <family val="4"/>
    </font>
    <font>
      <b/>
      <sz val="16"/>
      <name val="新細明體"/>
      <family val="1"/>
      <charset val="136"/>
    </font>
    <font>
      <sz val="14"/>
      <name val="Times New Roman"/>
      <family val="1"/>
    </font>
    <font>
      <sz val="14"/>
      <name val="標楷體"/>
      <family val="4"/>
      <charset val="136"/>
    </font>
    <font>
      <sz val="10"/>
      <name val="Times New Roman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name val="標楷體"/>
      <family val="1"/>
      <charset val="136"/>
    </font>
    <font>
      <b/>
      <sz val="16"/>
      <name val="Times New Roman"/>
      <family val="1"/>
      <charset val="136"/>
    </font>
    <font>
      <sz val="9"/>
      <name val="Times New Roman"/>
      <family val="4"/>
      <charset val="136"/>
    </font>
    <font>
      <sz val="8.8000000000000007"/>
      <name val="Times New Roman"/>
      <family val="4"/>
      <charset val="136"/>
    </font>
    <font>
      <sz val="8.8000000000000007"/>
      <name val="標楷體"/>
      <family val="4"/>
      <charset val="136"/>
    </font>
    <font>
      <sz val="8.8000000000000007"/>
      <name val="Times New Roman"/>
      <family val="1"/>
    </font>
    <font>
      <sz val="20"/>
      <name val="Times New Roman"/>
      <family val="4"/>
      <charset val="136"/>
    </font>
    <font>
      <sz val="10"/>
      <color theme="1"/>
      <name val="Times New Roman"/>
      <family val="1"/>
    </font>
    <font>
      <b/>
      <sz val="15"/>
      <name val="標楷體"/>
      <family val="4"/>
      <charset val="136"/>
    </font>
    <font>
      <b/>
      <sz val="20"/>
      <name val="Times New Roman"/>
      <family val="4"/>
      <charset val="136"/>
    </font>
    <font>
      <b/>
      <sz val="20"/>
      <name val="標楷體"/>
      <family val="4"/>
      <charset val="136"/>
    </font>
    <font>
      <b/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</borders>
  <cellStyleXfs count="30">
    <xf numFmtId="0" fontId="0" fillId="0" borderId="0"/>
    <xf numFmtId="0" fontId="31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0" fontId="31" fillId="0" borderId="0"/>
    <xf numFmtId="0" fontId="1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9" fillId="0" borderId="0">
      <alignment vertical="center"/>
    </xf>
    <xf numFmtId="0" fontId="53" fillId="2" borderId="0" applyNumberFormat="0" applyBorder="0" applyAlignment="0" applyProtection="0">
      <alignment vertical="center"/>
    </xf>
    <xf numFmtId="0" fontId="54" fillId="0" borderId="0">
      <alignment horizontal="center" vertical="center"/>
    </xf>
    <xf numFmtId="0" fontId="54" fillId="0" borderId="0">
      <alignment horizontal="center" vertical="center" textRotation="90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8" fillId="0" borderId="0">
      <alignment vertical="center"/>
    </xf>
    <xf numFmtId="183" fontId="56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95">
    <xf numFmtId="0" fontId="0" fillId="0" borderId="0" xfId="0"/>
    <xf numFmtId="0" fontId="1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3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6" fillId="0" borderId="2" xfId="0" applyFont="1" applyBorder="1" applyAlignment="1">
      <alignment vertical="center"/>
    </xf>
    <xf numFmtId="41" fontId="26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4" applyFont="1" applyAlignment="1">
      <alignment horizontal="centerContinuous" vertical="center"/>
    </xf>
    <xf numFmtId="0" fontId="26" fillId="0" borderId="0" xfId="4" applyFont="1" applyAlignment="1">
      <alignment vertical="center"/>
    </xf>
    <xf numFmtId="43" fontId="26" fillId="0" borderId="0" xfId="4" applyNumberFormat="1" applyFont="1" applyAlignment="1">
      <alignment vertical="center"/>
    </xf>
    <xf numFmtId="0" fontId="26" fillId="0" borderId="0" xfId="4" applyFont="1"/>
    <xf numFmtId="43" fontId="26" fillId="0" borderId="0" xfId="4" applyNumberFormat="1" applyFont="1" applyAlignment="1">
      <alignment horizontal="right"/>
    </xf>
    <xf numFmtId="0" fontId="15" fillId="0" borderId="0" xfId="4" applyFont="1" applyAlignment="1">
      <alignment vertical="center"/>
    </xf>
    <xf numFmtId="0" fontId="26" fillId="0" borderId="0" xfId="4" applyFont="1" applyAlignment="1">
      <alignment horizontal="center" vertical="center"/>
    </xf>
    <xf numFmtId="43" fontId="37" fillId="0" borderId="0" xfId="4" applyNumberFormat="1" applyFont="1" applyAlignment="1">
      <alignment horizontal="center" vertical="center"/>
    </xf>
    <xf numFmtId="43" fontId="26" fillId="0" borderId="0" xfId="4" applyNumberFormat="1" applyFont="1" applyAlignment="1">
      <alignment horizontal="center" vertical="center"/>
    </xf>
    <xf numFmtId="0" fontId="29" fillId="0" borderId="0" xfId="4" applyFont="1" applyAlignment="1">
      <alignment vertical="center"/>
    </xf>
    <xf numFmtId="43" fontId="29" fillId="0" borderId="0" xfId="4" applyNumberFormat="1" applyFont="1" applyAlignment="1">
      <alignment vertical="center"/>
    </xf>
    <xf numFmtId="43" fontId="21" fillId="0" borderId="0" xfId="4" applyNumberFormat="1" applyFont="1"/>
    <xf numFmtId="0" fontId="21" fillId="0" borderId="0" xfId="4" applyFont="1"/>
    <xf numFmtId="0" fontId="21" fillId="0" borderId="0" xfId="4" applyFont="1" applyAlignment="1">
      <alignment vertical="center"/>
    </xf>
    <xf numFmtId="177" fontId="21" fillId="0" borderId="0" xfId="6" applyNumberFormat="1" applyFont="1" applyFill="1" applyBorder="1" applyAlignment="1">
      <alignment vertical="center"/>
    </xf>
    <xf numFmtId="178" fontId="26" fillId="0" borderId="0" xfId="4" applyNumberFormat="1" applyFont="1" applyAlignment="1">
      <alignment vertical="center"/>
    </xf>
    <xf numFmtId="178" fontId="26" fillId="0" borderId="0" xfId="4" applyNumberFormat="1" applyFont="1"/>
    <xf numFmtId="178" fontId="21" fillId="0" borderId="0" xfId="4" applyNumberFormat="1" applyFont="1" applyAlignment="1">
      <alignment vertical="center"/>
    </xf>
    <xf numFmtId="178" fontId="21" fillId="0" borderId="0" xfId="4" applyNumberFormat="1" applyFont="1"/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vertical="center"/>
    </xf>
    <xf numFmtId="0" fontId="49" fillId="0" borderId="0" xfId="1" applyFont="1" applyAlignment="1">
      <alignment vertical="center"/>
    </xf>
    <xf numFmtId="0" fontId="21" fillId="0" borderId="0" xfId="4" applyFont="1" applyAlignment="1">
      <alignment horizontal="center" vertical="center"/>
    </xf>
    <xf numFmtId="178" fontId="21" fillId="0" borderId="0" xfId="6" applyNumberFormat="1" applyFont="1" applyFill="1" applyBorder="1" applyAlignment="1">
      <alignment vertical="center"/>
    </xf>
    <xf numFmtId="177" fontId="44" fillId="0" borderId="0" xfId="9" applyNumberFormat="1" applyFont="1" applyFill="1" applyBorder="1" applyAlignment="1">
      <alignment vertical="center"/>
    </xf>
    <xf numFmtId="177" fontId="21" fillId="0" borderId="0" xfId="4" applyNumberFormat="1" applyFont="1" applyAlignment="1">
      <alignment horizontal="center" vertical="center"/>
    </xf>
    <xf numFmtId="43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4" applyFont="1" applyAlignment="1">
      <alignment vertical="center" wrapText="1"/>
    </xf>
    <xf numFmtId="0" fontId="24" fillId="0" borderId="0" xfId="4" applyFont="1" applyAlignment="1">
      <alignment horizontal="center" vertical="center"/>
    </xf>
    <xf numFmtId="0" fontId="24" fillId="0" borderId="0" xfId="4" applyFont="1" applyAlignment="1">
      <alignment vertical="center"/>
    </xf>
    <xf numFmtId="43" fontId="25" fillId="0" borderId="0" xfId="4" applyNumberFormat="1" applyFont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181" fontId="21" fillId="0" borderId="0" xfId="3" applyNumberFormat="1" applyFont="1" applyFill="1" applyBorder="1" applyAlignment="1">
      <alignment horizontal="right" vertical="center"/>
    </xf>
    <xf numFmtId="181" fontId="22" fillId="0" borderId="0" xfId="3" applyNumberFormat="1" applyFont="1" applyFill="1" applyBorder="1" applyAlignment="1">
      <alignment horizontal="right" vertical="center"/>
    </xf>
    <xf numFmtId="0" fontId="58" fillId="0" borderId="0" xfId="7" applyFont="1" applyFill="1" applyAlignment="1">
      <alignment vertical="center"/>
    </xf>
    <xf numFmtId="178" fontId="14" fillId="0" borderId="0" xfId="4" applyNumberFormat="1" applyFont="1" applyAlignment="1">
      <alignment horizontal="left" vertical="center"/>
    </xf>
    <xf numFmtId="178" fontId="21" fillId="0" borderId="0" xfId="4" applyNumberFormat="1" applyFont="1" applyAlignment="1">
      <alignment horizontal="left" vertical="center"/>
    </xf>
    <xf numFmtId="178" fontId="21" fillId="0" borderId="0" xfId="4" applyNumberFormat="1" applyFont="1" applyAlignment="1">
      <alignment horizontal="right" vertical="center"/>
    </xf>
    <xf numFmtId="43" fontId="24" fillId="0" borderId="0" xfId="4" applyNumberFormat="1" applyFont="1" applyAlignment="1">
      <alignment horizontal="right" vertical="center"/>
    </xf>
    <xf numFmtId="178" fontId="22" fillId="0" borderId="0" xfId="4" applyNumberFormat="1" applyFont="1" applyAlignment="1">
      <alignment vertical="center"/>
    </xf>
    <xf numFmtId="0" fontId="14" fillId="0" borderId="0" xfId="4" applyFont="1"/>
    <xf numFmtId="181" fontId="21" fillId="0" borderId="0" xfId="6" applyNumberFormat="1" applyFont="1" applyFill="1" applyAlignment="1"/>
    <xf numFmtId="182" fontId="21" fillId="0" borderId="0" xfId="6" applyNumberFormat="1" applyFont="1" applyFill="1" applyAlignment="1"/>
    <xf numFmtId="182" fontId="21" fillId="0" borderId="0" xfId="4" applyNumberFormat="1" applyFont="1"/>
    <xf numFmtId="0" fontId="21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1" fillId="3" borderId="8" xfId="4" applyFont="1" applyFill="1" applyBorder="1" applyAlignment="1">
      <alignment horizontal="center" vertical="center"/>
    </xf>
    <xf numFmtId="0" fontId="21" fillId="3" borderId="8" xfId="4" applyFont="1" applyFill="1" applyBorder="1" applyAlignment="1">
      <alignment vertical="center"/>
    </xf>
    <xf numFmtId="0" fontId="21" fillId="3" borderId="11" xfId="4" applyFont="1" applyFill="1" applyBorder="1" applyAlignment="1">
      <alignment vertical="center"/>
    </xf>
    <xf numFmtId="0" fontId="21" fillId="3" borderId="4" xfId="4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/>
    </xf>
    <xf numFmtId="0" fontId="21" fillId="3" borderId="0" xfId="4" applyFont="1" applyFill="1" applyAlignment="1">
      <alignment vertical="center"/>
    </xf>
    <xf numFmtId="0" fontId="21" fillId="3" borderId="5" xfId="4" applyFont="1" applyFill="1" applyBorder="1" applyAlignment="1">
      <alignment vertical="center"/>
    </xf>
    <xf numFmtId="43" fontId="21" fillId="3" borderId="0" xfId="4" applyNumberFormat="1" applyFont="1" applyFill="1" applyAlignment="1">
      <alignment horizontal="center" vertical="center"/>
    </xf>
    <xf numFmtId="49" fontId="21" fillId="3" borderId="3" xfId="4" applyNumberFormat="1" applyFont="1" applyFill="1" applyBorder="1" applyAlignment="1">
      <alignment horizontal="center" vertical="center"/>
    </xf>
    <xf numFmtId="43" fontId="18" fillId="3" borderId="4" xfId="4" applyNumberFormat="1" applyFont="1" applyFill="1" applyBorder="1" applyAlignment="1">
      <alignment horizontal="center" vertical="center"/>
    </xf>
    <xf numFmtId="43" fontId="18" fillId="3" borderId="3" xfId="4" applyNumberFormat="1" applyFont="1" applyFill="1" applyBorder="1" applyAlignment="1">
      <alignment horizontal="center" vertical="center"/>
    </xf>
    <xf numFmtId="49" fontId="21" fillId="3" borderId="5" xfId="4" applyNumberFormat="1" applyFont="1" applyFill="1" applyBorder="1" applyAlignment="1">
      <alignment horizontal="center" vertical="center"/>
    </xf>
    <xf numFmtId="43" fontId="21" fillId="3" borderId="0" xfId="4" applyNumberFormat="1" applyFont="1" applyFill="1" applyAlignment="1">
      <alignment horizontal="center" vertical="center" wrapText="1"/>
    </xf>
    <xf numFmtId="0" fontId="21" fillId="3" borderId="0" xfId="4" applyFont="1" applyFill="1" applyAlignment="1">
      <alignment vertical="center" wrapText="1"/>
    </xf>
    <xf numFmtId="0" fontId="21" fillId="3" borderId="5" xfId="4" applyFont="1" applyFill="1" applyBorder="1" applyAlignment="1">
      <alignment vertical="center" wrapText="1"/>
    </xf>
    <xf numFmtId="43" fontId="21" fillId="3" borderId="0" xfId="4" applyNumberFormat="1" applyFont="1" applyFill="1" applyAlignment="1">
      <alignment vertical="center"/>
    </xf>
    <xf numFmtId="49" fontId="21" fillId="3" borderId="7" xfId="4" applyNumberFormat="1" applyFont="1" applyFill="1" applyBorder="1" applyAlignment="1">
      <alignment horizontal="center" vertical="center"/>
    </xf>
    <xf numFmtId="43" fontId="21" fillId="3" borderId="6" xfId="4" applyNumberFormat="1" applyFont="1" applyFill="1" applyBorder="1" applyAlignment="1">
      <alignment horizontal="center" vertical="center"/>
    </xf>
    <xf numFmtId="0" fontId="21" fillId="0" borderId="0" xfId="0" applyFont="1"/>
    <xf numFmtId="0" fontId="14" fillId="3" borderId="0" xfId="0" applyFont="1" applyFill="1"/>
    <xf numFmtId="43" fontId="21" fillId="3" borderId="0" xfId="0" applyNumberFormat="1" applyFont="1" applyFill="1"/>
    <xf numFmtId="0" fontId="21" fillId="3" borderId="0" xfId="0" applyFont="1" applyFill="1"/>
    <xf numFmtId="0" fontId="21" fillId="3" borderId="2" xfId="0" applyFont="1" applyFill="1" applyBorder="1"/>
    <xf numFmtId="43" fontId="14" fillId="3" borderId="2" xfId="0" applyNumberFormat="1" applyFont="1" applyFill="1" applyBorder="1" applyAlignment="1">
      <alignment horizontal="right"/>
    </xf>
    <xf numFmtId="0" fontId="21" fillId="3" borderId="5" xfId="0" applyFont="1" applyFill="1" applyBorder="1" applyAlignment="1">
      <alignment horizontal="center"/>
    </xf>
    <xf numFmtId="0" fontId="22" fillId="0" borderId="0" xfId="0" applyFont="1"/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horizontal="distributed" vertical="center"/>
    </xf>
    <xf numFmtId="0" fontId="22" fillId="3" borderId="11" xfId="0" applyFont="1" applyFill="1" applyBorder="1" applyAlignment="1">
      <alignment horizontal="left" vertical="center" wrapText="1"/>
    </xf>
    <xf numFmtId="43" fontId="22" fillId="3" borderId="0" xfId="3" applyFont="1" applyFill="1" applyBorder="1" applyAlignment="1">
      <alignment horizontal="right" vertical="center"/>
    </xf>
    <xf numFmtId="181" fontId="22" fillId="3" borderId="0" xfId="3" applyNumberFormat="1" applyFon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distributed" vertical="center"/>
    </xf>
    <xf numFmtId="0" fontId="21" fillId="3" borderId="5" xfId="0" applyFont="1" applyFill="1" applyBorder="1" applyAlignment="1">
      <alignment horizontal="center" vertical="center" wrapText="1"/>
    </xf>
    <xf numFmtId="43" fontId="21" fillId="3" borderId="0" xfId="3" applyFont="1" applyFill="1" applyBorder="1" applyAlignment="1">
      <alignment horizontal="right" vertical="center"/>
    </xf>
    <xf numFmtId="0" fontId="22" fillId="3" borderId="5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49" fontId="20" fillId="3" borderId="0" xfId="0" applyNumberFormat="1" applyFont="1" applyFill="1" applyAlignment="1">
      <alignment horizontal="left" vertical="center"/>
    </xf>
    <xf numFmtId="0" fontId="33" fillId="3" borderId="5" xfId="0" applyFont="1" applyFill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0" fontId="22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4" fillId="3" borderId="5" xfId="0" applyFont="1" applyFill="1" applyBorder="1" applyAlignment="1">
      <alignment vertical="center" wrapText="1"/>
    </xf>
    <xf numFmtId="41" fontId="21" fillId="3" borderId="4" xfId="0" applyNumberFormat="1" applyFont="1" applyFill="1" applyBorder="1" applyAlignment="1">
      <alignment horizontal="right" vertical="center"/>
    </xf>
    <xf numFmtId="181" fontId="21" fillId="3" borderId="0" xfId="3" applyNumberFormat="1" applyFont="1" applyFill="1" applyBorder="1" applyAlignment="1">
      <alignment horizontal="right" vertical="center"/>
    </xf>
    <xf numFmtId="0" fontId="18" fillId="3" borderId="0" xfId="0" applyFont="1" applyFill="1" applyAlignment="1">
      <alignment horizontal="left" vertical="center" wrapText="1"/>
    </xf>
    <xf numFmtId="0" fontId="21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vertical="center" wrapText="1"/>
    </xf>
    <xf numFmtId="41" fontId="21" fillId="3" borderId="9" xfId="0" applyNumberFormat="1" applyFont="1" applyFill="1" applyBorder="1" applyAlignment="1">
      <alignment horizontal="right" vertical="center"/>
    </xf>
    <xf numFmtId="43" fontId="21" fillId="3" borderId="2" xfId="3" applyFont="1" applyFill="1" applyBorder="1" applyAlignment="1">
      <alignment horizontal="right" vertical="center"/>
    </xf>
    <xf numFmtId="181" fontId="21" fillId="3" borderId="2" xfId="3" applyNumberFormat="1" applyFont="1" applyFill="1" applyBorder="1" applyAlignment="1">
      <alignment horizontal="right" vertical="center"/>
    </xf>
    <xf numFmtId="0" fontId="41" fillId="3" borderId="0" xfId="0" applyFont="1" applyFill="1" applyAlignment="1">
      <alignment vertical="center"/>
    </xf>
    <xf numFmtId="0" fontId="41" fillId="3" borderId="0" xfId="0" applyFont="1" applyFill="1"/>
    <xf numFmtId="0" fontId="40" fillId="3" borderId="0" xfId="0" applyFont="1" applyFill="1"/>
    <xf numFmtId="0" fontId="40" fillId="0" borderId="0" xfId="0" applyFont="1"/>
    <xf numFmtId="0" fontId="4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/>
    <xf numFmtId="41" fontId="21" fillId="3" borderId="0" xfId="0" applyNumberFormat="1" applyFont="1" applyFill="1" applyAlignment="1">
      <alignment horizontal="right" vertical="center"/>
    </xf>
    <xf numFmtId="41" fontId="21" fillId="3" borderId="2" xfId="0" applyNumberFormat="1" applyFont="1" applyFill="1" applyBorder="1" applyAlignment="1">
      <alignment horizontal="right" vertical="center"/>
    </xf>
    <xf numFmtId="41" fontId="22" fillId="3" borderId="4" xfId="0" applyNumberFormat="1" applyFont="1" applyFill="1" applyBorder="1" applyAlignment="1">
      <alignment horizontal="right" vertical="center"/>
    </xf>
    <xf numFmtId="181" fontId="22" fillId="3" borderId="5" xfId="3" applyNumberFormat="1" applyFont="1" applyFill="1" applyBorder="1" applyAlignment="1">
      <alignment horizontal="right" vertical="center"/>
    </xf>
    <xf numFmtId="177" fontId="21" fillId="3" borderId="4" xfId="0" applyNumberFormat="1" applyFont="1" applyFill="1" applyBorder="1" applyAlignment="1">
      <alignment horizontal="right" vertical="center"/>
    </xf>
    <xf numFmtId="179" fontId="21" fillId="3" borderId="0" xfId="0" applyNumberFormat="1" applyFont="1" applyFill="1" applyAlignment="1">
      <alignment horizontal="right" vertical="center"/>
    </xf>
    <xf numFmtId="179" fontId="21" fillId="3" borderId="5" xfId="0" applyNumberFormat="1" applyFont="1" applyFill="1" applyBorder="1" applyAlignment="1">
      <alignment horizontal="right" vertical="center"/>
    </xf>
    <xf numFmtId="181" fontId="22" fillId="0" borderId="5" xfId="3" applyNumberFormat="1" applyFont="1" applyFill="1" applyBorder="1" applyAlignment="1">
      <alignment horizontal="right" vertical="center"/>
    </xf>
    <xf numFmtId="43" fontId="22" fillId="3" borderId="5" xfId="3" applyFont="1" applyFill="1" applyBorder="1" applyAlignment="1">
      <alignment horizontal="right" vertical="center"/>
    </xf>
    <xf numFmtId="181" fontId="21" fillId="3" borderId="5" xfId="3" applyNumberFormat="1" applyFont="1" applyFill="1" applyBorder="1" applyAlignment="1">
      <alignment horizontal="right" vertical="center"/>
    </xf>
    <xf numFmtId="181" fontId="21" fillId="0" borderId="5" xfId="3" applyNumberFormat="1" applyFont="1" applyFill="1" applyBorder="1" applyAlignment="1">
      <alignment horizontal="right" vertical="center"/>
    </xf>
    <xf numFmtId="181" fontId="21" fillId="3" borderId="6" xfId="3" applyNumberFormat="1" applyFont="1" applyFill="1" applyBorder="1" applyAlignment="1">
      <alignment horizontal="right" vertical="center"/>
    </xf>
    <xf numFmtId="0" fontId="18" fillId="3" borderId="5" xfId="0" applyFont="1" applyFill="1" applyBorder="1" applyAlignment="1">
      <alignment horizontal="center"/>
    </xf>
    <xf numFmtId="0" fontId="21" fillId="3" borderId="0" xfId="0" applyFont="1" applyFill="1" applyAlignment="1">
      <alignment horizontal="center" vertical="center"/>
    </xf>
    <xf numFmtId="0" fontId="14" fillId="0" borderId="0" xfId="4" applyFont="1" applyAlignment="1">
      <alignment vertical="center"/>
    </xf>
    <xf numFmtId="0" fontId="21" fillId="0" borderId="0" xfId="4" applyFont="1" applyAlignment="1">
      <alignment shrinkToFit="1"/>
    </xf>
    <xf numFmtId="182" fontId="14" fillId="0" borderId="0" xfId="3" applyNumberFormat="1" applyFont="1" applyFill="1" applyAlignment="1">
      <alignment horizontal="right" vertical="center"/>
    </xf>
    <xf numFmtId="182" fontId="14" fillId="0" borderId="0" xfId="3" applyNumberFormat="1" applyFont="1" applyFill="1" applyBorder="1" applyAlignment="1">
      <alignment horizontal="right" vertical="center" shrinkToFit="1"/>
    </xf>
    <xf numFmtId="182" fontId="14" fillId="0" borderId="2" xfId="3" applyNumberFormat="1" applyFont="1" applyFill="1" applyBorder="1" applyAlignment="1">
      <alignment horizontal="right" vertical="center" shrinkToFi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82" fontId="29" fillId="0" borderId="4" xfId="3" applyNumberFormat="1" applyFont="1" applyFill="1" applyBorder="1" applyAlignment="1">
      <alignment horizontal="right" vertical="center" wrapText="1"/>
    </xf>
    <xf numFmtId="182" fontId="29" fillId="0" borderId="0" xfId="3" applyNumberFormat="1" applyFont="1" applyFill="1" applyBorder="1" applyAlignment="1">
      <alignment horizontal="right" vertical="center" wrapText="1"/>
    </xf>
    <xf numFmtId="182" fontId="29" fillId="0" borderId="0" xfId="3" applyNumberFormat="1" applyFont="1" applyFill="1" applyAlignment="1">
      <alignment horizontal="right" vertical="center" wrapText="1"/>
    </xf>
    <xf numFmtId="182" fontId="14" fillId="0" borderId="5" xfId="3" applyNumberFormat="1" applyFont="1" applyFill="1" applyBorder="1" applyAlignment="1">
      <alignment horizontal="right" vertical="center"/>
    </xf>
    <xf numFmtId="182" fontId="14" fillId="0" borderId="2" xfId="3" applyNumberFormat="1" applyFont="1" applyFill="1" applyBorder="1" applyAlignment="1">
      <alignment horizontal="right" vertical="center"/>
    </xf>
    <xf numFmtId="182" fontId="29" fillId="0" borderId="9" xfId="3" applyNumberFormat="1" applyFont="1" applyFill="1" applyBorder="1" applyAlignment="1">
      <alignment horizontal="right" vertical="center" wrapText="1"/>
    </xf>
    <xf numFmtId="182" fontId="29" fillId="0" borderId="2" xfId="3" applyNumberFormat="1" applyFont="1" applyFill="1" applyBorder="1" applyAlignment="1">
      <alignment horizontal="right" vertical="center" wrapText="1"/>
    </xf>
    <xf numFmtId="182" fontId="14" fillId="0" borderId="6" xfId="3" applyNumberFormat="1" applyFont="1" applyFill="1" applyBorder="1" applyAlignment="1">
      <alignment horizontal="right" vertical="center"/>
    </xf>
    <xf numFmtId="178" fontId="24" fillId="0" borderId="0" xfId="4" applyNumberFormat="1" applyFont="1" applyAlignment="1">
      <alignment horizontal="right" vertical="center"/>
    </xf>
    <xf numFmtId="43" fontId="29" fillId="3" borderId="4" xfId="0" applyNumberFormat="1" applyFont="1" applyFill="1" applyBorder="1" applyAlignment="1">
      <alignment horizontal="center" vertical="center" wrapText="1"/>
    </xf>
    <xf numFmtId="41" fontId="22" fillId="3" borderId="0" xfId="0" applyNumberFormat="1" applyFont="1" applyFill="1" applyAlignment="1">
      <alignment horizontal="right" vertical="center"/>
    </xf>
    <xf numFmtId="43" fontId="21" fillId="0" borderId="0" xfId="3" applyFont="1" applyAlignment="1"/>
    <xf numFmtId="43" fontId="21" fillId="0" borderId="0" xfId="3" applyFont="1" applyAlignment="1">
      <alignment horizontal="right" vertical="center"/>
    </xf>
    <xf numFmtId="181" fontId="14" fillId="0" borderId="0" xfId="3" applyNumberFormat="1" applyFont="1" applyFill="1" applyBorder="1" applyAlignment="1">
      <alignment horizontal="right" vertical="center" shrinkToFit="1"/>
    </xf>
    <xf numFmtId="181" fontId="14" fillId="0" borderId="2" xfId="3" applyNumberFormat="1" applyFont="1" applyFill="1" applyBorder="1" applyAlignment="1">
      <alignment horizontal="right" vertical="center" shrinkToFit="1"/>
    </xf>
    <xf numFmtId="181" fontId="14" fillId="0" borderId="0" xfId="3" applyNumberFormat="1" applyFont="1" applyFill="1" applyBorder="1" applyAlignment="1">
      <alignment horizontal="right" vertical="center"/>
    </xf>
    <xf numFmtId="181" fontId="14" fillId="0" borderId="5" xfId="3" applyNumberFormat="1" applyFont="1" applyFill="1" applyBorder="1" applyAlignment="1">
      <alignment horizontal="right" vertical="center"/>
    </xf>
    <xf numFmtId="181" fontId="14" fillId="0" borderId="4" xfId="3" applyNumberFormat="1" applyFont="1" applyFill="1" applyBorder="1" applyAlignment="1">
      <alignment horizontal="right" vertical="center"/>
    </xf>
    <xf numFmtId="181" fontId="14" fillId="0" borderId="9" xfId="3" applyNumberFormat="1" applyFont="1" applyFill="1" applyBorder="1" applyAlignment="1">
      <alignment horizontal="right" vertical="center" shrinkToFit="1"/>
    </xf>
    <xf numFmtId="181" fontId="14" fillId="0" borderId="5" xfId="3" applyNumberFormat="1" applyFont="1" applyFill="1" applyBorder="1" applyAlignment="1">
      <alignment horizontal="right" vertical="center" shrinkToFit="1"/>
    </xf>
    <xf numFmtId="181" fontId="14" fillId="0" borderId="4" xfId="3" applyNumberFormat="1" applyFont="1" applyFill="1" applyBorder="1" applyAlignment="1">
      <alignment horizontal="right" vertical="center" shrinkToFit="1"/>
    </xf>
    <xf numFmtId="0" fontId="14" fillId="3" borderId="5" xfId="0" applyFont="1" applyFill="1" applyBorder="1" applyAlignment="1">
      <alignment horizontal="left" vertical="center" wrapText="1" indent="1"/>
    </xf>
    <xf numFmtId="43" fontId="21" fillId="3" borderId="2" xfId="4" applyNumberFormat="1" applyFont="1" applyFill="1" applyBorder="1" applyAlignment="1">
      <alignment horizontal="center" vertical="center"/>
    </xf>
    <xf numFmtId="0" fontId="21" fillId="3" borderId="2" xfId="4" applyFont="1" applyFill="1" applyBorder="1" applyAlignment="1">
      <alignment vertical="center"/>
    </xf>
    <xf numFmtId="0" fontId="21" fillId="3" borderId="6" xfId="4" applyFont="1" applyFill="1" applyBorder="1" applyAlignment="1">
      <alignment vertical="center"/>
    </xf>
    <xf numFmtId="49" fontId="21" fillId="3" borderId="6" xfId="4" applyNumberFormat="1" applyFont="1" applyFill="1" applyBorder="1" applyAlignment="1">
      <alignment horizontal="center" vertical="center"/>
    </xf>
    <xf numFmtId="177" fontId="21" fillId="3" borderId="0" xfId="0" applyNumberFormat="1" applyFont="1" applyFill="1" applyAlignment="1">
      <alignment horizontal="right" vertical="center"/>
    </xf>
    <xf numFmtId="181" fontId="22" fillId="3" borderId="4" xfId="3" applyNumberFormat="1" applyFont="1" applyFill="1" applyBorder="1" applyAlignment="1">
      <alignment horizontal="right" vertical="center"/>
    </xf>
    <xf numFmtId="0" fontId="24" fillId="3" borderId="5" xfId="0" applyFont="1" applyFill="1" applyBorder="1" applyAlignment="1">
      <alignment horizontal="left" vertical="center" wrapText="1" indent="1"/>
    </xf>
    <xf numFmtId="43" fontId="21" fillId="3" borderId="0" xfId="3" applyFont="1" applyFill="1" applyBorder="1" applyAlignment="1">
      <alignment horizontal="left" vertical="center" indent="1"/>
    </xf>
    <xf numFmtId="181" fontId="21" fillId="3" borderId="0" xfId="3" applyNumberFormat="1" applyFont="1" applyFill="1" applyBorder="1" applyAlignment="1">
      <alignment horizontal="left" vertical="center" indent="1"/>
    </xf>
    <xf numFmtId="181" fontId="21" fillId="3" borderId="5" xfId="3" applyNumberFormat="1" applyFont="1" applyFill="1" applyBorder="1" applyAlignment="1">
      <alignment horizontal="left" vertical="center" indent="1"/>
    </xf>
    <xf numFmtId="0" fontId="21" fillId="3" borderId="0" xfId="0" applyFont="1" applyFill="1" applyAlignment="1">
      <alignment horizontal="left" indent="1"/>
    </xf>
    <xf numFmtId="0" fontId="11" fillId="3" borderId="0" xfId="0" applyFont="1" applyFill="1" applyAlignment="1">
      <alignment horizontal="left" vertical="center" wrapText="1" indent="1"/>
    </xf>
    <xf numFmtId="0" fontId="21" fillId="3" borderId="0" xfId="0" applyFont="1" applyFill="1" applyAlignment="1">
      <alignment horizontal="left" vertical="center" wrapText="1" indent="1"/>
    </xf>
    <xf numFmtId="49" fontId="18" fillId="3" borderId="0" xfId="0" applyNumberFormat="1" applyFont="1" applyFill="1" applyAlignment="1">
      <alignment horizontal="left" vertical="center" indent="1"/>
    </xf>
    <xf numFmtId="49" fontId="21" fillId="3" borderId="0" xfId="0" applyNumberFormat="1" applyFont="1" applyFill="1" applyAlignment="1">
      <alignment horizontal="left" vertical="center" indent="1"/>
    </xf>
    <xf numFmtId="49" fontId="11" fillId="3" borderId="0" xfId="0" applyNumberFormat="1" applyFont="1" applyFill="1" applyAlignment="1">
      <alignment horizontal="left" vertical="center" wrapText="1" indent="1"/>
    </xf>
    <xf numFmtId="181" fontId="21" fillId="3" borderId="4" xfId="3" applyNumberFormat="1" applyFont="1" applyFill="1" applyBorder="1" applyAlignment="1">
      <alignment horizontal="left" vertical="center" indent="1"/>
    </xf>
    <xf numFmtId="41" fontId="21" fillId="3" borderId="4" xfId="0" applyNumberFormat="1" applyFont="1" applyFill="1" applyBorder="1" applyAlignment="1">
      <alignment horizontal="left" vertical="center" indent="1"/>
    </xf>
    <xf numFmtId="41" fontId="21" fillId="3" borderId="0" xfId="0" applyNumberFormat="1" applyFont="1" applyFill="1" applyAlignment="1">
      <alignment horizontal="left" vertical="center" indent="1"/>
    </xf>
    <xf numFmtId="0" fontId="18" fillId="3" borderId="0" xfId="0" applyFont="1" applyFill="1" applyAlignment="1">
      <alignment horizontal="left" vertical="center" indent="1"/>
    </xf>
    <xf numFmtId="181" fontId="21" fillId="3" borderId="5" xfId="3" applyNumberFormat="1" applyFont="1" applyFill="1" applyBorder="1" applyAlignment="1">
      <alignment horizontal="right" vertical="center" indent="1"/>
    </xf>
    <xf numFmtId="181" fontId="21" fillId="3" borderId="0" xfId="3" applyNumberFormat="1" applyFont="1" applyFill="1" applyBorder="1" applyAlignment="1">
      <alignment horizontal="right" vertical="center" indent="1"/>
    </xf>
    <xf numFmtId="181" fontId="21" fillId="3" borderId="5" xfId="3" applyNumberFormat="1" applyFont="1" applyFill="1" applyBorder="1" applyAlignment="1">
      <alignment vertical="center"/>
    </xf>
    <xf numFmtId="0" fontId="26" fillId="3" borderId="5" xfId="0" applyFont="1" applyFill="1" applyBorder="1" applyAlignment="1">
      <alignment horizontal="left" vertical="center" wrapText="1" indent="1"/>
    </xf>
    <xf numFmtId="0" fontId="14" fillId="3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vertical="center"/>
    </xf>
    <xf numFmtId="43" fontId="14" fillId="3" borderId="0" xfId="0" applyNumberFormat="1" applyFont="1" applyFill="1" applyAlignment="1">
      <alignment horizontal="right"/>
    </xf>
    <xf numFmtId="0" fontId="18" fillId="3" borderId="4" xfId="4" applyFont="1" applyFill="1" applyBorder="1" applyAlignment="1">
      <alignment horizontal="center" vertical="center"/>
    </xf>
    <xf numFmtId="179" fontId="21" fillId="3" borderId="4" xfId="0" applyNumberFormat="1" applyFont="1" applyFill="1" applyBorder="1" applyAlignment="1">
      <alignment horizontal="right" vertical="center"/>
    </xf>
    <xf numFmtId="181" fontId="22" fillId="0" borderId="4" xfId="3" applyNumberFormat="1" applyFont="1" applyFill="1" applyBorder="1" applyAlignment="1">
      <alignment horizontal="right" vertical="center"/>
    </xf>
    <xf numFmtId="43" fontId="22" fillId="3" borderId="4" xfId="3" applyFont="1" applyFill="1" applyBorder="1" applyAlignment="1">
      <alignment horizontal="right" vertical="center"/>
    </xf>
    <xf numFmtId="181" fontId="21" fillId="3" borderId="4" xfId="3" applyNumberFormat="1" applyFont="1" applyFill="1" applyBorder="1" applyAlignment="1">
      <alignment horizontal="right" vertical="center"/>
    </xf>
    <xf numFmtId="181" fontId="21" fillId="0" borderId="4" xfId="3" applyNumberFormat="1" applyFont="1" applyFill="1" applyBorder="1" applyAlignment="1">
      <alignment horizontal="right" vertical="center"/>
    </xf>
    <xf numFmtId="0" fontId="18" fillId="3" borderId="4" xfId="4" applyFont="1" applyFill="1" applyBorder="1" applyAlignment="1">
      <alignment horizontal="center"/>
    </xf>
    <xf numFmtId="0" fontId="21" fillId="3" borderId="4" xfId="4" applyFont="1" applyFill="1" applyBorder="1" applyAlignment="1">
      <alignment horizontal="center"/>
    </xf>
    <xf numFmtId="0" fontId="24" fillId="0" borderId="0" xfId="4" applyFont="1"/>
    <xf numFmtId="49" fontId="18" fillId="0" borderId="5" xfId="4" applyNumberFormat="1" applyFont="1" applyBorder="1" applyAlignment="1">
      <alignment horizontal="left" vertical="center"/>
    </xf>
    <xf numFmtId="178" fontId="18" fillId="0" borderId="5" xfId="4" applyNumberFormat="1" applyFont="1" applyBorder="1" applyAlignment="1">
      <alignment horizontal="left" vertical="center"/>
    </xf>
    <xf numFmtId="178" fontId="18" fillId="0" borderId="6" xfId="4" applyNumberFormat="1" applyFont="1" applyBorder="1" applyAlignment="1">
      <alignment horizontal="left" vertical="center"/>
    </xf>
    <xf numFmtId="178" fontId="18" fillId="0" borderId="5" xfId="19" applyNumberFormat="1" applyFont="1" applyBorder="1" applyAlignment="1">
      <alignment horizontal="left" vertical="center"/>
    </xf>
    <xf numFmtId="0" fontId="14" fillId="0" borderId="0" xfId="19" applyFont="1">
      <alignment vertical="center"/>
    </xf>
    <xf numFmtId="0" fontId="14" fillId="0" borderId="2" xfId="4" applyFont="1" applyBorder="1" applyAlignment="1">
      <alignment vertical="center"/>
    </xf>
    <xf numFmtId="0" fontId="14" fillId="0" borderId="4" xfId="4" applyFont="1" applyBorder="1" applyAlignment="1">
      <alignment vertical="center"/>
    </xf>
    <xf numFmtId="0" fontId="14" fillId="0" borderId="4" xfId="19" applyFont="1" applyBorder="1">
      <alignment vertical="center"/>
    </xf>
    <xf numFmtId="0" fontId="14" fillId="0" borderId="9" xfId="4" applyFont="1" applyBorder="1" applyAlignment="1">
      <alignment vertical="center"/>
    </xf>
    <xf numFmtId="182" fontId="14" fillId="0" borderId="11" xfId="3" applyNumberFormat="1" applyFont="1" applyFill="1" applyBorder="1" applyAlignment="1">
      <alignment horizontal="right" vertical="center"/>
    </xf>
    <xf numFmtId="181" fontId="14" fillId="0" borderId="6" xfId="3" applyNumberFormat="1" applyFont="1" applyFill="1" applyBorder="1" applyAlignment="1">
      <alignment horizontal="right" vertical="center" shrinkToFit="1"/>
    </xf>
    <xf numFmtId="0" fontId="24" fillId="0" borderId="4" xfId="4" applyFont="1" applyBorder="1" applyAlignment="1">
      <alignment vertical="center"/>
    </xf>
    <xf numFmtId="0" fontId="24" fillId="0" borderId="9" xfId="4" applyFont="1" applyBorder="1" applyAlignment="1">
      <alignment vertical="center"/>
    </xf>
    <xf numFmtId="182" fontId="14" fillId="0" borderId="4" xfId="3" applyNumberFormat="1" applyFont="1" applyBorder="1" applyAlignment="1">
      <alignment horizontal="right" vertical="center"/>
    </xf>
    <xf numFmtId="182" fontId="14" fillId="0" borderId="0" xfId="3" applyNumberFormat="1" applyFont="1" applyBorder="1" applyAlignment="1">
      <alignment horizontal="right" vertical="center"/>
    </xf>
    <xf numFmtId="182" fontId="14" fillId="0" borderId="5" xfId="3" applyNumberFormat="1" applyFont="1" applyBorder="1" applyAlignment="1">
      <alignment horizontal="right" vertical="center"/>
    </xf>
    <xf numFmtId="182" fontId="14" fillId="0" borderId="9" xfId="3" applyNumberFormat="1" applyFont="1" applyBorder="1" applyAlignment="1">
      <alignment horizontal="right" vertical="center"/>
    </xf>
    <xf numFmtId="182" fontId="14" fillId="0" borderId="2" xfId="3" applyNumberFormat="1" applyFont="1" applyBorder="1" applyAlignment="1">
      <alignment horizontal="right" vertical="center"/>
    </xf>
    <xf numFmtId="181" fontId="14" fillId="0" borderId="4" xfId="26" applyNumberFormat="1" applyFont="1" applyFill="1" applyBorder="1" applyAlignment="1">
      <alignment horizontal="right" vertical="center"/>
    </xf>
    <xf numFmtId="181" fontId="14" fillId="0" borderId="0" xfId="26" applyNumberFormat="1" applyFont="1" applyFill="1" applyBorder="1" applyAlignment="1">
      <alignment horizontal="right" vertical="center"/>
    </xf>
    <xf numFmtId="181" fontId="14" fillId="0" borderId="5" xfId="26" applyNumberFormat="1" applyFont="1" applyFill="1" applyBorder="1" applyAlignment="1">
      <alignment horizontal="right" vertical="center" shrinkToFit="1"/>
    </xf>
    <xf numFmtId="178" fontId="18" fillId="0" borderId="5" xfId="25" applyNumberFormat="1" applyFont="1" applyBorder="1" applyAlignment="1">
      <alignment horizontal="left" vertical="center"/>
    </xf>
    <xf numFmtId="0" fontId="24" fillId="0" borderId="4" xfId="25" applyFont="1" applyBorder="1">
      <alignment vertical="center"/>
    </xf>
    <xf numFmtId="178" fontId="24" fillId="0" borderId="0" xfId="4" applyNumberFormat="1" applyFont="1" applyAlignment="1">
      <alignment horizontal="right"/>
    </xf>
    <xf numFmtId="178" fontId="15" fillId="0" borderId="0" xfId="4" applyNumberFormat="1" applyFont="1" applyAlignment="1">
      <alignment horizontal="left" vertical="center"/>
    </xf>
    <xf numFmtId="181" fontId="24" fillId="0" borderId="0" xfId="3" applyNumberFormat="1" applyFont="1" applyFill="1" applyAlignment="1">
      <alignment horizontal="right" vertical="center"/>
    </xf>
    <xf numFmtId="178" fontId="28" fillId="0" borderId="0" xfId="4" applyNumberFormat="1" applyFont="1" applyAlignment="1">
      <alignment vertical="center" shrinkToFit="1"/>
    </xf>
    <xf numFmtId="181" fontId="14" fillId="0" borderId="4" xfId="26" applyNumberFormat="1" applyFont="1" applyFill="1" applyBorder="1" applyAlignment="1">
      <alignment horizontal="right" vertical="center" shrinkToFit="1"/>
    </xf>
    <xf numFmtId="181" fontId="14" fillId="0" borderId="0" xfId="26" applyNumberFormat="1" applyFont="1" applyFill="1" applyBorder="1" applyAlignment="1">
      <alignment horizontal="right" vertical="center" shrinkToFit="1"/>
    </xf>
    <xf numFmtId="182" fontId="14" fillId="0" borderId="4" xfId="3" applyNumberFormat="1" applyFont="1" applyFill="1" applyBorder="1" applyAlignment="1">
      <alignment horizontal="right" vertical="center"/>
    </xf>
    <xf numFmtId="182" fontId="14" fillId="0" borderId="0" xfId="3" applyNumberFormat="1" applyFont="1" applyFill="1" applyBorder="1" applyAlignment="1">
      <alignment horizontal="right" vertical="center"/>
    </xf>
    <xf numFmtId="182" fontId="14" fillId="0" borderId="4" xfId="3" applyNumberFormat="1" applyFont="1" applyFill="1" applyBorder="1" applyAlignment="1">
      <alignment horizontal="right" vertical="center" shrinkToFit="1"/>
    </xf>
    <xf numFmtId="182" fontId="14" fillId="0" borderId="9" xfId="3" applyNumberFormat="1" applyFont="1" applyFill="1" applyBorder="1" applyAlignment="1">
      <alignment horizontal="right" vertical="center" shrinkToFit="1"/>
    </xf>
    <xf numFmtId="0" fontId="14" fillId="0" borderId="1" xfId="27" applyFont="1" applyBorder="1" applyAlignment="1">
      <alignment horizontal="center" vertical="center"/>
    </xf>
    <xf numFmtId="0" fontId="14" fillId="0" borderId="10" xfId="27" applyFont="1" applyBorder="1" applyAlignment="1">
      <alignment horizontal="center" vertical="center"/>
    </xf>
    <xf numFmtId="0" fontId="14" fillId="0" borderId="6" xfId="27" applyFont="1" applyBorder="1" applyAlignment="1">
      <alignment horizontal="center" vertical="center"/>
    </xf>
    <xf numFmtId="0" fontId="14" fillId="0" borderId="7" xfId="27" applyFont="1" applyBorder="1" applyAlignment="1">
      <alignment horizontal="center" vertical="center"/>
    </xf>
    <xf numFmtId="0" fontId="14" fillId="0" borderId="2" xfId="27" applyFont="1" applyBorder="1" applyAlignment="1">
      <alignment horizontal="center" vertical="center"/>
    </xf>
    <xf numFmtId="0" fontId="14" fillId="0" borderId="9" xfId="27" applyFont="1" applyBorder="1" applyAlignment="1">
      <alignment horizontal="center" vertical="center"/>
    </xf>
    <xf numFmtId="41" fontId="22" fillId="3" borderId="4" xfId="0" applyNumberFormat="1" applyFont="1" applyFill="1" applyBorder="1" applyAlignment="1">
      <alignment horizontal="left" vertical="center" indent="1"/>
    </xf>
    <xf numFmtId="41" fontId="22" fillId="3" borderId="4" xfId="3" applyNumberFormat="1" applyFont="1" applyFill="1" applyBorder="1" applyAlignment="1">
      <alignment horizontal="right" vertical="center"/>
    </xf>
    <xf numFmtId="182" fontId="14" fillId="0" borderId="0" xfId="3" applyNumberFormat="1" applyFont="1" applyFill="1" applyBorder="1" applyAlignment="1">
      <alignment horizontal="right" vertical="center" wrapText="1"/>
    </xf>
    <xf numFmtId="182" fontId="14" fillId="0" borderId="5" xfId="3" applyNumberFormat="1" applyFont="1" applyFill="1" applyBorder="1" applyAlignment="1">
      <alignment horizontal="right" vertical="center" wrapText="1"/>
    </xf>
    <xf numFmtId="41" fontId="22" fillId="3" borderId="8" xfId="0" applyNumberFormat="1" applyFont="1" applyFill="1" applyBorder="1" applyAlignment="1">
      <alignment horizontal="right" vertical="center"/>
    </xf>
    <xf numFmtId="41" fontId="22" fillId="3" borderId="0" xfId="3" applyNumberFormat="1" applyFont="1" applyFill="1" applyBorder="1" applyAlignment="1">
      <alignment horizontal="right" vertical="center"/>
    </xf>
    <xf numFmtId="0" fontId="18" fillId="3" borderId="0" xfId="0" applyFont="1" applyFill="1" applyAlignment="1">
      <alignment horizontal="center" vertical="center"/>
    </xf>
    <xf numFmtId="181" fontId="21" fillId="3" borderId="0" xfId="3" applyNumberFormat="1" applyFont="1" applyFill="1" applyBorder="1" applyAlignment="1">
      <alignment vertical="center"/>
    </xf>
    <xf numFmtId="0" fontId="18" fillId="3" borderId="0" xfId="4" applyFont="1" applyFill="1" applyAlignment="1">
      <alignment horizontal="center"/>
    </xf>
    <xf numFmtId="0" fontId="21" fillId="3" borderId="0" xfId="4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41" fontId="22" fillId="3" borderId="5" xfId="0" applyNumberFormat="1" applyFont="1" applyFill="1" applyBorder="1" applyAlignment="1">
      <alignment horizontal="right" vertical="center"/>
    </xf>
    <xf numFmtId="181" fontId="21" fillId="0" borderId="0" xfId="4" applyNumberFormat="1" applyFont="1"/>
    <xf numFmtId="0" fontId="23" fillId="3" borderId="0" xfId="0" applyFont="1" applyFill="1" applyAlignment="1">
      <alignment vertical="center"/>
    </xf>
    <xf numFmtId="0" fontId="71" fillId="3" borderId="12" xfId="0" applyFont="1" applyFill="1" applyBorder="1" applyAlignment="1">
      <alignment horizontal="center" vertical="center"/>
    </xf>
    <xf numFmtId="0" fontId="71" fillId="3" borderId="13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 wrapText="1"/>
    </xf>
    <xf numFmtId="0" fontId="26" fillId="3" borderId="7" xfId="25" applyFont="1" applyFill="1" applyBorder="1" applyAlignment="1">
      <alignment horizontal="center" vertical="center" wrapText="1"/>
    </xf>
    <xf numFmtId="178" fontId="23" fillId="0" borderId="0" xfId="4" applyNumberFormat="1" applyFont="1" applyAlignment="1">
      <alignment vertical="center" shrinkToFit="1"/>
    </xf>
    <xf numFmtId="181" fontId="14" fillId="0" borderId="8" xfId="26" applyNumberFormat="1" applyFont="1" applyFill="1" applyBorder="1" applyAlignment="1">
      <alignment horizontal="right" vertical="center" shrinkToFit="1"/>
    </xf>
    <xf numFmtId="181" fontId="14" fillId="0" borderId="8" xfId="26" applyNumberFormat="1" applyFont="1" applyFill="1" applyBorder="1" applyAlignment="1">
      <alignment horizontal="right" vertical="center"/>
    </xf>
    <xf numFmtId="181" fontId="14" fillId="0" borderId="11" xfId="26" applyNumberFormat="1" applyFont="1" applyFill="1" applyBorder="1" applyAlignment="1">
      <alignment horizontal="right" vertical="center"/>
    </xf>
    <xf numFmtId="181" fontId="14" fillId="0" borderId="10" xfId="26" applyNumberFormat="1" applyFont="1" applyFill="1" applyBorder="1" applyAlignment="1">
      <alignment horizontal="right" vertical="center"/>
    </xf>
    <xf numFmtId="181" fontId="14" fillId="0" borderId="11" xfId="26" applyNumberFormat="1" applyFont="1" applyFill="1" applyBorder="1" applyAlignment="1">
      <alignment horizontal="right" vertical="center" shrinkToFit="1"/>
    </xf>
    <xf numFmtId="178" fontId="24" fillId="0" borderId="0" xfId="4" applyNumberFormat="1" applyFont="1" applyAlignment="1">
      <alignment horizontal="left" vertical="center"/>
    </xf>
    <xf numFmtId="182" fontId="14" fillId="0" borderId="5" xfId="3" applyNumberFormat="1" applyFont="1" applyFill="1" applyBorder="1" applyAlignment="1">
      <alignment horizontal="right" vertical="center" shrinkToFit="1"/>
    </xf>
    <xf numFmtId="182" fontId="14" fillId="0" borderId="8" xfId="3" applyNumberFormat="1" applyFont="1" applyFill="1" applyBorder="1" applyAlignment="1">
      <alignment horizontal="right" vertical="center" shrinkToFit="1"/>
    </xf>
    <xf numFmtId="182" fontId="14" fillId="0" borderId="8" xfId="3" applyNumberFormat="1" applyFont="1" applyFill="1" applyBorder="1" applyAlignment="1">
      <alignment horizontal="right" vertical="center"/>
    </xf>
    <xf numFmtId="182" fontId="14" fillId="0" borderId="10" xfId="3" applyNumberFormat="1" applyFont="1" applyFill="1" applyBorder="1" applyAlignment="1">
      <alignment horizontal="right" vertical="center"/>
    </xf>
    <xf numFmtId="182" fontId="14" fillId="0" borderId="11" xfId="3" applyNumberFormat="1" applyFont="1" applyFill="1" applyBorder="1" applyAlignment="1">
      <alignment horizontal="right" vertical="center" shrinkToFit="1"/>
    </xf>
    <xf numFmtId="182" fontId="14" fillId="0" borderId="6" xfId="3" applyNumberFormat="1" applyFont="1" applyFill="1" applyBorder="1" applyAlignment="1">
      <alignment horizontal="right" vertical="center" shrinkToFit="1"/>
    </xf>
    <xf numFmtId="178" fontId="24" fillId="0" borderId="0" xfId="4" applyNumberFormat="1" applyFont="1" applyAlignment="1">
      <alignment vertical="center" shrinkToFit="1"/>
    </xf>
    <xf numFmtId="178" fontId="11" fillId="0" borderId="0" xfId="4" applyNumberFormat="1" applyFont="1" applyAlignment="1">
      <alignment horizontal="left" vertical="center"/>
    </xf>
    <xf numFmtId="43" fontId="22" fillId="3" borderId="8" xfId="3" applyFont="1" applyFill="1" applyBorder="1" applyAlignment="1">
      <alignment horizontal="right" vertical="center"/>
    </xf>
    <xf numFmtId="177" fontId="21" fillId="3" borderId="0" xfId="3" applyNumberFormat="1" applyFont="1" applyFill="1" applyBorder="1" applyAlignment="1">
      <alignment horizontal="right" vertical="center"/>
    </xf>
    <xf numFmtId="43" fontId="14" fillId="0" borderId="2" xfId="4" applyNumberFormat="1" applyFont="1" applyBorder="1" applyAlignment="1">
      <alignment horizontal="right" vertical="center" shrinkToFit="1"/>
    </xf>
    <xf numFmtId="178" fontId="24" fillId="0" borderId="0" xfId="4" applyNumberFormat="1" applyFont="1" applyAlignment="1">
      <alignment horizontal="left" vertical="center" wrapText="1"/>
    </xf>
    <xf numFmtId="178" fontId="62" fillId="0" borderId="0" xfId="4" applyNumberFormat="1" applyFont="1" applyAlignment="1">
      <alignment horizontal="center" vertical="center" wrapText="1"/>
    </xf>
    <xf numFmtId="178" fontId="19" fillId="0" borderId="0" xfId="4" applyNumberFormat="1" applyFont="1" applyAlignment="1">
      <alignment horizontal="center" vertical="center" wrapText="1"/>
    </xf>
    <xf numFmtId="0" fontId="15" fillId="0" borderId="0" xfId="4" applyFont="1" applyAlignment="1">
      <alignment horizontal="left" vertical="center" wrapText="1"/>
    </xf>
    <xf numFmtId="177" fontId="21" fillId="3" borderId="5" xfId="0" applyNumberFormat="1" applyFont="1" applyFill="1" applyBorder="1" applyAlignment="1">
      <alignment horizontal="right" vertical="center"/>
    </xf>
    <xf numFmtId="41" fontId="67" fillId="0" borderId="0" xfId="0" applyNumberFormat="1" applyFont="1" applyAlignment="1">
      <alignment vertical="center"/>
    </xf>
    <xf numFmtId="43" fontId="59" fillId="0" borderId="0" xfId="0" applyNumberFormat="1" applyFont="1" applyAlignment="1">
      <alignment vertical="center"/>
    </xf>
    <xf numFmtId="0" fontId="22" fillId="3" borderId="0" xfId="0" applyFont="1" applyFill="1"/>
    <xf numFmtId="0" fontId="70" fillId="3" borderId="4" xfId="0" applyFont="1" applyFill="1" applyBorder="1" applyAlignment="1">
      <alignment horizontal="center" vertical="center" wrapText="1"/>
    </xf>
    <xf numFmtId="0" fontId="26" fillId="3" borderId="6" xfId="25" applyFont="1" applyFill="1" applyBorder="1" applyAlignment="1">
      <alignment horizontal="center" vertical="center" wrapText="1"/>
    </xf>
    <xf numFmtId="178" fontId="74" fillId="0" borderId="0" xfId="4" applyNumberFormat="1" applyFont="1" applyAlignment="1">
      <alignment horizontal="left" wrapText="1"/>
    </xf>
    <xf numFmtId="0" fontId="29" fillId="0" borderId="4" xfId="25" applyFont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0" fontId="71" fillId="3" borderId="4" xfId="0" applyFont="1" applyFill="1" applyBorder="1" applyAlignment="1">
      <alignment horizontal="center" vertical="center"/>
    </xf>
    <xf numFmtId="0" fontId="26" fillId="3" borderId="4" xfId="25" applyFont="1" applyFill="1" applyBorder="1" applyAlignment="1">
      <alignment horizontal="center" vertical="center" wrapText="1"/>
    </xf>
    <xf numFmtId="178" fontId="15" fillId="0" borderId="0" xfId="4" applyNumberFormat="1" applyFont="1" applyAlignment="1">
      <alignment horizontal="left" vertical="center" wrapText="1"/>
    </xf>
    <xf numFmtId="178" fontId="24" fillId="0" borderId="0" xfId="4" applyNumberFormat="1" applyFont="1" applyAlignment="1">
      <alignment horizontal="left" wrapText="1"/>
    </xf>
    <xf numFmtId="0" fontId="32" fillId="3" borderId="4" xfId="25" applyFont="1" applyFill="1" applyBorder="1" applyAlignment="1">
      <alignment horizontal="center" vertical="center" wrapText="1"/>
    </xf>
    <xf numFmtId="178" fontId="77" fillId="0" borderId="0" xfId="4" applyNumberFormat="1" applyFont="1" applyAlignment="1">
      <alignment horizontal="left" vertical="center" wrapText="1"/>
    </xf>
    <xf numFmtId="181" fontId="14" fillId="0" borderId="4" xfId="3" applyNumberFormat="1" applyFont="1" applyFill="1" applyBorder="1" applyAlignment="1">
      <alignment horizontal="center" vertical="center" shrinkToFit="1"/>
    </xf>
    <xf numFmtId="182" fontId="14" fillId="0" borderId="4" xfId="3" applyNumberFormat="1" applyFont="1" applyFill="1" applyBorder="1" applyAlignment="1">
      <alignment horizontal="center" vertical="center" shrinkToFit="1"/>
    </xf>
    <xf numFmtId="43" fontId="14" fillId="0" borderId="0" xfId="3" applyFont="1" applyAlignment="1">
      <alignment horizontal="left" vertical="center"/>
    </xf>
    <xf numFmtId="0" fontId="78" fillId="0" borderId="0" xfId="1" applyFont="1" applyAlignment="1">
      <alignment vertical="center"/>
    </xf>
    <xf numFmtId="181" fontId="79" fillId="0" borderId="0" xfId="26" applyNumberFormat="1" applyFont="1" applyFill="1" applyBorder="1" applyAlignment="1">
      <alignment horizontal="right" vertical="center" shrinkToFit="1"/>
    </xf>
    <xf numFmtId="181" fontId="79" fillId="0" borderId="4" xfId="26" applyNumberFormat="1" applyFont="1" applyFill="1" applyBorder="1" applyAlignment="1">
      <alignment horizontal="right" vertical="center" shrinkToFit="1"/>
    </xf>
    <xf numFmtId="181" fontId="79" fillId="0" borderId="5" xfId="26" applyNumberFormat="1" applyFont="1" applyFill="1" applyBorder="1" applyAlignment="1">
      <alignment horizontal="right" vertical="center" shrinkToFit="1"/>
    </xf>
    <xf numFmtId="181" fontId="79" fillId="0" borderId="10" xfId="26" applyNumberFormat="1" applyFont="1" applyFill="1" applyBorder="1" applyAlignment="1">
      <alignment horizontal="right" vertical="center"/>
    </xf>
    <xf numFmtId="181" fontId="79" fillId="0" borderId="8" xfId="26" applyNumberFormat="1" applyFont="1" applyFill="1" applyBorder="1" applyAlignment="1">
      <alignment horizontal="right" vertical="center" shrinkToFit="1"/>
    </xf>
    <xf numFmtId="181" fontId="79" fillId="0" borderId="8" xfId="26" applyNumberFormat="1" applyFont="1" applyFill="1" applyBorder="1" applyAlignment="1">
      <alignment horizontal="right" vertical="center"/>
    </xf>
    <xf numFmtId="181" fontId="79" fillId="0" borderId="11" xfId="26" applyNumberFormat="1" applyFont="1" applyFill="1" applyBorder="1" applyAlignment="1">
      <alignment horizontal="right" vertical="center" shrinkToFit="1"/>
    </xf>
    <xf numFmtId="182" fontId="79" fillId="0" borderId="10" xfId="26" applyNumberFormat="1" applyFont="1" applyFill="1" applyBorder="1" applyAlignment="1">
      <alignment horizontal="right" vertical="center"/>
    </xf>
    <xf numFmtId="182" fontId="79" fillId="0" borderId="8" xfId="26" applyNumberFormat="1" applyFont="1" applyFill="1" applyBorder="1" applyAlignment="1">
      <alignment horizontal="right" vertical="center" shrinkToFit="1"/>
    </xf>
    <xf numFmtId="182" fontId="79" fillId="0" borderId="8" xfId="26" applyNumberFormat="1" applyFont="1" applyFill="1" applyBorder="1" applyAlignment="1">
      <alignment horizontal="right" vertical="center"/>
    </xf>
    <xf numFmtId="182" fontId="79" fillId="0" borderId="11" xfId="26" applyNumberFormat="1" applyFont="1" applyFill="1" applyBorder="1" applyAlignment="1">
      <alignment horizontal="right" vertical="center" shrinkToFit="1"/>
    </xf>
    <xf numFmtId="182" fontId="21" fillId="0" borderId="0" xfId="3" applyNumberFormat="1" applyFont="1" applyAlignment="1"/>
    <xf numFmtId="181" fontId="21" fillId="0" borderId="0" xfId="3" applyNumberFormat="1" applyFont="1" applyAlignment="1"/>
    <xf numFmtId="185" fontId="21" fillId="0" borderId="0" xfId="4" applyNumberFormat="1" applyFont="1"/>
    <xf numFmtId="182" fontId="21" fillId="0" borderId="0" xfId="3" applyNumberFormat="1" applyFont="1" applyAlignment="1">
      <alignment horizontal="right" vertical="center"/>
    </xf>
    <xf numFmtId="181" fontId="0" fillId="0" borderId="0" xfId="3" applyNumberFormat="1" applyFont="1" applyAlignment="1"/>
    <xf numFmtId="186" fontId="21" fillId="0" borderId="0" xfId="4" applyNumberFormat="1" applyFont="1"/>
    <xf numFmtId="178" fontId="24" fillId="0" borderId="0" xfId="4" applyNumberFormat="1" applyFont="1" applyAlignment="1">
      <alignment shrinkToFit="1"/>
    </xf>
    <xf numFmtId="181" fontId="21" fillId="0" borderId="0" xfId="3" applyNumberFormat="1" applyFont="1" applyFill="1" applyAlignment="1"/>
    <xf numFmtId="182" fontId="21" fillId="0" borderId="0" xfId="3" applyNumberFormat="1" applyFont="1" applyFill="1" applyAlignment="1"/>
    <xf numFmtId="43" fontId="21" fillId="0" borderId="0" xfId="3" applyFont="1" applyFill="1" applyAlignment="1"/>
    <xf numFmtId="0" fontId="67" fillId="0" borderId="0" xfId="0" applyFont="1" applyAlignment="1">
      <alignment vertical="center"/>
    </xf>
    <xf numFmtId="41" fontId="59" fillId="0" borderId="0" xfId="0" applyNumberFormat="1" applyFont="1" applyAlignment="1">
      <alignment vertical="center"/>
    </xf>
    <xf numFmtId="43" fontId="29" fillId="3" borderId="9" xfId="0" applyNumberFormat="1" applyFont="1" applyFill="1" applyBorder="1" applyAlignment="1">
      <alignment horizontal="center" vertical="center" wrapText="1"/>
    </xf>
    <xf numFmtId="0" fontId="18" fillId="3" borderId="10" xfId="4" applyFont="1" applyFill="1" applyBorder="1" applyAlignment="1">
      <alignment horizontal="center"/>
    </xf>
    <xf numFmtId="0" fontId="18" fillId="3" borderId="8" xfId="4" applyFont="1" applyFill="1" applyBorder="1" applyAlignment="1">
      <alignment horizontal="center"/>
    </xf>
    <xf numFmtId="0" fontId="18" fillId="3" borderId="11" xfId="4" applyFont="1" applyFill="1" applyBorder="1" applyAlignment="1">
      <alignment horizontal="center" vertical="center"/>
    </xf>
    <xf numFmtId="0" fontId="32" fillId="3" borderId="1" xfId="25" applyFont="1" applyFill="1" applyBorder="1" applyAlignment="1">
      <alignment horizontal="center" vertical="center" wrapText="1"/>
    </xf>
    <xf numFmtId="49" fontId="23" fillId="3" borderId="0" xfId="4" applyNumberFormat="1" applyFont="1" applyFill="1" applyAlignment="1">
      <alignment horizontal="center" vertical="center"/>
    </xf>
    <xf numFmtId="0" fontId="26" fillId="3" borderId="0" xfId="4" applyFont="1" applyFill="1" applyAlignment="1">
      <alignment vertical="center"/>
    </xf>
    <xf numFmtId="0" fontId="21" fillId="3" borderId="2" xfId="4" applyFont="1" applyFill="1" applyBorder="1"/>
    <xf numFmtId="49" fontId="21" fillId="3" borderId="2" xfId="4" applyNumberFormat="1" applyFont="1" applyFill="1" applyBorder="1"/>
    <xf numFmtId="0" fontId="26" fillId="3" borderId="0" xfId="4" applyFont="1" applyFill="1"/>
    <xf numFmtId="49" fontId="59" fillId="3" borderId="3" xfId="4" applyNumberFormat="1" applyFont="1" applyFill="1" applyBorder="1" applyAlignment="1">
      <alignment horizontal="center" vertical="center" wrapText="1"/>
    </xf>
    <xf numFmtId="49" fontId="59" fillId="3" borderId="5" xfId="4" applyNumberFormat="1" applyFont="1" applyFill="1" applyBorder="1" applyAlignment="1">
      <alignment horizontal="center" vertical="center" wrapText="1"/>
    </xf>
    <xf numFmtId="49" fontId="67" fillId="3" borderId="7" xfId="4" applyNumberFormat="1" applyFont="1" applyFill="1" applyBorder="1" applyAlignment="1">
      <alignment horizontal="center" vertical="center" wrapText="1"/>
    </xf>
    <xf numFmtId="49" fontId="67" fillId="3" borderId="6" xfId="4" applyNumberFormat="1" applyFont="1" applyFill="1" applyBorder="1" applyAlignment="1">
      <alignment horizontal="center" vertical="center" wrapText="1"/>
    </xf>
    <xf numFmtId="49" fontId="67" fillId="3" borderId="9" xfId="4" applyNumberFormat="1" applyFont="1" applyFill="1" applyBorder="1" applyAlignment="1">
      <alignment horizontal="center" vertical="center" wrapText="1"/>
    </xf>
    <xf numFmtId="177" fontId="59" fillId="3" borderId="5" xfId="4" applyNumberFormat="1" applyFont="1" applyFill="1" applyBorder="1" applyAlignment="1">
      <alignment horizontal="center" vertical="center"/>
    </xf>
    <xf numFmtId="178" fontId="59" fillId="3" borderId="8" xfId="6" applyNumberFormat="1" applyFont="1" applyFill="1" applyBorder="1" applyAlignment="1">
      <alignment vertical="center"/>
    </xf>
    <xf numFmtId="177" fontId="59" fillId="3" borderId="8" xfId="6" applyNumberFormat="1" applyFont="1" applyFill="1" applyBorder="1" applyAlignment="1">
      <alignment horizontal="right" vertical="center"/>
    </xf>
    <xf numFmtId="177" fontId="59" fillId="3" borderId="8" xfId="6" applyNumberFormat="1" applyFont="1" applyFill="1" applyBorder="1" applyAlignment="1">
      <alignment vertical="center"/>
    </xf>
    <xf numFmtId="181" fontId="59" fillId="3" borderId="8" xfId="3" applyNumberFormat="1" applyFont="1" applyFill="1" applyBorder="1" applyAlignment="1">
      <alignment vertical="center"/>
    </xf>
    <xf numFmtId="182" fontId="59" fillId="3" borderId="8" xfId="6" applyNumberFormat="1" applyFont="1" applyFill="1" applyBorder="1" applyAlignment="1">
      <alignment horizontal="right" vertical="center"/>
    </xf>
    <xf numFmtId="0" fontId="59" fillId="3" borderId="10" xfId="4" applyFont="1" applyFill="1" applyBorder="1" applyAlignment="1">
      <alignment horizontal="center" vertical="center"/>
    </xf>
    <xf numFmtId="178" fontId="59" fillId="3" borderId="0" xfId="6" applyNumberFormat="1" applyFont="1" applyFill="1" applyBorder="1" applyAlignment="1">
      <alignment vertical="center"/>
    </xf>
    <xf numFmtId="177" fontId="59" fillId="3" borderId="0" xfId="6" applyNumberFormat="1" applyFont="1" applyFill="1" applyBorder="1" applyAlignment="1">
      <alignment vertical="center"/>
    </xf>
    <xf numFmtId="177" fontId="59" fillId="3" borderId="0" xfId="9" applyNumberFormat="1" applyFont="1" applyFill="1" applyBorder="1" applyAlignment="1">
      <alignment vertical="center"/>
    </xf>
    <xf numFmtId="181" fontId="59" fillId="3" borderId="0" xfId="3" applyNumberFormat="1" applyFont="1" applyFill="1" applyBorder="1" applyAlignment="1">
      <alignment vertical="center"/>
    </xf>
    <xf numFmtId="182" fontId="59" fillId="3" borderId="0" xfId="6" applyNumberFormat="1" applyFont="1" applyFill="1" applyBorder="1" applyAlignment="1">
      <alignment horizontal="right" vertical="center"/>
    </xf>
    <xf numFmtId="0" fontId="59" fillId="3" borderId="4" xfId="4" applyFont="1" applyFill="1" applyBorder="1" applyAlignment="1">
      <alignment horizontal="center" vertical="center"/>
    </xf>
    <xf numFmtId="177" fontId="59" fillId="3" borderId="16" xfId="4" applyNumberFormat="1" applyFont="1" applyFill="1" applyBorder="1" applyAlignment="1">
      <alignment horizontal="center" vertical="center"/>
    </xf>
    <xf numFmtId="178" fontId="59" fillId="3" borderId="17" xfId="6" applyNumberFormat="1" applyFont="1" applyFill="1" applyBorder="1" applyAlignment="1">
      <alignment vertical="center"/>
    </xf>
    <xf numFmtId="177" fontId="59" fillId="3" borderId="17" xfId="6" applyNumberFormat="1" applyFont="1" applyFill="1" applyBorder="1" applyAlignment="1">
      <alignment vertical="center"/>
    </xf>
    <xf numFmtId="177" fontId="59" fillId="3" borderId="17" xfId="9" applyNumberFormat="1" applyFont="1" applyFill="1" applyBorder="1" applyAlignment="1">
      <alignment vertical="center"/>
    </xf>
    <xf numFmtId="181" fontId="59" fillId="3" borderId="17" xfId="3" applyNumberFormat="1" applyFont="1" applyFill="1" applyBorder="1" applyAlignment="1">
      <alignment vertical="center"/>
    </xf>
    <xf numFmtId="177" fontId="59" fillId="3" borderId="16" xfId="6" applyNumberFormat="1" applyFont="1" applyFill="1" applyBorder="1" applyAlignment="1">
      <alignment vertical="center"/>
    </xf>
    <xf numFmtId="0" fontId="59" fillId="3" borderId="18" xfId="4" applyFont="1" applyFill="1" applyBorder="1" applyAlignment="1">
      <alignment horizontal="center" vertical="center"/>
    </xf>
    <xf numFmtId="177" fontId="59" fillId="3" borderId="5" xfId="6" applyNumberFormat="1" applyFont="1" applyFill="1" applyBorder="1" applyAlignment="1">
      <alignment vertical="center"/>
    </xf>
    <xf numFmtId="0" fontId="59" fillId="3" borderId="0" xfId="4" applyFont="1" applyFill="1" applyAlignment="1">
      <alignment horizontal="center" vertical="center"/>
    </xf>
    <xf numFmtId="177" fontId="60" fillId="3" borderId="16" xfId="4" applyNumberFormat="1" applyFont="1" applyFill="1" applyBorder="1" applyAlignment="1">
      <alignment horizontal="center" vertical="center"/>
    </xf>
    <xf numFmtId="0" fontId="59" fillId="3" borderId="17" xfId="4" applyFont="1" applyFill="1" applyBorder="1" applyAlignment="1">
      <alignment horizontal="center" vertical="center"/>
    </xf>
    <xf numFmtId="177" fontId="59" fillId="3" borderId="6" xfId="4" applyNumberFormat="1" applyFont="1" applyFill="1" applyBorder="1" applyAlignment="1">
      <alignment horizontal="center" vertical="center"/>
    </xf>
    <xf numFmtId="178" fontId="59" fillId="3" borderId="2" xfId="6" applyNumberFormat="1" applyFont="1" applyFill="1" applyBorder="1" applyAlignment="1">
      <alignment vertical="center"/>
    </xf>
    <xf numFmtId="177" fontId="59" fillId="3" borderId="2" xfId="6" applyNumberFormat="1" applyFont="1" applyFill="1" applyBorder="1" applyAlignment="1">
      <alignment vertical="center"/>
    </xf>
    <xf numFmtId="177" fontId="59" fillId="3" borderId="2" xfId="9" applyNumberFormat="1" applyFont="1" applyFill="1" applyBorder="1" applyAlignment="1">
      <alignment vertical="center"/>
    </xf>
    <xf numFmtId="181" fontId="59" fillId="3" borderId="2" xfId="3" applyNumberFormat="1" applyFont="1" applyFill="1" applyBorder="1" applyAlignment="1">
      <alignment vertical="center"/>
    </xf>
    <xf numFmtId="177" fontId="59" fillId="3" borderId="6" xfId="6" applyNumberFormat="1" applyFont="1" applyFill="1" applyBorder="1" applyAlignment="1">
      <alignment vertical="center"/>
    </xf>
    <xf numFmtId="0" fontId="59" fillId="3" borderId="9" xfId="4" applyFont="1" applyFill="1" applyBorder="1" applyAlignment="1">
      <alignment horizontal="center" vertical="center"/>
    </xf>
    <xf numFmtId="49" fontId="32" fillId="3" borderId="0" xfId="4" applyNumberFormat="1" applyFont="1" applyFill="1" applyAlignment="1">
      <alignment vertical="center"/>
    </xf>
    <xf numFmtId="0" fontId="29" fillId="3" borderId="0" xfId="4" applyFont="1" applyFill="1" applyAlignment="1">
      <alignment vertical="center"/>
    </xf>
    <xf numFmtId="177" fontId="29" fillId="3" borderId="0" xfId="4" applyNumberFormat="1" applyFont="1" applyFill="1" applyAlignment="1">
      <alignment vertical="center"/>
    </xf>
    <xf numFmtId="0" fontId="21" fillId="3" borderId="0" xfId="4" applyFont="1" applyFill="1"/>
    <xf numFmtId="177" fontId="21" fillId="3" borderId="0" xfId="4" applyNumberFormat="1" applyFont="1" applyFill="1" applyAlignment="1">
      <alignment vertical="center"/>
    </xf>
    <xf numFmtId="49" fontId="21" fillId="3" borderId="0" xfId="4" applyNumberFormat="1" applyFont="1" applyFill="1" applyAlignment="1">
      <alignment vertical="center"/>
    </xf>
    <xf numFmtId="43" fontId="29" fillId="3" borderId="0" xfId="4" applyNumberFormat="1" applyFont="1" applyFill="1" applyAlignment="1">
      <alignment vertical="center"/>
    </xf>
    <xf numFmtId="0" fontId="21" fillId="3" borderId="0" xfId="4" applyFont="1" applyFill="1" applyAlignment="1">
      <alignment horizontal="left" vertical="center"/>
    </xf>
    <xf numFmtId="49" fontId="29" fillId="3" borderId="0" xfId="4" applyNumberFormat="1" applyFont="1" applyFill="1" applyAlignment="1">
      <alignment vertical="center"/>
    </xf>
    <xf numFmtId="43" fontId="26" fillId="3" borderId="0" xfId="4" applyNumberFormat="1" applyFont="1" applyFill="1" applyAlignment="1">
      <alignment vertical="center"/>
    </xf>
    <xf numFmtId="177" fontId="21" fillId="3" borderId="0" xfId="4" applyNumberFormat="1" applyFont="1" applyFill="1" applyAlignment="1">
      <alignment horizontal="center" vertical="center"/>
    </xf>
    <xf numFmtId="178" fontId="21" fillId="3" borderId="0" xfId="6" applyNumberFormat="1" applyFont="1" applyFill="1" applyBorder="1" applyAlignment="1">
      <alignment vertical="center"/>
    </xf>
    <xf numFmtId="177" fontId="44" fillId="3" borderId="0" xfId="9" applyNumberFormat="1" applyFont="1" applyFill="1" applyBorder="1" applyAlignment="1">
      <alignment vertical="center"/>
    </xf>
    <xf numFmtId="177" fontId="21" fillId="3" borderId="0" xfId="6" applyNumberFormat="1" applyFont="1" applyFill="1" applyBorder="1" applyAlignment="1">
      <alignment vertical="center"/>
    </xf>
    <xf numFmtId="49" fontId="21" fillId="3" borderId="0" xfId="4" applyNumberFormat="1" applyFont="1" applyFill="1" applyAlignment="1">
      <alignment horizontal="centerContinuous" vertical="center"/>
    </xf>
    <xf numFmtId="176" fontId="21" fillId="3" borderId="0" xfId="4" applyNumberFormat="1" applyFont="1" applyFill="1" applyAlignment="1">
      <alignment horizontal="right" vertical="center"/>
    </xf>
    <xf numFmtId="176" fontId="21" fillId="3" borderId="0" xfId="4" applyNumberFormat="1" applyFont="1" applyFill="1" applyAlignment="1">
      <alignment vertical="center"/>
    </xf>
    <xf numFmtId="49" fontId="21" fillId="3" borderId="0" xfId="4" applyNumberFormat="1" applyFont="1" applyFill="1" applyAlignment="1">
      <alignment horizontal="right" vertical="center"/>
    </xf>
    <xf numFmtId="43" fontId="21" fillId="3" borderId="0" xfId="4" applyNumberFormat="1" applyFont="1" applyFill="1"/>
    <xf numFmtId="43" fontId="21" fillId="3" borderId="0" xfId="4" applyNumberFormat="1" applyFont="1" applyFill="1" applyAlignment="1">
      <alignment horizontal="right"/>
    </xf>
    <xf numFmtId="43" fontId="21" fillId="3" borderId="2" xfId="4" applyNumberFormat="1" applyFont="1" applyFill="1" applyBorder="1"/>
    <xf numFmtId="43" fontId="21" fillId="3" borderId="2" xfId="4" applyNumberFormat="1" applyFont="1" applyFill="1" applyBorder="1" applyAlignment="1">
      <alignment horizontal="right"/>
    </xf>
    <xf numFmtId="0" fontId="21" fillId="3" borderId="0" xfId="4" applyFont="1" applyFill="1" applyAlignment="1">
      <alignment horizontal="right"/>
    </xf>
    <xf numFmtId="49" fontId="21" fillId="3" borderId="0" xfId="4" applyNumberFormat="1" applyFont="1" applyFill="1"/>
    <xf numFmtId="0" fontId="21" fillId="3" borderId="9" xfId="4" applyFont="1" applyFill="1" applyBorder="1" applyAlignment="1">
      <alignment horizontal="centerContinuous" vertical="center"/>
    </xf>
    <xf numFmtId="43" fontId="21" fillId="3" borderId="6" xfId="4" applyNumberFormat="1" applyFont="1" applyFill="1" applyBorder="1" applyAlignment="1">
      <alignment horizontal="centerContinuous" vertical="center"/>
    </xf>
    <xf numFmtId="43" fontId="18" fillId="3" borderId="5" xfId="4" applyNumberFormat="1" applyFont="1" applyFill="1" applyBorder="1" applyAlignment="1">
      <alignment horizontal="center" vertical="center"/>
    </xf>
    <xf numFmtId="43" fontId="18" fillId="3" borderId="1" xfId="4" applyNumberFormat="1" applyFont="1" applyFill="1" applyBorder="1" applyAlignment="1">
      <alignment horizontal="center" vertical="center"/>
    </xf>
    <xf numFmtId="43" fontId="18" fillId="3" borderId="10" xfId="4" applyNumberFormat="1" applyFont="1" applyFill="1" applyBorder="1" applyAlignment="1">
      <alignment horizontal="center" vertical="center"/>
    </xf>
    <xf numFmtId="43" fontId="21" fillId="3" borderId="5" xfId="4" applyNumberFormat="1" applyFont="1" applyFill="1" applyBorder="1" applyAlignment="1">
      <alignment vertical="center"/>
    </xf>
    <xf numFmtId="43" fontId="21" fillId="3" borderId="4" xfId="0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textRotation="255"/>
    </xf>
    <xf numFmtId="0" fontId="22" fillId="3" borderId="5" xfId="0" applyFont="1" applyFill="1" applyBorder="1" applyAlignment="1">
      <alignment horizontal="center" vertical="center" textRotation="180"/>
    </xf>
    <xf numFmtId="49" fontId="21" fillId="3" borderId="5" xfId="0" applyNumberFormat="1" applyFont="1" applyFill="1" applyBorder="1" applyAlignment="1">
      <alignment vertical="center"/>
    </xf>
    <xf numFmtId="176" fontId="21" fillId="3" borderId="0" xfId="0" applyNumberFormat="1" applyFont="1" applyFill="1" applyAlignment="1">
      <alignment horizontal="right" vertical="center"/>
    </xf>
    <xf numFmtId="176" fontId="21" fillId="3" borderId="5" xfId="0" applyNumberFormat="1" applyFont="1" applyFill="1" applyBorder="1" applyAlignment="1">
      <alignment horizontal="right" vertical="center"/>
    </xf>
    <xf numFmtId="0" fontId="22" fillId="3" borderId="5" xfId="0" applyFont="1" applyFill="1" applyBorder="1" applyAlignment="1">
      <alignment horizontal="center" vertical="center"/>
    </xf>
    <xf numFmtId="177" fontId="22" fillId="3" borderId="5" xfId="0" applyNumberFormat="1" applyFont="1" applyFill="1" applyBorder="1" applyAlignment="1">
      <alignment horizontal="right" vertical="center"/>
    </xf>
    <xf numFmtId="177" fontId="22" fillId="3" borderId="0" xfId="0" applyNumberFormat="1" applyFont="1" applyFill="1" applyAlignment="1">
      <alignment horizontal="right" vertical="center"/>
    </xf>
    <xf numFmtId="176" fontId="22" fillId="3" borderId="5" xfId="0" applyNumberFormat="1" applyFont="1" applyFill="1" applyBorder="1" applyAlignment="1">
      <alignment horizontal="right" vertical="center"/>
    </xf>
    <xf numFmtId="176" fontId="22" fillId="3" borderId="0" xfId="0" applyNumberFormat="1" applyFont="1" applyFill="1" applyAlignment="1">
      <alignment horizontal="right" vertical="center"/>
    </xf>
    <xf numFmtId="0" fontId="21" fillId="3" borderId="5" xfId="0" applyFont="1" applyFill="1" applyBorder="1" applyAlignment="1">
      <alignment horizontal="center" vertical="center" textRotation="180"/>
    </xf>
    <xf numFmtId="179" fontId="21" fillId="3" borderId="5" xfId="0" applyNumberFormat="1" applyFont="1" applyFill="1" applyBorder="1" applyAlignment="1">
      <alignment vertical="center"/>
    </xf>
    <xf numFmtId="176" fontId="21" fillId="3" borderId="5" xfId="9" applyNumberFormat="1" applyFont="1" applyFill="1" applyBorder="1" applyAlignment="1">
      <alignment horizontal="right" vertical="center"/>
    </xf>
    <xf numFmtId="176" fontId="21" fillId="3" borderId="0" xfId="9" applyNumberFormat="1" applyFont="1" applyFill="1" applyBorder="1" applyAlignment="1">
      <alignment horizontal="right" vertical="center"/>
    </xf>
    <xf numFmtId="49" fontId="21" fillId="3" borderId="5" xfId="0" applyNumberFormat="1" applyFont="1" applyFill="1" applyBorder="1" applyAlignment="1">
      <alignment horizontal="left" vertical="center" indent="1"/>
    </xf>
    <xf numFmtId="49" fontId="21" fillId="3" borderId="3" xfId="0" applyNumberFormat="1" applyFont="1" applyFill="1" applyBorder="1" applyAlignment="1">
      <alignment horizontal="left" vertical="center" indent="2"/>
    </xf>
    <xf numFmtId="41" fontId="21" fillId="3" borderId="5" xfId="0" applyNumberFormat="1" applyFont="1" applyFill="1" applyBorder="1" applyAlignment="1">
      <alignment horizontal="right" vertical="center"/>
    </xf>
    <xf numFmtId="49" fontId="29" fillId="3" borderId="3" xfId="0" applyNumberFormat="1" applyFont="1" applyFill="1" applyBorder="1" applyAlignment="1">
      <alignment horizontal="left" vertical="center" indent="2"/>
    </xf>
    <xf numFmtId="180" fontId="21" fillId="3" borderId="4" xfId="0" applyNumberFormat="1" applyFont="1" applyFill="1" applyBorder="1" applyAlignment="1">
      <alignment horizontal="right" vertical="center"/>
    </xf>
    <xf numFmtId="49" fontId="21" fillId="3" borderId="5" xfId="0" applyNumberFormat="1" applyFont="1" applyFill="1" applyBorder="1" applyAlignment="1">
      <alignment horizontal="left" vertical="center" indent="2"/>
    </xf>
    <xf numFmtId="49" fontId="29" fillId="3" borderId="5" xfId="0" applyNumberFormat="1" applyFont="1" applyFill="1" applyBorder="1" applyAlignment="1">
      <alignment horizontal="left" vertical="center" indent="2"/>
    </xf>
    <xf numFmtId="49" fontId="18" fillId="3" borderId="3" xfId="0" applyNumberFormat="1" applyFont="1" applyFill="1" applyBorder="1" applyAlignment="1">
      <alignment horizontal="left" vertical="center" indent="1"/>
    </xf>
    <xf numFmtId="49" fontId="21" fillId="3" borderId="3" xfId="0" applyNumberFormat="1" applyFont="1" applyFill="1" applyBorder="1" applyAlignment="1">
      <alignment horizontal="left" vertical="center" indent="1"/>
    </xf>
    <xf numFmtId="0" fontId="21" fillId="3" borderId="2" xfId="0" applyFont="1" applyFill="1" applyBorder="1" applyAlignment="1">
      <alignment horizontal="center" vertical="center" textRotation="255"/>
    </xf>
    <xf numFmtId="0" fontId="21" fillId="3" borderId="6" xfId="0" applyFont="1" applyFill="1" applyBorder="1" applyAlignment="1">
      <alignment horizontal="center" vertical="center" textRotation="180"/>
    </xf>
    <xf numFmtId="49" fontId="21" fillId="3" borderId="6" xfId="0" applyNumberFormat="1" applyFont="1" applyFill="1" applyBorder="1" applyAlignment="1">
      <alignment vertical="center"/>
    </xf>
    <xf numFmtId="179" fontId="21" fillId="3" borderId="6" xfId="0" applyNumberFormat="1" applyFont="1" applyFill="1" applyBorder="1" applyAlignment="1">
      <alignment horizontal="right" vertical="center"/>
    </xf>
    <xf numFmtId="176" fontId="21" fillId="3" borderId="2" xfId="0" applyNumberFormat="1" applyFont="1" applyFill="1" applyBorder="1" applyAlignment="1">
      <alignment horizontal="right" vertical="center"/>
    </xf>
    <xf numFmtId="176" fontId="21" fillId="3" borderId="6" xfId="0" applyNumberFormat="1" applyFont="1" applyFill="1" applyBorder="1" applyAlignment="1">
      <alignment horizontal="right" vertical="center"/>
    </xf>
    <xf numFmtId="176" fontId="21" fillId="3" borderId="4" xfId="0" applyNumberFormat="1" applyFont="1" applyFill="1" applyBorder="1" applyAlignment="1">
      <alignment horizontal="right" vertical="center"/>
    </xf>
    <xf numFmtId="0" fontId="21" fillId="3" borderId="8" xfId="0" applyFont="1" applyFill="1" applyBorder="1" applyAlignment="1">
      <alignment horizontal="center" vertical="center" textRotation="255"/>
    </xf>
    <xf numFmtId="43" fontId="21" fillId="3" borderId="0" xfId="0" applyNumberFormat="1" applyFont="1" applyFill="1" applyAlignment="1">
      <alignment horizontal="right" vertical="center"/>
    </xf>
    <xf numFmtId="43" fontId="21" fillId="3" borderId="5" xfId="0" applyNumberFormat="1" applyFont="1" applyFill="1" applyBorder="1" applyAlignment="1">
      <alignment horizontal="right" vertical="center"/>
    </xf>
    <xf numFmtId="49" fontId="18" fillId="3" borderId="5" xfId="0" applyNumberFormat="1" applyFont="1" applyFill="1" applyBorder="1" applyAlignment="1">
      <alignment vertical="center"/>
    </xf>
    <xf numFmtId="49" fontId="14" fillId="3" borderId="5" xfId="0" applyNumberFormat="1" applyFont="1" applyFill="1" applyBorder="1" applyAlignment="1">
      <alignment vertical="center"/>
    </xf>
    <xf numFmtId="49" fontId="29" fillId="3" borderId="5" xfId="0" applyNumberFormat="1" applyFont="1" applyFill="1" applyBorder="1" applyAlignment="1">
      <alignment vertical="center"/>
    </xf>
    <xf numFmtId="49" fontId="21" fillId="3" borderId="2" xfId="0" applyNumberFormat="1" applyFont="1" applyFill="1" applyBorder="1" applyAlignment="1">
      <alignment vertical="center"/>
    </xf>
    <xf numFmtId="0" fontId="21" fillId="3" borderId="6" xfId="0" applyFont="1" applyFill="1" applyBorder="1" applyAlignment="1">
      <alignment vertical="center"/>
    </xf>
    <xf numFmtId="49" fontId="21" fillId="3" borderId="9" xfId="0" applyNumberFormat="1" applyFont="1" applyFill="1" applyBorder="1" applyAlignment="1">
      <alignment vertical="center"/>
    </xf>
    <xf numFmtId="43" fontId="21" fillId="3" borderId="9" xfId="0" applyNumberFormat="1" applyFont="1" applyFill="1" applyBorder="1" applyAlignment="1">
      <alignment vertical="center"/>
    </xf>
    <xf numFmtId="43" fontId="21" fillId="3" borderId="2" xfId="0" applyNumberFormat="1" applyFont="1" applyFill="1" applyBorder="1" applyAlignment="1">
      <alignment vertical="center"/>
    </xf>
    <xf numFmtId="43" fontId="21" fillId="3" borderId="6" xfId="0" applyNumberFormat="1" applyFont="1" applyFill="1" applyBorder="1" applyAlignment="1">
      <alignment horizontal="right" vertical="center"/>
    </xf>
    <xf numFmtId="43" fontId="21" fillId="3" borderId="4" xfId="0" applyNumberFormat="1" applyFont="1" applyFill="1" applyBorder="1" applyAlignment="1">
      <alignment horizontal="right" vertical="center"/>
    </xf>
    <xf numFmtId="0" fontId="21" fillId="3" borderId="9" xfId="0" applyFont="1" applyFill="1" applyBorder="1" applyAlignment="1">
      <alignment vertical="center"/>
    </xf>
    <xf numFmtId="43" fontId="21" fillId="3" borderId="2" xfId="0" applyNumberFormat="1" applyFont="1" applyFill="1" applyBorder="1" applyAlignment="1">
      <alignment horizontal="right" vertical="center"/>
    </xf>
    <xf numFmtId="0" fontId="14" fillId="3" borderId="0" xfId="4" applyFont="1" applyFill="1" applyAlignment="1">
      <alignment vertical="center"/>
    </xf>
    <xf numFmtId="43" fontId="14" fillId="3" borderId="0" xfId="4" applyNumberFormat="1" applyFont="1" applyFill="1" applyAlignment="1">
      <alignment vertical="center"/>
    </xf>
    <xf numFmtId="43" fontId="14" fillId="3" borderId="0" xfId="4" applyNumberFormat="1" applyFont="1" applyFill="1" applyAlignment="1">
      <alignment horizontal="right" vertical="center"/>
    </xf>
    <xf numFmtId="0" fontId="24" fillId="3" borderId="0" xfId="4" applyFont="1" applyFill="1" applyAlignment="1">
      <alignment vertical="center"/>
    </xf>
    <xf numFmtId="0" fontId="14" fillId="3" borderId="0" xfId="4" applyFont="1" applyFill="1" applyAlignment="1">
      <alignment horizontal="right" vertical="center"/>
    </xf>
    <xf numFmtId="0" fontId="24" fillId="3" borderId="0" xfId="4" applyFont="1" applyFill="1" applyAlignment="1">
      <alignment horizontal="left" vertical="center"/>
    </xf>
    <xf numFmtId="0" fontId="26" fillId="3" borderId="0" xfId="0" applyFont="1" applyFill="1" applyAlignment="1">
      <alignment vertical="center"/>
    </xf>
    <xf numFmtId="43" fontId="26" fillId="3" borderId="0" xfId="0" applyNumberFormat="1" applyFont="1" applyFill="1" applyAlignment="1">
      <alignment vertical="center"/>
    </xf>
    <xf numFmtId="43" fontId="26" fillId="3" borderId="0" xfId="0" applyNumberFormat="1" applyFont="1" applyFill="1" applyAlignment="1">
      <alignment horizontal="right" vertical="center"/>
    </xf>
    <xf numFmtId="43" fontId="26" fillId="3" borderId="0" xfId="4" applyNumberFormat="1" applyFont="1" applyFill="1" applyAlignment="1">
      <alignment horizontal="right" vertical="center"/>
    </xf>
    <xf numFmtId="0" fontId="26" fillId="3" borderId="0" xfId="4" applyFont="1" applyFill="1" applyAlignment="1">
      <alignment horizontal="centerContinuous" vertical="center"/>
    </xf>
    <xf numFmtId="43" fontId="26" fillId="3" borderId="0" xfId="4" applyNumberFormat="1" applyFont="1" applyFill="1" applyAlignment="1">
      <alignment horizontal="centerContinuous" vertical="center"/>
    </xf>
    <xf numFmtId="43" fontId="21" fillId="3" borderId="2" xfId="0" applyNumberFormat="1" applyFont="1" applyFill="1" applyBorder="1"/>
    <xf numFmtId="49" fontId="21" fillId="3" borderId="0" xfId="4" applyNumberFormat="1" applyFont="1" applyFill="1" applyAlignment="1">
      <alignment horizontal="center" vertical="center"/>
    </xf>
    <xf numFmtId="43" fontId="18" fillId="3" borderId="0" xfId="4" applyNumberFormat="1" applyFont="1" applyFill="1" applyAlignment="1">
      <alignment horizontal="center" vertical="center"/>
    </xf>
    <xf numFmtId="0" fontId="18" fillId="3" borderId="0" xfId="4" applyFont="1" applyFill="1" applyAlignment="1">
      <alignment vertical="center"/>
    </xf>
    <xf numFmtId="0" fontId="18" fillId="3" borderId="5" xfId="4" applyFont="1" applyFill="1" applyBorder="1" applyAlignment="1">
      <alignment vertical="center"/>
    </xf>
    <xf numFmtId="49" fontId="18" fillId="3" borderId="3" xfId="4" applyNumberFormat="1" applyFont="1" applyFill="1" applyBorder="1" applyAlignment="1">
      <alignment horizontal="center" vertical="center"/>
    </xf>
    <xf numFmtId="49" fontId="18" fillId="3" borderId="5" xfId="4" applyNumberFormat="1" applyFont="1" applyFill="1" applyBorder="1" applyAlignment="1">
      <alignment horizontal="center" vertical="center"/>
    </xf>
    <xf numFmtId="49" fontId="18" fillId="3" borderId="1" xfId="4" applyNumberFormat="1" applyFont="1" applyFill="1" applyBorder="1" applyAlignment="1">
      <alignment horizontal="center" vertical="center"/>
    </xf>
    <xf numFmtId="43" fontId="18" fillId="3" borderId="11" xfId="4" applyNumberFormat="1" applyFont="1" applyFill="1" applyBorder="1" applyAlignment="1">
      <alignment horizontal="center" vertical="center"/>
    </xf>
    <xf numFmtId="43" fontId="18" fillId="3" borderId="8" xfId="4" applyNumberFormat="1" applyFont="1" applyFill="1" applyBorder="1" applyAlignment="1">
      <alignment horizontal="center" vertical="center"/>
    </xf>
    <xf numFmtId="43" fontId="18" fillId="3" borderId="5" xfId="4" applyNumberFormat="1" applyFont="1" applyFill="1" applyBorder="1" applyAlignment="1">
      <alignment horizontal="right" vertical="center"/>
    </xf>
    <xf numFmtId="43" fontId="18" fillId="3" borderId="0" xfId="4" applyNumberFormat="1" applyFont="1" applyFill="1" applyAlignment="1">
      <alignment horizontal="right" vertical="center"/>
    </xf>
    <xf numFmtId="49" fontId="18" fillId="3" borderId="11" xfId="4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43" fontId="18" fillId="3" borderId="5" xfId="0" applyNumberFormat="1" applyFont="1" applyFill="1" applyBorder="1" applyAlignment="1">
      <alignment horizontal="center" vertical="center"/>
    </xf>
    <xf numFmtId="49" fontId="18" fillId="3" borderId="11" xfId="0" applyNumberFormat="1" applyFont="1" applyFill="1" applyBorder="1" applyAlignment="1">
      <alignment horizontal="center" vertical="center"/>
    </xf>
    <xf numFmtId="43" fontId="29" fillId="3" borderId="4" xfId="0" applyNumberFormat="1" applyFont="1" applyFill="1" applyBorder="1" applyAlignment="1">
      <alignment horizontal="right" vertical="center" wrapText="1"/>
    </xf>
    <xf numFmtId="43" fontId="21" fillId="3" borderId="0" xfId="0" applyNumberFormat="1" applyFont="1" applyFill="1" applyAlignment="1">
      <alignment horizontal="center" vertical="center" wrapText="1"/>
    </xf>
    <xf numFmtId="49" fontId="21" fillId="3" borderId="3" xfId="0" applyNumberFormat="1" applyFont="1" applyFill="1" applyBorder="1" applyAlignment="1">
      <alignment horizontal="center" vertical="center"/>
    </xf>
    <xf numFmtId="43" fontId="21" fillId="3" borderId="5" xfId="0" applyNumberFormat="1" applyFont="1" applyFill="1" applyBorder="1" applyAlignment="1">
      <alignment vertical="center"/>
    </xf>
    <xf numFmtId="49" fontId="21" fillId="3" borderId="5" xfId="0" applyNumberFormat="1" applyFont="1" applyFill="1" applyBorder="1" applyAlignment="1">
      <alignment horizontal="center" vertical="center"/>
    </xf>
    <xf numFmtId="49" fontId="21" fillId="3" borderId="7" xfId="0" applyNumberFormat="1" applyFont="1" applyFill="1" applyBorder="1" applyAlignment="1">
      <alignment horizontal="center" vertical="center"/>
    </xf>
    <xf numFmtId="49" fontId="21" fillId="3" borderId="6" xfId="0" applyNumberFormat="1" applyFont="1" applyFill="1" applyBorder="1" applyAlignment="1">
      <alignment horizontal="center" vertical="center"/>
    </xf>
    <xf numFmtId="176" fontId="21" fillId="3" borderId="11" xfId="0" applyNumberFormat="1" applyFont="1" applyFill="1" applyBorder="1" applyAlignment="1">
      <alignment horizontal="right" vertical="center"/>
    </xf>
    <xf numFmtId="0" fontId="33" fillId="3" borderId="5" xfId="0" applyFont="1" applyFill="1" applyBorder="1" applyAlignment="1">
      <alignment horizontal="center" vertical="center"/>
    </xf>
    <xf numFmtId="176" fontId="21" fillId="3" borderId="0" xfId="0" applyNumberFormat="1" applyFont="1" applyFill="1" applyAlignment="1">
      <alignment vertical="center"/>
    </xf>
    <xf numFmtId="49" fontId="29" fillId="3" borderId="5" xfId="0" applyNumberFormat="1" applyFont="1" applyFill="1" applyBorder="1" applyAlignment="1">
      <alignment horizontal="left" vertical="center" indent="1"/>
    </xf>
    <xf numFmtId="49" fontId="18" fillId="3" borderId="5" xfId="0" applyNumberFormat="1" applyFont="1" applyFill="1" applyBorder="1" applyAlignment="1">
      <alignment horizontal="left" vertical="center" indent="1"/>
    </xf>
    <xf numFmtId="49" fontId="29" fillId="3" borderId="5" xfId="0" applyNumberFormat="1" applyFont="1" applyFill="1" applyBorder="1" applyAlignment="1">
      <alignment horizontal="left" vertical="center" wrapText="1" indent="1"/>
    </xf>
    <xf numFmtId="0" fontId="22" fillId="3" borderId="2" xfId="0" applyFont="1" applyFill="1" applyBorder="1" applyAlignment="1">
      <alignment horizontal="center" vertical="center" textRotation="255"/>
    </xf>
    <xf numFmtId="0" fontId="22" fillId="3" borderId="6" xfId="0" applyFont="1" applyFill="1" applyBorder="1" applyAlignment="1">
      <alignment horizontal="center" vertical="center" textRotation="180"/>
    </xf>
    <xf numFmtId="49" fontId="29" fillId="3" borderId="6" xfId="0" applyNumberFormat="1" applyFont="1" applyFill="1" applyBorder="1" applyAlignment="1">
      <alignment vertical="center"/>
    </xf>
    <xf numFmtId="0" fontId="22" fillId="3" borderId="8" xfId="0" applyFont="1" applyFill="1" applyBorder="1" applyAlignment="1">
      <alignment horizontal="center" vertical="center" textRotation="255"/>
    </xf>
    <xf numFmtId="0" fontId="22" fillId="3" borderId="11" xfId="0" applyFont="1" applyFill="1" applyBorder="1" applyAlignment="1">
      <alignment horizontal="center" vertical="center" textRotation="180"/>
    </xf>
    <xf numFmtId="0" fontId="21" fillId="3" borderId="6" xfId="0" applyFont="1" applyFill="1" applyBorder="1" applyAlignment="1">
      <alignment horizontal="right" vertical="center"/>
    </xf>
    <xf numFmtId="0" fontId="21" fillId="3" borderId="0" xfId="0" applyFont="1" applyFill="1" applyAlignment="1">
      <alignment horizontal="right" vertical="center"/>
    </xf>
    <xf numFmtId="0" fontId="21" fillId="3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43" fontId="14" fillId="3" borderId="0" xfId="0" applyNumberFormat="1" applyFont="1" applyFill="1" applyAlignment="1">
      <alignment vertical="center"/>
    </xf>
    <xf numFmtId="43" fontId="14" fillId="3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4" fillId="3" borderId="0" xfId="4" applyFont="1" applyFill="1" applyAlignment="1">
      <alignment horizontal="left" vertical="center"/>
    </xf>
    <xf numFmtId="49" fontId="23" fillId="3" borderId="0" xfId="4" applyNumberFormat="1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43" fontId="26" fillId="3" borderId="0" xfId="4" applyNumberFormat="1" applyFont="1" applyFill="1" applyAlignment="1">
      <alignment horizontal="right"/>
    </xf>
    <xf numFmtId="41" fontId="21" fillId="3" borderId="8" xfId="0" applyNumberFormat="1" applyFont="1" applyFill="1" applyBorder="1" applyAlignment="1">
      <alignment horizontal="right" vertical="center"/>
    </xf>
    <xf numFmtId="176" fontId="22" fillId="3" borderId="4" xfId="0" applyNumberFormat="1" applyFont="1" applyFill="1" applyBorder="1" applyAlignment="1">
      <alignment horizontal="right" vertical="center"/>
    </xf>
    <xf numFmtId="43" fontId="21" fillId="3" borderId="5" xfId="3" applyFont="1" applyFill="1" applyBorder="1" applyAlignment="1">
      <alignment horizontal="right" vertical="center"/>
    </xf>
    <xf numFmtId="49" fontId="21" fillId="3" borderId="5" xfId="0" applyNumberFormat="1" applyFont="1" applyFill="1" applyBorder="1" applyAlignment="1">
      <alignment horizontal="left" vertical="center" wrapText="1" indent="1"/>
    </xf>
    <xf numFmtId="0" fontId="21" fillId="3" borderId="4" xfId="0" applyFont="1" applyFill="1" applyBorder="1" applyAlignment="1">
      <alignment horizontal="right" vertical="center"/>
    </xf>
    <xf numFmtId="0" fontId="26" fillId="3" borderId="9" xfId="0" applyFont="1" applyFill="1" applyBorder="1" applyAlignment="1">
      <alignment vertical="center"/>
    </xf>
    <xf numFmtId="0" fontId="26" fillId="3" borderId="2" xfId="0" applyFont="1" applyFill="1" applyBorder="1" applyAlignment="1">
      <alignment vertical="center"/>
    </xf>
    <xf numFmtId="43" fontId="21" fillId="3" borderId="6" xfId="3" applyFont="1" applyFill="1" applyBorder="1" applyAlignment="1">
      <alignment horizontal="right" vertical="center"/>
    </xf>
    <xf numFmtId="43" fontId="14" fillId="3" borderId="8" xfId="3" applyFont="1" applyFill="1" applyBorder="1" applyAlignment="1">
      <alignment horizontal="right" vertical="center"/>
    </xf>
    <xf numFmtId="43" fontId="14" fillId="3" borderId="8" xfId="0" applyNumberFormat="1" applyFont="1" applyFill="1" applyBorder="1" applyAlignment="1">
      <alignment vertical="center"/>
    </xf>
    <xf numFmtId="49" fontId="14" fillId="3" borderId="0" xfId="0" applyNumberFormat="1" applyFont="1" applyFill="1" applyAlignment="1">
      <alignment vertical="center"/>
    </xf>
    <xf numFmtId="49" fontId="14" fillId="3" borderId="0" xfId="0" applyNumberFormat="1" applyFont="1" applyFill="1" applyAlignment="1">
      <alignment horizontal="right" vertical="center"/>
    </xf>
    <xf numFmtId="0" fontId="11" fillId="3" borderId="0" xfId="4" applyFont="1" applyFill="1"/>
    <xf numFmtId="0" fontId="18" fillId="3" borderId="0" xfId="4" applyFont="1" applyFill="1"/>
    <xf numFmtId="43" fontId="14" fillId="3" borderId="2" xfId="4" applyNumberFormat="1" applyFont="1" applyFill="1" applyBorder="1" applyAlignment="1">
      <alignment horizontal="right" vertical="top"/>
    </xf>
    <xf numFmtId="0" fontId="18" fillId="3" borderId="0" xfId="4" applyFont="1" applyFill="1" applyAlignment="1">
      <alignment horizontal="right"/>
    </xf>
    <xf numFmtId="0" fontId="18" fillId="3" borderId="5" xfId="4" applyFont="1" applyFill="1" applyBorder="1" applyAlignment="1">
      <alignment horizontal="right"/>
    </xf>
    <xf numFmtId="0" fontId="18" fillId="3" borderId="13" xfId="4" applyFont="1" applyFill="1" applyBorder="1" applyAlignment="1">
      <alignment horizontal="center"/>
    </xf>
    <xf numFmtId="0" fontId="21" fillId="3" borderId="0" xfId="4" applyFont="1" applyFill="1" applyAlignment="1">
      <alignment horizontal="left"/>
    </xf>
    <xf numFmtId="0" fontId="21" fillId="3" borderId="5" xfId="4" applyFont="1" applyFill="1" applyBorder="1" applyAlignment="1">
      <alignment horizontal="left"/>
    </xf>
    <xf numFmtId="0" fontId="21" fillId="3" borderId="3" xfId="4" applyFont="1" applyFill="1" applyBorder="1" applyAlignment="1">
      <alignment horizontal="center"/>
    </xf>
    <xf numFmtId="0" fontId="18" fillId="3" borderId="1" xfId="4" applyFont="1" applyFill="1" applyBorder="1" applyAlignment="1">
      <alignment horizontal="center" vertical="center"/>
    </xf>
    <xf numFmtId="0" fontId="18" fillId="3" borderId="8" xfId="4" applyFont="1" applyFill="1" applyBorder="1" applyAlignment="1">
      <alignment horizontal="center" vertical="center" wrapText="1"/>
    </xf>
    <xf numFmtId="0" fontId="18" fillId="3" borderId="1" xfId="4" applyFont="1" applyFill="1" applyBorder="1" applyAlignment="1">
      <alignment horizontal="center" vertical="center" wrapText="1"/>
    </xf>
    <xf numFmtId="0" fontId="18" fillId="3" borderId="10" xfId="4" applyFont="1" applyFill="1" applyBorder="1" applyAlignment="1">
      <alignment horizontal="center" vertical="center" wrapText="1"/>
    </xf>
    <xf numFmtId="0" fontId="18" fillId="3" borderId="3" xfId="4" applyFont="1" applyFill="1" applyBorder="1" applyAlignment="1">
      <alignment horizontal="center"/>
    </xf>
    <xf numFmtId="0" fontId="21" fillId="3" borderId="3" xfId="4" applyFont="1" applyFill="1" applyBorder="1" applyAlignment="1">
      <alignment horizontal="center" vertical="center"/>
    </xf>
    <xf numFmtId="0" fontId="18" fillId="3" borderId="7" xfId="4" applyFont="1" applyFill="1" applyBorder="1" applyAlignment="1">
      <alignment horizontal="center"/>
    </xf>
    <xf numFmtId="0" fontId="18" fillId="3" borderId="7" xfId="4" applyFont="1" applyFill="1" applyBorder="1" applyAlignment="1">
      <alignment horizontal="center" vertical="center"/>
    </xf>
    <xf numFmtId="41" fontId="22" fillId="3" borderId="4" xfId="4" applyNumberFormat="1" applyFont="1" applyFill="1" applyBorder="1" applyAlignment="1">
      <alignment horizontal="right" vertical="center"/>
    </xf>
    <xf numFmtId="176" fontId="22" fillId="3" borderId="0" xfId="4" applyNumberFormat="1" applyFont="1" applyFill="1" applyAlignment="1">
      <alignment horizontal="right" vertical="center"/>
    </xf>
    <xf numFmtId="41" fontId="22" fillId="3" borderId="0" xfId="4" applyNumberFormat="1" applyFont="1" applyFill="1" applyAlignment="1">
      <alignment horizontal="right" vertical="center"/>
    </xf>
    <xf numFmtId="179" fontId="21" fillId="3" borderId="4" xfId="4" applyNumberFormat="1" applyFont="1" applyFill="1" applyBorder="1" applyAlignment="1">
      <alignment horizontal="right" vertical="center"/>
    </xf>
    <xf numFmtId="179" fontId="21" fillId="3" borderId="0" xfId="4" applyNumberFormat="1" applyFont="1" applyFill="1" applyAlignment="1">
      <alignment horizontal="right" vertical="center"/>
    </xf>
    <xf numFmtId="0" fontId="18" fillId="3" borderId="0" xfId="4" applyFont="1" applyFill="1" applyAlignment="1">
      <alignment horizontal="distributed" vertical="center"/>
    </xf>
    <xf numFmtId="0" fontId="18" fillId="3" borderId="5" xfId="4" applyFont="1" applyFill="1" applyBorder="1" applyAlignment="1">
      <alignment horizontal="distributed" vertical="center"/>
    </xf>
    <xf numFmtId="41" fontId="21" fillId="3" borderId="4" xfId="4" applyNumberFormat="1" applyFont="1" applyFill="1" applyBorder="1" applyAlignment="1">
      <alignment horizontal="right" vertical="center"/>
    </xf>
    <xf numFmtId="41" fontId="21" fillId="3" borderId="0" xfId="4" applyNumberFormat="1" applyFont="1" applyFill="1" applyAlignment="1">
      <alignment horizontal="right" vertical="center"/>
    </xf>
    <xf numFmtId="0" fontId="22" fillId="3" borderId="0" xfId="4" applyFont="1" applyFill="1" applyAlignment="1">
      <alignment vertical="center"/>
    </xf>
    <xf numFmtId="41" fontId="22" fillId="3" borderId="0" xfId="22" applyNumberFormat="1" applyFont="1" applyFill="1" applyAlignment="1">
      <alignment horizontal="right" vertical="center"/>
    </xf>
    <xf numFmtId="0" fontId="22" fillId="3" borderId="5" xfId="4" applyFont="1" applyFill="1" applyBorder="1" applyAlignment="1">
      <alignment vertical="center"/>
    </xf>
    <xf numFmtId="43" fontId="22" fillId="3" borderId="0" xfId="4" applyNumberFormat="1" applyFont="1" applyFill="1" applyAlignment="1">
      <alignment horizontal="right" vertical="center"/>
    </xf>
    <xf numFmtId="0" fontId="13" fillId="3" borderId="0" xfId="4" applyFont="1" applyFill="1" applyAlignment="1">
      <alignment vertical="center"/>
    </xf>
    <xf numFmtId="0" fontId="12" fillId="3" borderId="0" xfId="4" applyFont="1" applyFill="1" applyAlignment="1">
      <alignment vertical="center"/>
    </xf>
    <xf numFmtId="0" fontId="13" fillId="3" borderId="5" xfId="4" applyFont="1" applyFill="1" applyBorder="1" applyAlignment="1">
      <alignment vertical="center"/>
    </xf>
    <xf numFmtId="0" fontId="11" fillId="3" borderId="0" xfId="4" applyFont="1" applyFill="1" applyAlignment="1">
      <alignment vertical="center"/>
    </xf>
    <xf numFmtId="0" fontId="11" fillId="3" borderId="5" xfId="4" applyFont="1" applyFill="1" applyBorder="1" applyAlignment="1">
      <alignment vertical="center"/>
    </xf>
    <xf numFmtId="43" fontId="21" fillId="3" borderId="0" xfId="4" applyNumberFormat="1" applyFont="1" applyFill="1" applyAlignment="1">
      <alignment horizontal="right" vertical="center"/>
    </xf>
    <xf numFmtId="41" fontId="21" fillId="3" borderId="0" xfId="22" applyNumberFormat="1" applyFont="1" applyFill="1" applyAlignment="1">
      <alignment horizontal="right" vertical="center"/>
    </xf>
    <xf numFmtId="0" fontId="14" fillId="3" borderId="5" xfId="4" applyFont="1" applyFill="1" applyBorder="1" applyAlignment="1">
      <alignment vertical="center"/>
    </xf>
    <xf numFmtId="178" fontId="21" fillId="3" borderId="0" xfId="22" applyNumberFormat="1" applyFont="1" applyFill="1" applyAlignment="1">
      <alignment horizontal="right" vertical="center"/>
    </xf>
    <xf numFmtId="181" fontId="21" fillId="3" borderId="0" xfId="4" applyNumberFormat="1" applyFont="1" applyFill="1" applyAlignment="1">
      <alignment horizontal="right" vertical="center"/>
    </xf>
    <xf numFmtId="181" fontId="21" fillId="3" borderId="0" xfId="22" applyNumberFormat="1" applyFont="1" applyFill="1" applyAlignment="1">
      <alignment horizontal="right" vertical="center"/>
    </xf>
    <xf numFmtId="0" fontId="12" fillId="3" borderId="5" xfId="4" applyFont="1" applyFill="1" applyBorder="1" applyAlignment="1">
      <alignment vertical="center"/>
    </xf>
    <xf numFmtId="181" fontId="21" fillId="3" borderId="0" xfId="3" applyNumberFormat="1" applyFont="1" applyFill="1" applyAlignment="1">
      <alignment horizontal="right" vertical="center"/>
    </xf>
    <xf numFmtId="0" fontId="20" fillId="3" borderId="0" xfId="4" applyFont="1" applyFill="1" applyAlignment="1">
      <alignment vertical="center"/>
    </xf>
    <xf numFmtId="0" fontId="11" fillId="3" borderId="2" xfId="4" applyFont="1" applyFill="1" applyBorder="1" applyAlignment="1">
      <alignment vertical="center"/>
    </xf>
    <xf numFmtId="0" fontId="11" fillId="3" borderId="6" xfId="4" applyFont="1" applyFill="1" applyBorder="1" applyAlignment="1">
      <alignment vertical="center"/>
    </xf>
    <xf numFmtId="41" fontId="14" fillId="3" borderId="9" xfId="4" applyNumberFormat="1" applyFont="1" applyFill="1" applyBorder="1" applyAlignment="1">
      <alignment horizontal="right" vertical="center"/>
    </xf>
    <xf numFmtId="43" fontId="14" fillId="3" borderId="2" xfId="4" applyNumberFormat="1" applyFont="1" applyFill="1" applyBorder="1" applyAlignment="1">
      <alignment horizontal="right" vertical="center"/>
    </xf>
    <xf numFmtId="41" fontId="22" fillId="3" borderId="2" xfId="4" applyNumberFormat="1" applyFont="1" applyFill="1" applyBorder="1" applyAlignment="1">
      <alignment horizontal="right" vertical="center"/>
    </xf>
    <xf numFmtId="41" fontId="14" fillId="3" borderId="2" xfId="4" applyNumberFormat="1" applyFont="1" applyFill="1" applyBorder="1" applyAlignment="1">
      <alignment horizontal="right" vertical="center"/>
    </xf>
    <xf numFmtId="0" fontId="32" fillId="3" borderId="0" xfId="4" applyFont="1" applyFill="1" applyAlignment="1">
      <alignment vertical="center"/>
    </xf>
    <xf numFmtId="0" fontId="32" fillId="3" borderId="0" xfId="4" applyFont="1" applyFill="1"/>
    <xf numFmtId="0" fontId="29" fillId="3" borderId="0" xfId="4" applyFont="1" applyFill="1"/>
    <xf numFmtId="0" fontId="24" fillId="3" borderId="0" xfId="4" applyFont="1" applyFill="1"/>
    <xf numFmtId="43" fontId="32" fillId="3" borderId="0" xfId="4" applyNumberFormat="1" applyFont="1" applyFill="1" applyAlignment="1">
      <alignment horizontal="right" vertical="center"/>
    </xf>
    <xf numFmtId="41" fontId="32" fillId="3" borderId="0" xfId="4" applyNumberFormat="1" applyFont="1" applyFill="1" applyAlignment="1">
      <alignment horizontal="right" vertical="center"/>
    </xf>
    <xf numFmtId="41" fontId="18" fillId="3" borderId="0" xfId="4" applyNumberFormat="1" applyFont="1" applyFill="1" applyAlignment="1">
      <alignment horizontal="right" vertical="center"/>
    </xf>
    <xf numFmtId="178" fontId="21" fillId="3" borderId="0" xfId="4" applyNumberFormat="1" applyFont="1" applyFill="1" applyAlignment="1">
      <alignment horizontal="right" vertical="center"/>
    </xf>
    <xf numFmtId="176" fontId="14" fillId="3" borderId="2" xfId="4" applyNumberFormat="1" applyFont="1" applyFill="1" applyBorder="1" applyAlignment="1">
      <alignment horizontal="right" vertical="center"/>
    </xf>
    <xf numFmtId="178" fontId="62" fillId="3" borderId="0" xfId="4" applyNumberFormat="1" applyFont="1" applyFill="1" applyAlignment="1">
      <alignment horizontal="center" vertical="center"/>
    </xf>
    <xf numFmtId="178" fontId="14" fillId="3" borderId="0" xfId="4" applyNumberFormat="1" applyFont="1" applyFill="1" applyAlignment="1">
      <alignment horizontal="left" vertical="center"/>
    </xf>
    <xf numFmtId="0" fontId="29" fillId="3" borderId="4" xfId="25" applyFont="1" applyFill="1" applyBorder="1" applyAlignment="1">
      <alignment horizontal="center" vertical="center"/>
    </xf>
    <xf numFmtId="178" fontId="23" fillId="3" borderId="0" xfId="4" applyNumberFormat="1" applyFont="1" applyFill="1" applyAlignment="1">
      <alignment horizontal="center" vertical="center"/>
    </xf>
    <xf numFmtId="43" fontId="24" fillId="3" borderId="0" xfId="4" applyNumberFormat="1" applyFont="1" applyFill="1" applyAlignment="1">
      <alignment horizontal="right" vertical="center" shrinkToFit="1"/>
    </xf>
    <xf numFmtId="0" fontId="21" fillId="3" borderId="0" xfId="4" applyFont="1" applyFill="1" applyAlignment="1">
      <alignment shrinkToFit="1"/>
    </xf>
    <xf numFmtId="43" fontId="24" fillId="3" borderId="2" xfId="4" applyNumberFormat="1" applyFont="1" applyFill="1" applyBorder="1" applyAlignment="1">
      <alignment vertical="center" shrinkToFit="1"/>
    </xf>
    <xf numFmtId="178" fontId="21" fillId="3" borderId="0" xfId="4" applyNumberFormat="1" applyFont="1" applyFill="1" applyAlignment="1">
      <alignment horizontal="left" vertical="center"/>
    </xf>
    <xf numFmtId="43" fontId="24" fillId="3" borderId="0" xfId="4" applyNumberFormat="1" applyFont="1" applyFill="1" applyAlignment="1">
      <alignment horizontal="right" vertical="center"/>
    </xf>
    <xf numFmtId="0" fontId="26" fillId="3" borderId="9" xfId="25" applyFont="1" applyFill="1" applyBorder="1" applyAlignment="1">
      <alignment horizontal="center" vertical="center" wrapText="1"/>
    </xf>
    <xf numFmtId="178" fontId="11" fillId="3" borderId="0" xfId="4" applyNumberFormat="1" applyFont="1" applyFill="1" applyAlignment="1">
      <alignment horizontal="left" vertical="center"/>
    </xf>
    <xf numFmtId="178" fontId="62" fillId="3" borderId="0" xfId="4" applyNumberFormat="1" applyFont="1" applyFill="1" applyAlignment="1">
      <alignment horizontal="center" vertical="center" wrapText="1"/>
    </xf>
    <xf numFmtId="184" fontId="22" fillId="3" borderId="0" xfId="3" applyNumberFormat="1" applyFont="1" applyFill="1" applyAlignment="1">
      <alignment vertical="center"/>
    </xf>
    <xf numFmtId="41" fontId="22" fillId="3" borderId="0" xfId="0" applyNumberFormat="1" applyFont="1" applyFill="1" applyAlignment="1">
      <alignment vertical="center"/>
    </xf>
    <xf numFmtId="41" fontId="18" fillId="3" borderId="0" xfId="4" applyNumberFormat="1" applyFont="1" applyFill="1"/>
    <xf numFmtId="3" fontId="18" fillId="3" borderId="0" xfId="4" applyNumberFormat="1" applyFont="1" applyFill="1"/>
    <xf numFmtId="0" fontId="20" fillId="3" borderId="0" xfId="4" applyFont="1" applyFill="1"/>
    <xf numFmtId="43" fontId="20" fillId="3" borderId="0" xfId="3" applyFont="1" applyFill="1" applyAlignment="1"/>
    <xf numFmtId="182" fontId="18" fillId="3" borderId="0" xfId="3" applyNumberFormat="1" applyFont="1" applyFill="1" applyAlignment="1"/>
    <xf numFmtId="182" fontId="20" fillId="3" borderId="0" xfId="3" applyNumberFormat="1" applyFont="1" applyFill="1" applyAlignment="1"/>
    <xf numFmtId="41" fontId="20" fillId="3" borderId="0" xfId="4" applyNumberFormat="1" applyFont="1" applyFill="1"/>
    <xf numFmtId="0" fontId="45" fillId="0" borderId="0" xfId="0" applyFont="1" applyAlignment="1">
      <alignment horizontal="center" vertical="center"/>
    </xf>
    <xf numFmtId="178" fontId="21" fillId="3" borderId="0" xfId="6" applyNumberFormat="1" applyFont="1" applyFill="1" applyBorder="1" applyAlignment="1">
      <alignment horizontal="left" vertical="center"/>
    </xf>
    <xf numFmtId="49" fontId="59" fillId="3" borderId="14" xfId="4" applyNumberFormat="1" applyFont="1" applyFill="1" applyBorder="1" applyAlignment="1">
      <alignment horizontal="center" vertical="center" wrapText="1"/>
    </xf>
    <xf numFmtId="49" fontId="59" fillId="3" borderId="12" xfId="4" applyNumberFormat="1" applyFont="1" applyFill="1" applyBorder="1" applyAlignment="1">
      <alignment horizontal="center" vertical="center" wrapText="1"/>
    </xf>
    <xf numFmtId="49" fontId="59" fillId="3" borderId="13" xfId="4" applyNumberFormat="1" applyFont="1" applyFill="1" applyBorder="1" applyAlignment="1">
      <alignment horizontal="center" vertical="center" wrapText="1"/>
    </xf>
    <xf numFmtId="49" fontId="59" fillId="3" borderId="3" xfId="4" applyNumberFormat="1" applyFont="1" applyFill="1" applyBorder="1" applyAlignment="1">
      <alignment horizontal="center" vertical="center" wrapText="1"/>
    </xf>
    <xf numFmtId="49" fontId="60" fillId="3" borderId="12" xfId="4" applyNumberFormat="1" applyFont="1" applyFill="1" applyBorder="1" applyAlignment="1">
      <alignment horizontal="center" vertical="center" wrapText="1"/>
    </xf>
    <xf numFmtId="49" fontId="59" fillId="3" borderId="1" xfId="4" applyNumberFormat="1" applyFont="1" applyFill="1" applyBorder="1" applyAlignment="1">
      <alignment horizontal="center" vertical="center" wrapText="1"/>
    </xf>
    <xf numFmtId="49" fontId="81" fillId="3" borderId="0" xfId="4" applyNumberFormat="1" applyFont="1" applyFill="1" applyAlignment="1">
      <alignment horizontal="center" vertical="center"/>
    </xf>
    <xf numFmtId="49" fontId="81" fillId="3" borderId="2" xfId="4" applyNumberFormat="1" applyFont="1" applyFill="1" applyBorder="1" applyAlignment="1">
      <alignment horizontal="center" vertical="center"/>
    </xf>
    <xf numFmtId="49" fontId="83" fillId="3" borderId="0" xfId="4" applyNumberFormat="1" applyFont="1" applyFill="1" applyAlignment="1">
      <alignment horizontal="center" vertical="center"/>
    </xf>
    <xf numFmtId="49" fontId="83" fillId="3" borderId="2" xfId="4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vertical="top" wrapText="1"/>
    </xf>
    <xf numFmtId="0" fontId="21" fillId="3" borderId="0" xfId="0" applyFont="1" applyFill="1" applyAlignment="1">
      <alignment vertical="top" wrapText="1"/>
    </xf>
    <xf numFmtId="0" fontId="60" fillId="3" borderId="11" xfId="4" applyFont="1" applyFill="1" applyBorder="1" applyAlignment="1">
      <alignment horizontal="center" vertical="center"/>
    </xf>
    <xf numFmtId="0" fontId="60" fillId="3" borderId="5" xfId="4" applyFont="1" applyFill="1" applyBorder="1" applyAlignment="1">
      <alignment horizontal="center" vertical="center"/>
    </xf>
    <xf numFmtId="0" fontId="60" fillId="3" borderId="6" xfId="4" applyFont="1" applyFill="1" applyBorder="1" applyAlignment="1">
      <alignment horizontal="center" vertical="center"/>
    </xf>
    <xf numFmtId="0" fontId="21" fillId="3" borderId="10" xfId="4" applyFont="1" applyFill="1" applyBorder="1" applyAlignment="1">
      <alignment horizontal="center" vertical="center"/>
    </xf>
    <xf numFmtId="0" fontId="21" fillId="3" borderId="4" xfId="4" applyFont="1" applyFill="1" applyBorder="1" applyAlignment="1">
      <alignment horizontal="center" vertical="center"/>
    </xf>
    <xf numFmtId="0" fontId="21" fillId="3" borderId="9" xfId="4" applyFont="1" applyFill="1" applyBorder="1" applyAlignment="1">
      <alignment horizontal="center" vertical="center"/>
    </xf>
    <xf numFmtId="49" fontId="59" fillId="3" borderId="4" xfId="4" applyNumberFormat="1" applyFont="1" applyFill="1" applyBorder="1" applyAlignment="1">
      <alignment horizontal="center" vertical="center" wrapText="1"/>
    </xf>
    <xf numFmtId="49" fontId="59" fillId="3" borderId="5" xfId="4" applyNumberFormat="1" applyFont="1" applyFill="1" applyBorder="1" applyAlignment="1">
      <alignment horizontal="center" vertical="center" wrapText="1"/>
    </xf>
    <xf numFmtId="49" fontId="60" fillId="3" borderId="14" xfId="4" applyNumberFormat="1" applyFont="1" applyFill="1" applyBorder="1" applyAlignment="1">
      <alignment horizontal="center" vertical="center" wrapText="1"/>
    </xf>
    <xf numFmtId="49" fontId="62" fillId="3" borderId="0" xfId="4" applyNumberFormat="1" applyFont="1" applyFill="1" applyAlignment="1">
      <alignment horizontal="center" vertical="center"/>
    </xf>
    <xf numFmtId="49" fontId="23" fillId="3" borderId="0" xfId="4" applyNumberFormat="1" applyFont="1" applyFill="1" applyAlignment="1">
      <alignment horizontal="center" vertical="center"/>
    </xf>
    <xf numFmtId="0" fontId="21" fillId="3" borderId="11" xfId="4" applyFont="1" applyFill="1" applyBorder="1" applyAlignment="1">
      <alignment horizontal="center" vertical="center"/>
    </xf>
    <xf numFmtId="0" fontId="21" fillId="3" borderId="8" xfId="4" applyFont="1" applyFill="1" applyBorder="1" applyAlignment="1">
      <alignment horizontal="center" vertical="center"/>
    </xf>
    <xf numFmtId="0" fontId="21" fillId="3" borderId="2" xfId="4" applyFont="1" applyFill="1" applyBorder="1" applyAlignment="1">
      <alignment horizontal="center" vertical="center"/>
    </xf>
    <xf numFmtId="0" fontId="21" fillId="3" borderId="6" xfId="4" applyFont="1" applyFill="1" applyBorder="1" applyAlignment="1">
      <alignment horizontal="center" vertical="center"/>
    </xf>
    <xf numFmtId="43" fontId="21" fillId="3" borderId="3" xfId="0" applyNumberFormat="1" applyFont="1" applyFill="1" applyBorder="1" applyAlignment="1">
      <alignment horizontal="center" vertical="center" wrapText="1"/>
    </xf>
    <xf numFmtId="43" fontId="21" fillId="3" borderId="7" xfId="0" applyNumberFormat="1" applyFont="1" applyFill="1" applyBorder="1" applyAlignment="1">
      <alignment horizontal="center" vertical="center" wrapText="1"/>
    </xf>
    <xf numFmtId="43" fontId="21" fillId="3" borderId="4" xfId="0" applyNumberFormat="1" applyFont="1" applyFill="1" applyBorder="1" applyAlignment="1">
      <alignment horizontal="center" vertical="center" wrapText="1"/>
    </xf>
    <xf numFmtId="43" fontId="21" fillId="3" borderId="9" xfId="0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textRotation="255"/>
    </xf>
    <xf numFmtId="0" fontId="22" fillId="3" borderId="0" xfId="0" applyFont="1" applyFill="1" applyAlignment="1">
      <alignment horizontal="center" vertical="center" textRotation="255"/>
    </xf>
    <xf numFmtId="0" fontId="21" fillId="3" borderId="0" xfId="0" applyFont="1" applyFill="1" applyAlignment="1">
      <alignment horizontal="center" vertical="center" textRotation="255"/>
    </xf>
    <xf numFmtId="0" fontId="22" fillId="3" borderId="5" xfId="0" applyFont="1" applyFill="1" applyBorder="1" applyAlignment="1">
      <alignment horizontal="center" vertical="center" textRotation="180"/>
    </xf>
    <xf numFmtId="0" fontId="21" fillId="3" borderId="5" xfId="0" applyFont="1" applyFill="1" applyBorder="1" applyAlignment="1">
      <alignment horizontal="center" vertical="center" textRotation="180"/>
    </xf>
    <xf numFmtId="0" fontId="21" fillId="3" borderId="5" xfId="4" applyFont="1" applyFill="1" applyBorder="1" applyAlignment="1">
      <alignment horizontal="center" vertical="center"/>
    </xf>
    <xf numFmtId="49" fontId="21" fillId="3" borderId="10" xfId="4" applyNumberFormat="1" applyFont="1" applyFill="1" applyBorder="1" applyAlignment="1">
      <alignment horizontal="center" vertical="center"/>
    </xf>
    <xf numFmtId="49" fontId="21" fillId="3" borderId="8" xfId="4" applyNumberFormat="1" applyFont="1" applyFill="1" applyBorder="1" applyAlignment="1">
      <alignment horizontal="center" vertical="center"/>
    </xf>
    <xf numFmtId="49" fontId="21" fillId="3" borderId="11" xfId="4" applyNumberFormat="1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43" fontId="29" fillId="3" borderId="3" xfId="0" applyNumberFormat="1" applyFont="1" applyFill="1" applyBorder="1" applyAlignment="1">
      <alignment horizontal="center" vertical="center" wrapText="1"/>
    </xf>
    <xf numFmtId="43" fontId="29" fillId="3" borderId="7" xfId="0" applyNumberFormat="1" applyFont="1" applyFill="1" applyBorder="1" applyAlignment="1">
      <alignment horizontal="center" vertical="center" wrapText="1"/>
    </xf>
    <xf numFmtId="43" fontId="29" fillId="3" borderId="3" xfId="0" applyNumberFormat="1" applyFont="1" applyFill="1" applyBorder="1" applyAlignment="1">
      <alignment horizontal="right" vertical="center" wrapText="1"/>
    </xf>
    <xf numFmtId="43" fontId="29" fillId="3" borderId="7" xfId="0" applyNumberFormat="1" applyFont="1" applyFill="1" applyBorder="1" applyAlignment="1">
      <alignment horizontal="right" vertical="center" wrapText="1"/>
    </xf>
    <xf numFmtId="49" fontId="39" fillId="3" borderId="0" xfId="4" applyNumberFormat="1" applyFont="1" applyFill="1" applyAlignment="1">
      <alignment horizontal="center" vertical="center"/>
    </xf>
    <xf numFmtId="0" fontId="21" fillId="3" borderId="0" xfId="0" applyFont="1" applyFill="1" applyAlignment="1">
      <alignment vertical="center"/>
    </xf>
    <xf numFmtId="43" fontId="29" fillId="3" borderId="4" xfId="0" applyNumberFormat="1" applyFont="1" applyFill="1" applyBorder="1" applyAlignment="1">
      <alignment horizontal="center" vertical="center" wrapText="1"/>
    </xf>
    <xf numFmtId="43" fontId="29" fillId="3" borderId="9" xfId="0" applyNumberFormat="1" applyFont="1" applyFill="1" applyBorder="1" applyAlignment="1">
      <alignment horizontal="center" vertical="center" wrapText="1"/>
    </xf>
    <xf numFmtId="49" fontId="23" fillId="3" borderId="0" xfId="4" applyNumberFormat="1" applyFont="1" applyFill="1" applyAlignment="1">
      <alignment horizontal="center" vertical="center" wrapText="1"/>
    </xf>
    <xf numFmtId="49" fontId="62" fillId="3" borderId="0" xfId="4" applyNumberFormat="1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61" fillId="3" borderId="8" xfId="4" applyFont="1" applyFill="1" applyBorder="1" applyAlignment="1">
      <alignment horizontal="center"/>
    </xf>
    <xf numFmtId="0" fontId="18" fillId="3" borderId="8" xfId="4" applyFont="1" applyFill="1" applyBorder="1" applyAlignment="1">
      <alignment horizontal="center"/>
    </xf>
    <xf numFmtId="0" fontId="18" fillId="3" borderId="11" xfId="4" applyFont="1" applyFill="1" applyBorder="1" applyAlignment="1">
      <alignment horizontal="center"/>
    </xf>
    <xf numFmtId="0" fontId="21" fillId="3" borderId="2" xfId="4" applyFont="1" applyFill="1" applyBorder="1" applyAlignment="1">
      <alignment horizontal="center"/>
    </xf>
    <xf numFmtId="0" fontId="21" fillId="3" borderId="6" xfId="4" applyFont="1" applyFill="1" applyBorder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center"/>
    </xf>
    <xf numFmtId="0" fontId="21" fillId="3" borderId="5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21" fillId="3" borderId="6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18" fillId="3" borderId="10" xfId="4" applyFont="1" applyFill="1" applyBorder="1" applyAlignment="1">
      <alignment horizontal="center"/>
    </xf>
    <xf numFmtId="0" fontId="21" fillId="3" borderId="9" xfId="4" applyFont="1" applyFill="1" applyBorder="1" applyAlignment="1">
      <alignment horizontal="center"/>
    </xf>
    <xf numFmtId="0" fontId="62" fillId="3" borderId="0" xfId="0" applyFont="1" applyFill="1" applyAlignment="1">
      <alignment horizontal="center" vertical="center" wrapText="1"/>
    </xf>
    <xf numFmtId="0" fontId="21" fillId="3" borderId="8" xfId="0" applyFont="1" applyFill="1" applyBorder="1" applyAlignment="1">
      <alignment horizontal="right" vertical="center"/>
    </xf>
    <xf numFmtId="0" fontId="21" fillId="3" borderId="11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61" fillId="3" borderId="10" xfId="4" applyFont="1" applyFill="1" applyBorder="1" applyAlignment="1">
      <alignment horizontal="center"/>
    </xf>
    <xf numFmtId="0" fontId="61" fillId="3" borderId="10" xfId="4" applyFont="1" applyFill="1" applyBorder="1" applyAlignment="1">
      <alignment horizontal="center" vertical="center"/>
    </xf>
    <xf numFmtId="0" fontId="18" fillId="3" borderId="8" xfId="4" applyFont="1" applyFill="1" applyBorder="1" applyAlignment="1">
      <alignment horizontal="center" vertical="center"/>
    </xf>
    <xf numFmtId="0" fontId="18" fillId="3" borderId="11" xfId="4" applyFont="1" applyFill="1" applyBorder="1" applyAlignment="1">
      <alignment horizontal="center" vertical="center"/>
    </xf>
    <xf numFmtId="0" fontId="61" fillId="3" borderId="8" xfId="4" applyFont="1" applyFill="1" applyBorder="1" applyAlignment="1">
      <alignment horizontal="center" vertical="center"/>
    </xf>
    <xf numFmtId="0" fontId="18" fillId="3" borderId="2" xfId="4" applyFont="1" applyFill="1" applyBorder="1" applyAlignment="1">
      <alignment horizontal="left"/>
    </xf>
    <xf numFmtId="0" fontId="18" fillId="3" borderId="6" xfId="4" applyFont="1" applyFill="1" applyBorder="1" applyAlignment="1">
      <alignment horizontal="left"/>
    </xf>
    <xf numFmtId="0" fontId="20" fillId="3" borderId="8" xfId="4" applyFont="1" applyFill="1" applyBorder="1" applyAlignment="1">
      <alignment horizontal="center" vertical="center"/>
    </xf>
    <xf numFmtId="0" fontId="22" fillId="3" borderId="8" xfId="4" applyFont="1" applyFill="1" applyBorder="1" applyAlignment="1">
      <alignment horizontal="center" vertical="center"/>
    </xf>
    <xf numFmtId="0" fontId="22" fillId="3" borderId="11" xfId="4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/>
    </xf>
    <xf numFmtId="0" fontId="18" fillId="3" borderId="12" xfId="4" applyFont="1" applyFill="1" applyBorder="1" applyAlignment="1">
      <alignment horizontal="center"/>
    </xf>
    <xf numFmtId="0" fontId="18" fillId="3" borderId="13" xfId="4" applyFont="1" applyFill="1" applyBorder="1" applyAlignment="1">
      <alignment horizontal="center"/>
    </xf>
    <xf numFmtId="0" fontId="18" fillId="3" borderId="14" xfId="4" applyFont="1" applyFill="1" applyBorder="1" applyAlignment="1">
      <alignment horizontal="center"/>
    </xf>
    <xf numFmtId="43" fontId="14" fillId="3" borderId="3" xfId="4" applyNumberFormat="1" applyFont="1" applyFill="1" applyBorder="1" applyAlignment="1">
      <alignment horizontal="center" vertical="center" wrapText="1"/>
    </xf>
    <xf numFmtId="43" fontId="14" fillId="3" borderId="7" xfId="4" applyNumberFormat="1" applyFont="1" applyFill="1" applyBorder="1" applyAlignment="1">
      <alignment horizontal="center" vertical="center" wrapText="1"/>
    </xf>
    <xf numFmtId="0" fontId="14" fillId="3" borderId="5" xfId="4" applyFont="1" applyFill="1" applyBorder="1" applyAlignment="1">
      <alignment horizontal="center" vertical="center"/>
    </xf>
    <xf numFmtId="0" fontId="14" fillId="3" borderId="6" xfId="4" applyFont="1" applyFill="1" applyBorder="1" applyAlignment="1">
      <alignment horizontal="center" vertical="center"/>
    </xf>
    <xf numFmtId="0" fontId="14" fillId="3" borderId="3" xfId="4" applyFont="1" applyFill="1" applyBorder="1" applyAlignment="1">
      <alignment horizontal="center" vertical="center"/>
    </xf>
    <xf numFmtId="0" fontId="14" fillId="3" borderId="7" xfId="4" applyFont="1" applyFill="1" applyBorder="1" applyAlignment="1">
      <alignment horizontal="center" vertical="center"/>
    </xf>
    <xf numFmtId="0" fontId="14" fillId="3" borderId="3" xfId="4" applyFont="1" applyFill="1" applyBorder="1" applyAlignment="1">
      <alignment horizontal="center" vertical="center" wrapText="1"/>
    </xf>
    <xf numFmtId="0" fontId="30" fillId="3" borderId="7" xfId="4" applyFont="1" applyFill="1" applyBorder="1" applyAlignment="1">
      <alignment horizontal="center" vertical="center" wrapText="1"/>
    </xf>
    <xf numFmtId="0" fontId="14" fillId="3" borderId="7" xfId="4" applyFont="1" applyFill="1" applyBorder="1" applyAlignment="1">
      <alignment horizontal="center" vertical="center" wrapText="1"/>
    </xf>
    <xf numFmtId="0" fontId="14" fillId="3" borderId="4" xfId="4" applyFont="1" applyFill="1" applyBorder="1" applyAlignment="1">
      <alignment horizontal="center" vertical="center" wrapText="1"/>
    </xf>
    <xf numFmtId="0" fontId="14" fillId="3" borderId="9" xfId="4" applyFont="1" applyFill="1" applyBorder="1" applyAlignment="1">
      <alignment horizontal="center" vertical="center" wrapText="1"/>
    </xf>
    <xf numFmtId="0" fontId="62" fillId="3" borderId="0" xfId="4" applyFont="1" applyFill="1" applyAlignment="1">
      <alignment horizontal="center" vertical="center"/>
    </xf>
    <xf numFmtId="0" fontId="23" fillId="3" borderId="0" xfId="4" applyFont="1" applyFill="1" applyAlignment="1">
      <alignment horizontal="center" vertical="center"/>
    </xf>
    <xf numFmtId="0" fontId="23" fillId="3" borderId="0" xfId="4" applyFont="1" applyFill="1" applyAlignment="1">
      <alignment horizontal="center" vertical="center" shrinkToFit="1"/>
    </xf>
    <xf numFmtId="0" fontId="18" fillId="3" borderId="8" xfId="4" applyFont="1" applyFill="1" applyBorder="1" applyAlignment="1">
      <alignment horizontal="right" vertical="center"/>
    </xf>
    <xf numFmtId="0" fontId="18" fillId="3" borderId="11" xfId="4" applyFont="1" applyFill="1" applyBorder="1" applyAlignment="1">
      <alignment horizontal="right" vertical="center"/>
    </xf>
    <xf numFmtId="178" fontId="62" fillId="3" borderId="0" xfId="4" applyNumberFormat="1" applyFont="1" applyFill="1" applyAlignment="1">
      <alignment horizontal="center" vertical="center"/>
    </xf>
    <xf numFmtId="178" fontId="23" fillId="3" borderId="0" xfId="4" applyNumberFormat="1" applyFont="1" applyFill="1" applyAlignment="1">
      <alignment horizontal="center" vertical="center" shrinkToFit="1"/>
    </xf>
    <xf numFmtId="43" fontId="14" fillId="3" borderId="2" xfId="4" applyNumberFormat="1" applyFont="1" applyFill="1" applyBorder="1" applyAlignment="1">
      <alignment horizontal="right" vertical="center" shrinkToFit="1"/>
    </xf>
    <xf numFmtId="49" fontId="18" fillId="3" borderId="11" xfId="4" applyNumberFormat="1" applyFont="1" applyFill="1" applyBorder="1" applyAlignment="1">
      <alignment horizontal="center" vertical="center"/>
    </xf>
    <xf numFmtId="49" fontId="18" fillId="3" borderId="5" xfId="4" applyNumberFormat="1" applyFont="1" applyFill="1" applyBorder="1" applyAlignment="1">
      <alignment horizontal="center" vertical="center"/>
    </xf>
    <xf numFmtId="49" fontId="18" fillId="3" borderId="6" xfId="4" applyNumberFormat="1" applyFont="1" applyFill="1" applyBorder="1" applyAlignment="1">
      <alignment horizontal="center" vertical="center"/>
    </xf>
    <xf numFmtId="0" fontId="29" fillId="3" borderId="10" xfId="25" applyFont="1" applyFill="1" applyBorder="1" applyAlignment="1">
      <alignment horizontal="center" vertical="center"/>
    </xf>
    <xf numFmtId="0" fontId="29" fillId="3" borderId="8" xfId="25" applyFont="1" applyFill="1" applyBorder="1" applyAlignment="1">
      <alignment horizontal="center" vertical="center"/>
    </xf>
    <xf numFmtId="0" fontId="29" fillId="3" borderId="11" xfId="25" applyFont="1" applyFill="1" applyBorder="1" applyAlignment="1">
      <alignment horizontal="center" vertical="center"/>
    </xf>
    <xf numFmtId="0" fontId="29" fillId="3" borderId="1" xfId="25" applyFont="1" applyFill="1" applyBorder="1" applyAlignment="1">
      <alignment horizontal="center" vertical="center"/>
    </xf>
    <xf numFmtId="0" fontId="29" fillId="3" borderId="9" xfId="25" applyFont="1" applyFill="1" applyBorder="1" applyAlignment="1">
      <alignment horizontal="center" vertical="center"/>
    </xf>
    <xf numFmtId="0" fontId="29" fillId="3" borderId="2" xfId="25" applyFont="1" applyFill="1" applyBorder="1" applyAlignment="1">
      <alignment horizontal="center" vertical="center"/>
    </xf>
    <xf numFmtId="0" fontId="29" fillId="3" borderId="6" xfId="25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49" fontId="14" fillId="3" borderId="10" xfId="4" applyNumberFormat="1" applyFont="1" applyFill="1" applyBorder="1" applyAlignment="1">
      <alignment horizontal="center" vertical="center"/>
    </xf>
    <xf numFmtId="49" fontId="14" fillId="3" borderId="4" xfId="4" applyNumberFormat="1" applyFont="1" applyFill="1" applyBorder="1" applyAlignment="1">
      <alignment horizontal="center" vertical="center"/>
    </xf>
    <xf numFmtId="49" fontId="14" fillId="3" borderId="9" xfId="4" applyNumberFormat="1" applyFont="1" applyFill="1" applyBorder="1" applyAlignment="1">
      <alignment horizontal="center" vertical="center"/>
    </xf>
    <xf numFmtId="178" fontId="24" fillId="0" borderId="0" xfId="4" applyNumberFormat="1" applyFont="1" applyAlignment="1">
      <alignment horizontal="left" vertical="center" wrapText="1"/>
    </xf>
    <xf numFmtId="178" fontId="24" fillId="0" borderId="0" xfId="4" applyNumberFormat="1" applyFont="1" applyAlignment="1">
      <alignment horizontal="left" vertical="center" shrinkToFit="1"/>
    </xf>
    <xf numFmtId="0" fontId="29" fillId="3" borderId="12" xfId="0" applyFont="1" applyFill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178" fontId="74" fillId="0" borderId="8" xfId="4" applyNumberFormat="1" applyFont="1" applyBorder="1" applyAlignment="1">
      <alignment horizontal="left" wrapText="1"/>
    </xf>
    <xf numFmtId="178" fontId="24" fillId="0" borderId="8" xfId="4" applyNumberFormat="1" applyFont="1" applyBorder="1" applyAlignment="1">
      <alignment horizontal="left" wrapText="1"/>
    </xf>
    <xf numFmtId="178" fontId="24" fillId="0" borderId="8" xfId="4" applyNumberFormat="1" applyFont="1" applyBorder="1" applyAlignment="1">
      <alignment horizontal="left" shrinkToFit="1"/>
    </xf>
    <xf numFmtId="0" fontId="29" fillId="3" borderId="7" xfId="25" applyFont="1" applyFill="1" applyBorder="1" applyAlignment="1">
      <alignment horizontal="center" vertical="center"/>
    </xf>
    <xf numFmtId="178" fontId="23" fillId="3" borderId="0" xfId="4" applyNumberFormat="1" applyFont="1" applyFill="1" applyAlignment="1">
      <alignment horizontal="center" vertical="center"/>
    </xf>
    <xf numFmtId="178" fontId="62" fillId="3" borderId="0" xfId="4" applyNumberFormat="1" applyFont="1" applyFill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2" fillId="3" borderId="1" xfId="25" applyFont="1" applyFill="1" applyBorder="1" applyAlignment="1">
      <alignment horizontal="center" vertical="center" wrapText="1"/>
    </xf>
    <xf numFmtId="0" fontId="32" fillId="3" borderId="3" xfId="25" applyFont="1" applyFill="1" applyBorder="1" applyAlignment="1">
      <alignment horizontal="center" vertical="center" wrapText="1"/>
    </xf>
    <xf numFmtId="0" fontId="70" fillId="3" borderId="10" xfId="0" applyFont="1" applyFill="1" applyBorder="1" applyAlignment="1">
      <alignment horizontal="center" vertical="center" wrapText="1"/>
    </xf>
    <xf numFmtId="0" fontId="70" fillId="3" borderId="3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29" fillId="0" borderId="9" xfId="25" applyFont="1" applyBorder="1" applyAlignment="1">
      <alignment horizontal="center" vertical="center"/>
    </xf>
    <xf numFmtId="0" fontId="29" fillId="0" borderId="2" xfId="25" applyFont="1" applyBorder="1" applyAlignment="1">
      <alignment horizontal="center" vertical="center"/>
    </xf>
    <xf numFmtId="0" fontId="29" fillId="0" borderId="6" xfId="25" applyFont="1" applyBorder="1" applyAlignment="1">
      <alignment horizontal="center" vertical="center"/>
    </xf>
    <xf numFmtId="178" fontId="62" fillId="0" borderId="0" xfId="4" applyNumberFormat="1" applyFont="1" applyAlignment="1">
      <alignment horizontal="center" vertical="center" wrapText="1"/>
    </xf>
    <xf numFmtId="178" fontId="23" fillId="0" borderId="0" xfId="4" applyNumberFormat="1" applyFont="1" applyAlignment="1">
      <alignment horizontal="center" vertical="center" wrapText="1"/>
    </xf>
    <xf numFmtId="178" fontId="23" fillId="0" borderId="0" xfId="4" applyNumberFormat="1" applyFont="1" applyAlignment="1">
      <alignment horizontal="center" vertical="center" shrinkToFit="1"/>
    </xf>
    <xf numFmtId="49" fontId="18" fillId="0" borderId="11" xfId="4" applyNumberFormat="1" applyFont="1" applyBorder="1" applyAlignment="1">
      <alignment horizontal="center" vertical="center"/>
    </xf>
    <xf numFmtId="49" fontId="18" fillId="0" borderId="5" xfId="4" applyNumberFormat="1" applyFont="1" applyBorder="1" applyAlignment="1">
      <alignment horizontal="center" vertical="center"/>
    </xf>
    <xf numFmtId="49" fontId="18" fillId="0" borderId="6" xfId="4" applyNumberFormat="1" applyFont="1" applyBorder="1" applyAlignment="1">
      <alignment horizontal="center" vertical="center"/>
    </xf>
    <xf numFmtId="0" fontId="29" fillId="0" borderId="10" xfId="25" applyFont="1" applyBorder="1" applyAlignment="1">
      <alignment horizontal="center" vertical="center"/>
    </xf>
    <xf numFmtId="0" fontId="29" fillId="0" borderId="8" xfId="25" applyFont="1" applyBorder="1" applyAlignment="1">
      <alignment horizontal="center" vertical="center"/>
    </xf>
    <xf numFmtId="0" fontId="29" fillId="0" borderId="11" xfId="25" applyFont="1" applyBorder="1" applyAlignment="1">
      <alignment horizontal="center" vertical="center"/>
    </xf>
    <xf numFmtId="49" fontId="14" fillId="0" borderId="10" xfId="4" applyNumberFormat="1" applyFont="1" applyBorder="1" applyAlignment="1">
      <alignment horizontal="center" vertical="center"/>
    </xf>
    <xf numFmtId="49" fontId="14" fillId="0" borderId="4" xfId="4" applyNumberFormat="1" applyFont="1" applyBorder="1" applyAlignment="1">
      <alignment horizontal="center" vertical="center"/>
    </xf>
    <xf numFmtId="49" fontId="14" fillId="0" borderId="9" xfId="4" applyNumberFormat="1" applyFont="1" applyBorder="1" applyAlignment="1">
      <alignment horizontal="center" vertical="center"/>
    </xf>
    <xf numFmtId="43" fontId="14" fillId="0" borderId="2" xfId="4" applyNumberFormat="1" applyFont="1" applyBorder="1" applyAlignment="1">
      <alignment horizontal="right" vertical="center" shrinkToFit="1"/>
    </xf>
    <xf numFmtId="178" fontId="15" fillId="0" borderId="0" xfId="4" applyNumberFormat="1" applyFont="1" applyAlignment="1">
      <alignment horizontal="left" vertical="center" wrapText="1"/>
    </xf>
    <xf numFmtId="178" fontId="19" fillId="0" borderId="0" xfId="4" applyNumberFormat="1" applyFont="1" applyAlignment="1">
      <alignment horizontal="center" vertical="center" wrapText="1"/>
    </xf>
    <xf numFmtId="0" fontId="15" fillId="0" borderId="0" xfId="4" applyFont="1" applyAlignment="1">
      <alignment horizontal="left" vertical="center" wrapText="1"/>
    </xf>
    <xf numFmtId="178" fontId="75" fillId="0" borderId="8" xfId="4" applyNumberFormat="1" applyFont="1" applyBorder="1" applyAlignment="1">
      <alignment horizontal="left" vertical="center" wrapText="1"/>
    </xf>
    <xf numFmtId="178" fontId="77" fillId="0" borderId="8" xfId="4" applyNumberFormat="1" applyFont="1" applyBorder="1" applyAlignment="1">
      <alignment horizontal="left" vertical="center" wrapText="1"/>
    </xf>
    <xf numFmtId="178" fontId="73" fillId="0" borderId="0" xfId="4" applyNumberFormat="1" applyFont="1" applyAlignment="1">
      <alignment horizontal="center" vertical="center" wrapText="1"/>
    </xf>
    <xf numFmtId="178" fontId="69" fillId="0" borderId="8" xfId="4" applyNumberFormat="1" applyFont="1" applyBorder="1" applyAlignment="1">
      <alignment horizontal="left" vertical="center" wrapText="1"/>
    </xf>
    <xf numFmtId="178" fontId="14" fillId="0" borderId="8" xfId="4" applyNumberFormat="1" applyFont="1" applyBorder="1" applyAlignment="1">
      <alignment horizontal="left" vertical="center" wrapText="1"/>
    </xf>
    <xf numFmtId="178" fontId="14" fillId="0" borderId="0" xfId="4" applyNumberFormat="1" applyFont="1" applyAlignment="1">
      <alignment horizontal="left" vertical="center"/>
    </xf>
    <xf numFmtId="178" fontId="14" fillId="0" borderId="10" xfId="4" applyNumberFormat="1" applyFont="1" applyBorder="1" applyAlignment="1">
      <alignment horizontal="center" vertical="center"/>
    </xf>
    <xf numFmtId="178" fontId="14" fillId="0" borderId="9" xfId="4" applyNumberFormat="1" applyFont="1" applyBorder="1" applyAlignment="1">
      <alignment horizontal="center" vertical="center"/>
    </xf>
    <xf numFmtId="178" fontId="14" fillId="0" borderId="8" xfId="4" applyNumberFormat="1" applyFont="1" applyBorder="1" applyAlignment="1">
      <alignment horizontal="center" vertical="center"/>
    </xf>
    <xf numFmtId="178" fontId="14" fillId="0" borderId="2" xfId="4" applyNumberFormat="1" applyFont="1" applyBorder="1" applyAlignment="1">
      <alignment horizontal="center" vertical="center"/>
    </xf>
    <xf numFmtId="0" fontId="14" fillId="0" borderId="0" xfId="4" applyFont="1" applyAlignment="1">
      <alignment horizontal="left"/>
    </xf>
    <xf numFmtId="178" fontId="11" fillId="0" borderId="0" xfId="4" applyNumberFormat="1" applyFont="1" applyAlignment="1">
      <alignment horizontal="left" vertical="center"/>
    </xf>
    <xf numFmtId="181" fontId="14" fillId="4" borderId="8" xfId="3" quotePrefix="1" applyNumberFormat="1" applyFont="1" applyFill="1" applyBorder="1" applyAlignment="1">
      <alignment horizontal="center" vertical="center" shrinkToFit="1"/>
    </xf>
    <xf numFmtId="181" fontId="14" fillId="4" borderId="11" xfId="3" applyNumberFormat="1" applyFont="1" applyFill="1" applyBorder="1" applyAlignment="1">
      <alignment horizontal="center" vertical="center" shrinkToFit="1"/>
    </xf>
    <xf numFmtId="43" fontId="14" fillId="4" borderId="8" xfId="3" quotePrefix="1" applyFont="1" applyFill="1" applyBorder="1" applyAlignment="1">
      <alignment horizontal="center" vertical="center" shrinkToFit="1"/>
    </xf>
    <xf numFmtId="43" fontId="14" fillId="4" borderId="11" xfId="3" applyFont="1" applyFill="1" applyBorder="1" applyAlignment="1">
      <alignment horizontal="center" vertical="center" shrinkToFit="1"/>
    </xf>
    <xf numFmtId="182" fontId="14" fillId="4" borderId="8" xfId="3" quotePrefix="1" applyNumberFormat="1" applyFont="1" applyFill="1" applyBorder="1" applyAlignment="1">
      <alignment horizontal="center" vertical="center" shrinkToFit="1"/>
    </xf>
    <xf numFmtId="182" fontId="14" fillId="4" borderId="11" xfId="3" applyNumberFormat="1" applyFont="1" applyFill="1" applyBorder="1" applyAlignment="1">
      <alignment horizontal="center" vertical="center" shrinkToFit="1"/>
    </xf>
    <xf numFmtId="182" fontId="14" fillId="4" borderId="8" xfId="3" quotePrefix="1" applyNumberFormat="1" applyFont="1" applyFill="1" applyBorder="1" applyAlignment="1">
      <alignment horizontal="center" vertical="center"/>
    </xf>
    <xf numFmtId="182" fontId="14" fillId="4" borderId="11" xfId="3" applyNumberFormat="1" applyFont="1" applyFill="1" applyBorder="1" applyAlignment="1">
      <alignment horizontal="center" vertical="center"/>
    </xf>
  </cellXfs>
  <cellStyles count="30">
    <cellStyle name="Heading" xfId="10" xr:uid="{00000000-0005-0000-0000-000000000000}"/>
    <cellStyle name="Heading1" xfId="11" xr:uid="{00000000-0005-0000-0000-000001000000}"/>
    <cellStyle name="Result" xfId="12" xr:uid="{00000000-0005-0000-0000-000002000000}"/>
    <cellStyle name="Result2" xfId="13" xr:uid="{00000000-0005-0000-0000-000003000000}"/>
    <cellStyle name="一般" xfId="0" builtinId="0"/>
    <cellStyle name="一般 2" xfId="4" xr:uid="{00000000-0005-0000-0000-000005000000}"/>
    <cellStyle name="一般 3" xfId="5" xr:uid="{00000000-0005-0000-0000-000006000000}"/>
    <cellStyle name="一般 3 2" xfId="8" xr:uid="{00000000-0005-0000-0000-000007000000}"/>
    <cellStyle name="一般 4" xfId="14" xr:uid="{00000000-0005-0000-0000-000008000000}"/>
    <cellStyle name="一般 5" xfId="15" xr:uid="{00000000-0005-0000-0000-000009000000}"/>
    <cellStyle name="一般 6" xfId="17" xr:uid="{00000000-0005-0000-0000-00000A000000}"/>
    <cellStyle name="一般 7" xfId="19" xr:uid="{00000000-0005-0000-0000-00000B000000}"/>
    <cellStyle name="一般 7 2" xfId="21" xr:uid="{00000000-0005-0000-0000-00000C000000}"/>
    <cellStyle name="一般 7 3" xfId="23" xr:uid="{00000000-0005-0000-0000-00000D000000}"/>
    <cellStyle name="一般 7 3 2" xfId="25" xr:uid="{00000000-0005-0000-0000-00000E000000}"/>
    <cellStyle name="一般 7 4" xfId="27" xr:uid="{00000000-0005-0000-0000-00000F000000}"/>
    <cellStyle name="一般 7 4 2" xfId="29" xr:uid="{E2E99E13-1B38-4132-AE21-47BB2F230374}"/>
    <cellStyle name="一般 7 5" xfId="28" xr:uid="{00000000-0005-0000-0000-000010000000}"/>
    <cellStyle name="一般 8" xfId="22" xr:uid="{00000000-0005-0000-0000-000011000000}"/>
    <cellStyle name="一般_國民醫療帳94 (4)" xfId="1" xr:uid="{00000000-0005-0000-0000-000012000000}"/>
    <cellStyle name="千分位" xfId="3" builtinId="3"/>
    <cellStyle name="千分位 2" xfId="6" xr:uid="{00000000-0005-0000-0000-000014000000}"/>
    <cellStyle name="千分位 3" xfId="16" xr:uid="{00000000-0005-0000-0000-000015000000}"/>
    <cellStyle name="千分位 4" xfId="18" xr:uid="{00000000-0005-0000-0000-000016000000}"/>
    <cellStyle name="千分位 5" xfId="20" xr:uid="{00000000-0005-0000-0000-000017000000}"/>
    <cellStyle name="千分位 5 2" xfId="24" xr:uid="{00000000-0005-0000-0000-000018000000}"/>
    <cellStyle name="千分位 5 2 2" xfId="26" xr:uid="{00000000-0005-0000-0000-000019000000}"/>
    <cellStyle name="千分位[0] 2" xfId="2" xr:uid="{00000000-0005-0000-0000-00001A000000}"/>
    <cellStyle name="中等" xfId="9" builtinId="28"/>
    <cellStyle name="超連結" xfId="7" builtinId="8"/>
  </cellStyles>
  <dxfs count="0"/>
  <tableStyles count="0" defaultTableStyle="TableStyleMedium9" defaultPivotStyle="PivotStyleLight16"/>
  <colors>
    <mruColors>
      <color rgb="FF000000"/>
      <color rgb="FF006600"/>
      <color rgb="FF0000FF"/>
      <color rgb="FF990099"/>
      <color rgb="FFFDDFC7"/>
      <color rgb="FF660066"/>
      <color rgb="FF660033"/>
      <color rgb="FF666699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4</xdr:col>
      <xdr:colOff>25401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1" y="698500"/>
          <a:ext cx="368300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4</xdr:col>
      <xdr:colOff>25401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1" y="701040"/>
          <a:ext cx="369062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</xdr:colOff>
      <xdr:row>2</xdr:row>
      <xdr:rowOff>0</xdr:rowOff>
    </xdr:from>
    <xdr:to>
      <xdr:col>21</xdr:col>
      <xdr:colOff>25401</xdr:colOff>
      <xdr:row>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1" y="692727"/>
          <a:ext cx="4098636" cy="127461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4</xdr:col>
      <xdr:colOff>25401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1" y="800100"/>
          <a:ext cx="4079240" cy="1280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</xdr:colOff>
      <xdr:row>2</xdr:row>
      <xdr:rowOff>0</xdr:rowOff>
    </xdr:from>
    <xdr:to>
      <xdr:col>12</xdr:col>
      <xdr:colOff>25401</xdr:colOff>
      <xdr:row>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6BE5B3B-260F-4D05-B61D-212904E8D93A}"/>
            </a:ext>
          </a:extLst>
        </xdr:cNvPr>
        <xdr:cNvSpPr>
          <a:spLocks noChangeShapeType="1"/>
        </xdr:cNvSpPr>
      </xdr:nvSpPr>
      <xdr:spPr bwMode="auto">
        <a:xfrm>
          <a:off x="1" y="813955"/>
          <a:ext cx="4528127" cy="12469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4698999" cy="2305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ShapeType="1"/>
        </xdr:cNvSpPr>
      </xdr:nvSpPr>
      <xdr:spPr bwMode="auto">
        <a:xfrm>
          <a:off x="0" y="611232"/>
          <a:ext cx="4610099" cy="2055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176892</xdr:rowOff>
    </xdr:from>
    <xdr:to>
      <xdr:col>6</xdr:col>
      <xdr:colOff>-1</xdr:colOff>
      <xdr:row>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47B1251B-A2DF-4A7C-AFEE-0B06460DC8E9}"/>
            </a:ext>
          </a:extLst>
        </xdr:cNvPr>
        <xdr:cNvSpPr>
          <a:spLocks noChangeShapeType="1"/>
        </xdr:cNvSpPr>
      </xdr:nvSpPr>
      <xdr:spPr bwMode="auto">
        <a:xfrm>
          <a:off x="0" y="615042"/>
          <a:ext cx="5114924" cy="20519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D16"/>
  <sheetViews>
    <sheetView tabSelected="1" view="pageBreakPreview" zoomScale="60" zoomScaleNormal="55" workbookViewId="0">
      <selection activeCell="B1" sqref="B1:C1"/>
    </sheetView>
  </sheetViews>
  <sheetFormatPr defaultColWidth="9" defaultRowHeight="15.75" x14ac:dyDescent="0.25"/>
  <cols>
    <col min="1" max="1" width="5.75" style="8" customWidth="1"/>
    <col min="2" max="2" width="9.375" style="8" customWidth="1"/>
    <col min="3" max="3" width="126.75" style="8" customWidth="1"/>
    <col min="4" max="16384" width="9" style="8"/>
  </cols>
  <sheetData>
    <row r="1" spans="1:4" ht="46.5" customHeight="1" x14ac:dyDescent="0.25">
      <c r="B1" s="597" t="s">
        <v>212</v>
      </c>
      <c r="C1" s="597"/>
    </row>
    <row r="2" spans="1:4" ht="40.700000000000003" customHeight="1" x14ac:dyDescent="0.25">
      <c r="A2" s="28" t="s">
        <v>213</v>
      </c>
      <c r="B2" s="28"/>
      <c r="D2" s="29"/>
    </row>
    <row r="3" spans="1:4" ht="37.5" customHeight="1" x14ac:dyDescent="0.25">
      <c r="A3" s="28" t="s">
        <v>686</v>
      </c>
      <c r="B3" s="28"/>
      <c r="D3" s="30"/>
    </row>
    <row r="4" spans="1:4" ht="40.700000000000003" customHeight="1" x14ac:dyDescent="0.25">
      <c r="A4" s="28" t="s">
        <v>214</v>
      </c>
      <c r="B4" s="28"/>
      <c r="C4" s="1"/>
    </row>
    <row r="5" spans="1:4" s="31" customFormat="1" ht="42" customHeight="1" x14ac:dyDescent="0.25">
      <c r="B5" s="31" t="s">
        <v>324</v>
      </c>
      <c r="C5" s="46" t="s">
        <v>385</v>
      </c>
      <c r="D5" s="30"/>
    </row>
    <row r="6" spans="1:4" s="31" customFormat="1" ht="42" customHeight="1" x14ac:dyDescent="0.25">
      <c r="B6" s="31" t="s">
        <v>314</v>
      </c>
      <c r="C6" s="46" t="s">
        <v>378</v>
      </c>
      <c r="D6" s="30"/>
    </row>
    <row r="7" spans="1:4" s="31" customFormat="1" ht="42" customHeight="1" x14ac:dyDescent="0.25">
      <c r="B7" s="31" t="s">
        <v>315</v>
      </c>
      <c r="C7" s="46" t="s">
        <v>481</v>
      </c>
      <c r="D7" s="30"/>
    </row>
    <row r="8" spans="1:4" s="31" customFormat="1" ht="42" customHeight="1" x14ac:dyDescent="0.25">
      <c r="B8" s="31" t="s">
        <v>316</v>
      </c>
      <c r="C8" s="46" t="s">
        <v>482</v>
      </c>
      <c r="D8" s="30"/>
    </row>
    <row r="9" spans="1:4" s="31" customFormat="1" ht="42" customHeight="1" x14ac:dyDescent="0.25">
      <c r="B9" s="31" t="s">
        <v>439</v>
      </c>
      <c r="C9" s="46" t="s">
        <v>447</v>
      </c>
      <c r="D9" s="30"/>
    </row>
    <row r="10" spans="1:4" s="31" customFormat="1" ht="42" customHeight="1" x14ac:dyDescent="0.25">
      <c r="B10" s="32" t="s">
        <v>317</v>
      </c>
      <c r="C10" s="46" t="s">
        <v>448</v>
      </c>
      <c r="D10" s="30"/>
    </row>
    <row r="11" spans="1:4" s="31" customFormat="1" ht="42" customHeight="1" x14ac:dyDescent="0.25">
      <c r="B11" s="32" t="s">
        <v>318</v>
      </c>
      <c r="C11" s="46" t="s">
        <v>449</v>
      </c>
      <c r="D11" s="30"/>
    </row>
    <row r="12" spans="1:4" s="31" customFormat="1" ht="42" customHeight="1" x14ac:dyDescent="0.25">
      <c r="B12" s="32" t="s">
        <v>319</v>
      </c>
      <c r="C12" s="46" t="s">
        <v>637</v>
      </c>
      <c r="D12" s="30"/>
    </row>
    <row r="13" spans="1:4" s="31" customFormat="1" ht="42" customHeight="1" x14ac:dyDescent="0.25">
      <c r="B13" s="32" t="s">
        <v>320</v>
      </c>
      <c r="C13" s="46" t="s">
        <v>638</v>
      </c>
      <c r="D13" s="30"/>
    </row>
    <row r="14" spans="1:4" s="31" customFormat="1" ht="42" customHeight="1" x14ac:dyDescent="0.25">
      <c r="B14" s="32" t="s">
        <v>321</v>
      </c>
      <c r="C14" s="46" t="s">
        <v>450</v>
      </c>
      <c r="D14" s="30"/>
    </row>
    <row r="15" spans="1:4" s="31" customFormat="1" ht="42" customHeight="1" x14ac:dyDescent="0.25">
      <c r="B15" s="301" t="s">
        <v>322</v>
      </c>
      <c r="C15" s="46" t="s">
        <v>451</v>
      </c>
      <c r="D15" s="30"/>
    </row>
    <row r="16" spans="1:4" s="31" customFormat="1" ht="42" customHeight="1" x14ac:dyDescent="0.25">
      <c r="B16" s="301" t="s">
        <v>323</v>
      </c>
      <c r="C16" s="46" t="s">
        <v>452</v>
      </c>
      <c r="D16" s="30"/>
    </row>
  </sheetData>
  <mergeCells count="1">
    <mergeCell ref="B1:C1"/>
  </mergeCells>
  <phoneticPr fontId="17" type="noConversion"/>
  <hyperlinks>
    <hyperlink ref="C5" location="表1!A1" display="國民醫療保健支出指標" xr:uid="{00000000-0004-0000-0000-000000000000}"/>
    <hyperlink ref="C6" location="'表2-105-113'!AG10" display="國民醫療保健支出統計" xr:uid="{00000000-0004-0000-0000-000001000000}"/>
    <hyperlink ref="C7" location="'表3-112-113'!M10" display="國民醫療保健支出－依資金運用單位分" xr:uid="{00000000-0004-0000-0000-000002000000}"/>
    <hyperlink ref="C8" location="'4-113'!G9" display="國民醫療保健支出－依資金配置分" xr:uid="{00000000-0004-0000-0000-000003000000}"/>
    <hyperlink ref="C9" location="'表5 (108-113)'!R8" display="國民醫療保健支出－美元計價" xr:uid="{00000000-0004-0000-0000-000004000000}"/>
    <hyperlink ref="C10" location="'表6 (108-113)'!R8" display="國民醫療保健支出占國內生產毛額比重" xr:uid="{00000000-0004-0000-0000-000005000000}"/>
    <hyperlink ref="C11" location="'表7 (108-113)'!R8" display="平均每人國民醫療保健支出－美元計價" xr:uid="{00000000-0004-0000-0000-000006000000}"/>
    <hyperlink ref="C12" location="'表8(110-113) '!R9" display="公部門(政府及強制醫療保險計畫)平均每人經常性醫療保健支出－美元計價" xr:uid="{00000000-0004-0000-0000-000007000000}"/>
    <hyperlink ref="C13" location="'表9(110-113)'!R9" display="公部門(政府及強制醫療保險計畫)經常性醫療保健支出占經常性醫療保健支出比重" xr:uid="{00000000-0004-0000-0000-000008000000}"/>
    <hyperlink ref="C14" location="'表10(110-113) '!O9" display="私部門經常性醫療保健支出占經常性醫療保健支出比重" xr:uid="{00000000-0004-0000-0000-000009000000}"/>
    <hyperlink ref="C15" location="表11!A1" display="藥品消費支出占經常性醫療保健支出比重" xr:uid="{00000000-0004-0000-0000-00000F000000}"/>
    <hyperlink ref="C16" location="表12!A1" display="藥品消費支出占國內生產毛額比重" xr:uid="{00000000-0004-0000-0000-000010000000}"/>
  </hyperlinks>
  <printOptions horizontalCentered="1"/>
  <pageMargins left="0.31496062992125984" right="0.31496062992125984" top="0.62992125984251968" bottom="0.59055118110236227" header="0.51181102362204722" footer="0.51181102362204722"/>
  <pageSetup paperSize="9" scale="65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X53"/>
  <sheetViews>
    <sheetView view="pageBreakPreview" zoomScale="55" zoomScaleNormal="40" zoomScaleSheetLayoutView="55" zoomScalePageLayoutView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L3"/>
    </sheetView>
  </sheetViews>
  <sheetFormatPr defaultColWidth="9" defaultRowHeight="15.75" x14ac:dyDescent="0.25"/>
  <cols>
    <col min="1" max="1" width="9.125" style="21" customWidth="1"/>
    <col min="2" max="2" width="17.125" style="21" bestFit="1" customWidth="1"/>
    <col min="3" max="3" width="18.875" style="21" customWidth="1"/>
    <col min="4" max="4" width="14.25" style="21" customWidth="1"/>
    <col min="5" max="5" width="20.625" style="21" customWidth="1"/>
    <col min="6" max="6" width="12.875" style="21" customWidth="1"/>
    <col min="7" max="7" width="15.5" style="21" customWidth="1"/>
    <col min="8" max="8" width="20.625" style="21" customWidth="1"/>
    <col min="9" max="9" width="15.5" style="21" customWidth="1"/>
    <col min="10" max="10" width="16" style="21" customWidth="1"/>
    <col min="11" max="11" width="17.25" style="21" customWidth="1"/>
    <col min="12" max="12" width="15.625" style="21" customWidth="1"/>
    <col min="13" max="13" width="17.375" style="21" customWidth="1"/>
    <col min="14" max="14" width="17" style="21" customWidth="1"/>
    <col min="15" max="15" width="22.625" style="21" customWidth="1"/>
    <col min="16" max="16" width="21.625" style="21" customWidth="1"/>
    <col min="17" max="17" width="24.875" style="21" customWidth="1"/>
    <col min="18" max="18" width="20.5" style="21" customWidth="1"/>
    <col min="19" max="19" width="19.5" style="21" customWidth="1"/>
    <col min="20" max="20" width="19.875" style="21" customWidth="1"/>
    <col min="21" max="21" width="9.625" style="21" customWidth="1"/>
    <col min="22" max="23" width="9" style="21"/>
    <col min="24" max="24" width="15.875" style="27" customWidth="1"/>
    <col min="25" max="25" width="14" style="21" customWidth="1"/>
    <col min="26" max="26" width="13.375" style="21" customWidth="1"/>
    <col min="27" max="16384" width="9" style="21"/>
  </cols>
  <sheetData>
    <row r="1" spans="1:24" s="10" customFormat="1" ht="28.5" customHeight="1" x14ac:dyDescent="0.25">
      <c r="A1" s="605" t="s">
        <v>685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7" t="s">
        <v>325</v>
      </c>
      <c r="N1" s="607"/>
      <c r="O1" s="607"/>
      <c r="P1" s="607"/>
      <c r="Q1" s="607"/>
      <c r="R1" s="607"/>
      <c r="S1" s="607"/>
      <c r="T1" s="607"/>
      <c r="U1" s="607"/>
      <c r="X1" s="24"/>
    </row>
    <row r="2" spans="1:24" s="10" customFormat="1" ht="15" customHeight="1" x14ac:dyDescent="0.25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7"/>
      <c r="N2" s="607"/>
      <c r="O2" s="607"/>
      <c r="P2" s="607"/>
      <c r="Q2" s="607"/>
      <c r="R2" s="607"/>
      <c r="S2" s="607"/>
      <c r="T2" s="607"/>
      <c r="U2" s="607"/>
      <c r="X2" s="24"/>
    </row>
    <row r="3" spans="1:24" s="12" customFormat="1" ht="21.2" customHeight="1" x14ac:dyDescent="0.2">
      <c r="A3" s="606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8"/>
      <c r="N3" s="608"/>
      <c r="O3" s="608"/>
      <c r="P3" s="608"/>
      <c r="Q3" s="608"/>
      <c r="R3" s="608"/>
      <c r="S3" s="608"/>
      <c r="T3" s="608"/>
      <c r="U3" s="608"/>
      <c r="X3" s="25"/>
    </row>
    <row r="4" spans="1:24" s="22" customFormat="1" ht="94.9" customHeight="1" x14ac:dyDescent="0.25">
      <c r="A4" s="611" t="s">
        <v>454</v>
      </c>
      <c r="B4" s="604" t="s">
        <v>335</v>
      </c>
      <c r="C4" s="599" t="s">
        <v>529</v>
      </c>
      <c r="D4" s="601"/>
      <c r="E4" s="599" t="s">
        <v>530</v>
      </c>
      <c r="F4" s="600"/>
      <c r="G4" s="601"/>
      <c r="H4" s="599" t="s">
        <v>531</v>
      </c>
      <c r="I4" s="600"/>
      <c r="J4" s="601"/>
      <c r="K4" s="619" t="s">
        <v>539</v>
      </c>
      <c r="L4" s="601"/>
      <c r="M4" s="603" t="s">
        <v>539</v>
      </c>
      <c r="N4" s="601"/>
      <c r="O4" s="604" t="s">
        <v>533</v>
      </c>
      <c r="P4" s="604" t="s">
        <v>537</v>
      </c>
      <c r="Q4" s="604" t="s">
        <v>536</v>
      </c>
      <c r="R4" s="604" t="s">
        <v>538</v>
      </c>
      <c r="S4" s="604" t="s">
        <v>534</v>
      </c>
      <c r="T4" s="604" t="s">
        <v>535</v>
      </c>
      <c r="U4" s="614" t="s">
        <v>455</v>
      </c>
      <c r="X4" s="26"/>
    </row>
    <row r="5" spans="1:24" s="22" customFormat="1" ht="36" customHeight="1" x14ac:dyDescent="0.25">
      <c r="A5" s="612"/>
      <c r="B5" s="602"/>
      <c r="C5" s="602" t="s">
        <v>532</v>
      </c>
      <c r="D5" s="602" t="s">
        <v>524</v>
      </c>
      <c r="E5" s="602" t="s">
        <v>532</v>
      </c>
      <c r="F5" s="602" t="s">
        <v>524</v>
      </c>
      <c r="G5" s="618" t="s">
        <v>527</v>
      </c>
      <c r="H5" s="617" t="s">
        <v>532</v>
      </c>
      <c r="I5" s="602" t="s">
        <v>524</v>
      </c>
      <c r="J5" s="602" t="s">
        <v>528</v>
      </c>
      <c r="K5" s="599" t="s">
        <v>516</v>
      </c>
      <c r="L5" s="601"/>
      <c r="M5" s="600" t="s">
        <v>517</v>
      </c>
      <c r="N5" s="601"/>
      <c r="O5" s="602"/>
      <c r="P5" s="602"/>
      <c r="Q5" s="602"/>
      <c r="R5" s="602"/>
      <c r="S5" s="602"/>
      <c r="T5" s="602"/>
      <c r="U5" s="615"/>
      <c r="X5" s="26"/>
    </row>
    <row r="6" spans="1:24" s="22" customFormat="1" ht="39" customHeight="1" x14ac:dyDescent="0.25">
      <c r="A6" s="612"/>
      <c r="B6" s="602"/>
      <c r="C6" s="602"/>
      <c r="D6" s="602"/>
      <c r="E6" s="602"/>
      <c r="F6" s="602"/>
      <c r="G6" s="618"/>
      <c r="H6" s="617"/>
      <c r="I6" s="602"/>
      <c r="J6" s="602"/>
      <c r="K6" s="335" t="s">
        <v>525</v>
      </c>
      <c r="L6" s="335" t="s">
        <v>526</v>
      </c>
      <c r="M6" s="336" t="s">
        <v>525</v>
      </c>
      <c r="N6" s="335" t="s">
        <v>526</v>
      </c>
      <c r="O6" s="602"/>
      <c r="P6" s="602"/>
      <c r="Q6" s="602"/>
      <c r="R6" s="602"/>
      <c r="S6" s="602"/>
      <c r="T6" s="602"/>
      <c r="U6" s="615"/>
      <c r="X6" s="26"/>
    </row>
    <row r="7" spans="1:24" s="22" customFormat="1" ht="135" customHeight="1" x14ac:dyDescent="0.25">
      <c r="A7" s="613"/>
      <c r="B7" s="338" t="s">
        <v>326</v>
      </c>
      <c r="C7" s="339" t="s">
        <v>328</v>
      </c>
      <c r="D7" s="337" t="s">
        <v>520</v>
      </c>
      <c r="E7" s="338" t="s">
        <v>327</v>
      </c>
      <c r="F7" s="337" t="s">
        <v>520</v>
      </c>
      <c r="G7" s="337" t="s">
        <v>521</v>
      </c>
      <c r="H7" s="337" t="s">
        <v>515</v>
      </c>
      <c r="I7" s="337" t="s">
        <v>520</v>
      </c>
      <c r="J7" s="337" t="s">
        <v>522</v>
      </c>
      <c r="K7" s="337" t="s">
        <v>329</v>
      </c>
      <c r="L7" s="337" t="s">
        <v>330</v>
      </c>
      <c r="M7" s="338" t="s">
        <v>331</v>
      </c>
      <c r="N7" s="337" t="s">
        <v>332</v>
      </c>
      <c r="O7" s="339" t="s">
        <v>362</v>
      </c>
      <c r="P7" s="339" t="s">
        <v>363</v>
      </c>
      <c r="Q7" s="337" t="s">
        <v>333</v>
      </c>
      <c r="R7" s="337" t="s">
        <v>523</v>
      </c>
      <c r="S7" s="337" t="s">
        <v>519</v>
      </c>
      <c r="T7" s="339" t="s">
        <v>518</v>
      </c>
      <c r="U7" s="616"/>
      <c r="X7" s="26"/>
    </row>
    <row r="8" spans="1:24" ht="29.45" customHeight="1" x14ac:dyDescent="0.25">
      <c r="A8" s="340" t="s">
        <v>336</v>
      </c>
      <c r="B8" s="341">
        <v>20503568</v>
      </c>
      <c r="C8" s="341">
        <v>5018019</v>
      </c>
      <c r="D8" s="342">
        <v>12.15</v>
      </c>
      <c r="E8" s="341">
        <v>216372</v>
      </c>
      <c r="F8" s="351" t="s">
        <v>57</v>
      </c>
      <c r="G8" s="343">
        <v>4.3099999999999996</v>
      </c>
      <c r="H8" s="344">
        <v>198680</v>
      </c>
      <c r="I8" s="351" t="s">
        <v>57</v>
      </c>
      <c r="J8" s="343">
        <v>3.96</v>
      </c>
      <c r="K8" s="341">
        <v>10553</v>
      </c>
      <c r="L8" s="341">
        <v>393</v>
      </c>
      <c r="M8" s="341">
        <v>9690</v>
      </c>
      <c r="N8" s="341">
        <v>361</v>
      </c>
      <c r="O8" s="343">
        <v>47.54</v>
      </c>
      <c r="P8" s="343">
        <v>47.22</v>
      </c>
      <c r="Q8" s="343">
        <v>69.3</v>
      </c>
      <c r="R8" s="343">
        <v>52.66</v>
      </c>
      <c r="S8" s="345" t="s">
        <v>57</v>
      </c>
      <c r="T8" s="345" t="s">
        <v>57</v>
      </c>
      <c r="U8" s="346">
        <v>1991</v>
      </c>
    </row>
    <row r="9" spans="1:24" ht="29.45" customHeight="1" x14ac:dyDescent="0.25">
      <c r="A9" s="340" t="s">
        <v>337</v>
      </c>
      <c r="B9" s="347">
        <v>20704227</v>
      </c>
      <c r="C9" s="347">
        <v>5609357</v>
      </c>
      <c r="D9" s="348">
        <v>11.78</v>
      </c>
      <c r="E9" s="347">
        <v>276967</v>
      </c>
      <c r="F9" s="349">
        <v>28.01</v>
      </c>
      <c r="G9" s="348">
        <v>4.9400000000000004</v>
      </c>
      <c r="H9" s="350">
        <v>255043</v>
      </c>
      <c r="I9" s="348">
        <v>28.37</v>
      </c>
      <c r="J9" s="348">
        <v>4.55</v>
      </c>
      <c r="K9" s="347">
        <v>13377</v>
      </c>
      <c r="L9" s="347">
        <v>532</v>
      </c>
      <c r="M9" s="347">
        <v>12318</v>
      </c>
      <c r="N9" s="347">
        <v>490</v>
      </c>
      <c r="O9" s="348">
        <v>52.7</v>
      </c>
      <c r="P9" s="348">
        <v>53</v>
      </c>
      <c r="Q9" s="348">
        <v>76.38</v>
      </c>
      <c r="R9" s="348">
        <v>46.9</v>
      </c>
      <c r="S9" s="351" t="s">
        <v>57</v>
      </c>
      <c r="T9" s="351" t="s">
        <v>57</v>
      </c>
      <c r="U9" s="352">
        <v>1992</v>
      </c>
    </row>
    <row r="10" spans="1:24" ht="29.45" customHeight="1" x14ac:dyDescent="0.25">
      <c r="A10" s="340" t="s">
        <v>338</v>
      </c>
      <c r="B10" s="347">
        <v>20899019</v>
      </c>
      <c r="C10" s="347">
        <v>6200154</v>
      </c>
      <c r="D10" s="348">
        <v>10.53</v>
      </c>
      <c r="E10" s="347">
        <v>300974</v>
      </c>
      <c r="F10" s="349">
        <v>8.67</v>
      </c>
      <c r="G10" s="348">
        <v>4.8499999999999996</v>
      </c>
      <c r="H10" s="350">
        <v>277831</v>
      </c>
      <c r="I10" s="348">
        <v>8.93</v>
      </c>
      <c r="J10" s="348">
        <v>4.4800000000000004</v>
      </c>
      <c r="K10" s="347">
        <v>14401</v>
      </c>
      <c r="L10" s="347">
        <v>546</v>
      </c>
      <c r="M10" s="347">
        <v>13294</v>
      </c>
      <c r="N10" s="347">
        <v>504</v>
      </c>
      <c r="O10" s="348">
        <v>51.48</v>
      </c>
      <c r="P10" s="348">
        <v>51.54</v>
      </c>
      <c r="Q10" s="348">
        <v>75.45</v>
      </c>
      <c r="R10" s="348">
        <v>46.89</v>
      </c>
      <c r="S10" s="351" t="s">
        <v>57</v>
      </c>
      <c r="T10" s="351" t="s">
        <v>57</v>
      </c>
      <c r="U10" s="352">
        <v>1993</v>
      </c>
    </row>
    <row r="11" spans="1:24" ht="29.45" customHeight="1" x14ac:dyDescent="0.25">
      <c r="A11" s="340" t="s">
        <v>339</v>
      </c>
      <c r="B11" s="347">
        <v>21086645</v>
      </c>
      <c r="C11" s="347">
        <v>6779396</v>
      </c>
      <c r="D11" s="348">
        <v>9.34</v>
      </c>
      <c r="E11" s="347">
        <v>339196</v>
      </c>
      <c r="F11" s="349">
        <v>12.7</v>
      </c>
      <c r="G11" s="348">
        <v>5</v>
      </c>
      <c r="H11" s="350">
        <v>315764</v>
      </c>
      <c r="I11" s="348">
        <v>13.65</v>
      </c>
      <c r="J11" s="348">
        <v>4.66</v>
      </c>
      <c r="K11" s="347">
        <v>16086</v>
      </c>
      <c r="L11" s="347">
        <v>608</v>
      </c>
      <c r="M11" s="347">
        <v>14975</v>
      </c>
      <c r="N11" s="347">
        <v>566</v>
      </c>
      <c r="O11" s="348">
        <v>52.56</v>
      </c>
      <c r="P11" s="348">
        <v>52.61</v>
      </c>
      <c r="Q11" s="348">
        <v>78.19</v>
      </c>
      <c r="R11" s="348">
        <v>45.76</v>
      </c>
      <c r="S11" s="351" t="s">
        <v>57</v>
      </c>
      <c r="T11" s="351" t="s">
        <v>57</v>
      </c>
      <c r="U11" s="352">
        <v>1994</v>
      </c>
    </row>
    <row r="12" spans="1:24" ht="29.45" customHeight="1" x14ac:dyDescent="0.25">
      <c r="A12" s="340" t="s">
        <v>340</v>
      </c>
      <c r="B12" s="347">
        <v>21267653</v>
      </c>
      <c r="C12" s="347">
        <v>7391062</v>
      </c>
      <c r="D12" s="348">
        <v>9.02</v>
      </c>
      <c r="E12" s="347">
        <v>378679</v>
      </c>
      <c r="F12" s="349">
        <v>11.64</v>
      </c>
      <c r="G12" s="348">
        <v>5.12</v>
      </c>
      <c r="H12" s="350">
        <v>348240</v>
      </c>
      <c r="I12" s="348">
        <v>10.28</v>
      </c>
      <c r="J12" s="348">
        <v>4.71</v>
      </c>
      <c r="K12" s="347">
        <v>17805</v>
      </c>
      <c r="L12" s="347">
        <v>672</v>
      </c>
      <c r="M12" s="347">
        <v>16374</v>
      </c>
      <c r="N12" s="347">
        <v>618</v>
      </c>
      <c r="O12" s="348">
        <v>71.73</v>
      </c>
      <c r="P12" s="348">
        <v>74.22</v>
      </c>
      <c r="Q12" s="348">
        <v>87.02</v>
      </c>
      <c r="R12" s="348">
        <v>24.21</v>
      </c>
      <c r="S12" s="351" t="s">
        <v>57</v>
      </c>
      <c r="T12" s="351" t="s">
        <v>57</v>
      </c>
      <c r="U12" s="352">
        <v>1995</v>
      </c>
    </row>
    <row r="13" spans="1:24" ht="29.45" customHeight="1" x14ac:dyDescent="0.25">
      <c r="A13" s="353" t="s">
        <v>341</v>
      </c>
      <c r="B13" s="354">
        <v>21441432</v>
      </c>
      <c r="C13" s="354">
        <v>8031305</v>
      </c>
      <c r="D13" s="355">
        <v>8.66</v>
      </c>
      <c r="E13" s="354">
        <v>410782</v>
      </c>
      <c r="F13" s="356">
        <v>8.48</v>
      </c>
      <c r="G13" s="355">
        <v>5.1100000000000003</v>
      </c>
      <c r="H13" s="357">
        <v>377220</v>
      </c>
      <c r="I13" s="355">
        <v>8.32</v>
      </c>
      <c r="J13" s="355">
        <v>4.7</v>
      </c>
      <c r="K13" s="354">
        <v>19158</v>
      </c>
      <c r="L13" s="354">
        <v>698</v>
      </c>
      <c r="M13" s="354">
        <v>17593</v>
      </c>
      <c r="N13" s="354">
        <v>641</v>
      </c>
      <c r="O13" s="355">
        <v>67</v>
      </c>
      <c r="P13" s="355">
        <v>69.69</v>
      </c>
      <c r="Q13" s="355">
        <v>86.88</v>
      </c>
      <c r="R13" s="355">
        <v>28.71</v>
      </c>
      <c r="S13" s="355">
        <v>21.99</v>
      </c>
      <c r="T13" s="358">
        <v>1.03</v>
      </c>
      <c r="U13" s="359">
        <v>1996</v>
      </c>
    </row>
    <row r="14" spans="1:24" ht="29.45" customHeight="1" x14ac:dyDescent="0.25">
      <c r="A14" s="340" t="s">
        <v>342</v>
      </c>
      <c r="B14" s="347">
        <v>21634124</v>
      </c>
      <c r="C14" s="347">
        <v>8705149</v>
      </c>
      <c r="D14" s="348">
        <v>8.39</v>
      </c>
      <c r="E14" s="347">
        <v>445808</v>
      </c>
      <c r="F14" s="349">
        <v>8.5299999999999994</v>
      </c>
      <c r="G14" s="348">
        <v>5.12</v>
      </c>
      <c r="H14" s="350">
        <v>413829</v>
      </c>
      <c r="I14" s="348">
        <v>9.6999999999999993</v>
      </c>
      <c r="J14" s="348">
        <v>4.75</v>
      </c>
      <c r="K14" s="347">
        <v>20607</v>
      </c>
      <c r="L14" s="347">
        <v>718</v>
      </c>
      <c r="M14" s="347">
        <v>19129</v>
      </c>
      <c r="N14" s="347">
        <v>666</v>
      </c>
      <c r="O14" s="348">
        <v>64.510000000000005</v>
      </c>
      <c r="P14" s="348">
        <v>67.34</v>
      </c>
      <c r="Q14" s="348">
        <v>87.24</v>
      </c>
      <c r="R14" s="348">
        <v>30.86</v>
      </c>
      <c r="S14" s="348">
        <v>22.39</v>
      </c>
      <c r="T14" s="348">
        <v>1.06</v>
      </c>
      <c r="U14" s="352">
        <v>1997</v>
      </c>
    </row>
    <row r="15" spans="1:24" ht="29.45" customHeight="1" x14ac:dyDescent="0.25">
      <c r="A15" s="340" t="s">
        <v>343</v>
      </c>
      <c r="B15" s="347">
        <v>21835703</v>
      </c>
      <c r="C15" s="347">
        <v>9366337</v>
      </c>
      <c r="D15" s="348">
        <v>7.6</v>
      </c>
      <c r="E15" s="347">
        <v>489561</v>
      </c>
      <c r="F15" s="349">
        <v>9.81</v>
      </c>
      <c r="G15" s="348">
        <v>5.23</v>
      </c>
      <c r="H15" s="350">
        <v>453895</v>
      </c>
      <c r="I15" s="348">
        <v>9.68</v>
      </c>
      <c r="J15" s="348">
        <v>4.8499999999999996</v>
      </c>
      <c r="K15" s="347">
        <v>22420</v>
      </c>
      <c r="L15" s="347">
        <v>670</v>
      </c>
      <c r="M15" s="347">
        <v>20787</v>
      </c>
      <c r="N15" s="347">
        <v>621</v>
      </c>
      <c r="O15" s="348">
        <v>63.47</v>
      </c>
      <c r="P15" s="348">
        <v>66.83</v>
      </c>
      <c r="Q15" s="348">
        <v>88.22</v>
      </c>
      <c r="R15" s="348">
        <v>31.33</v>
      </c>
      <c r="S15" s="348">
        <v>22.91</v>
      </c>
      <c r="T15" s="348">
        <v>1.1100000000000001</v>
      </c>
      <c r="U15" s="352">
        <v>1998</v>
      </c>
    </row>
    <row r="16" spans="1:24" ht="29.45" customHeight="1" x14ac:dyDescent="0.25">
      <c r="A16" s="340" t="s">
        <v>344</v>
      </c>
      <c r="B16" s="347">
        <v>22010489</v>
      </c>
      <c r="C16" s="347">
        <v>9804503</v>
      </c>
      <c r="D16" s="348">
        <v>4.68</v>
      </c>
      <c r="E16" s="347">
        <v>528743</v>
      </c>
      <c r="F16" s="349">
        <v>8</v>
      </c>
      <c r="G16" s="348">
        <v>5.39</v>
      </c>
      <c r="H16" s="350">
        <v>491017</v>
      </c>
      <c r="I16" s="348">
        <v>8.18</v>
      </c>
      <c r="J16" s="348">
        <v>5.01</v>
      </c>
      <c r="K16" s="347">
        <v>24022</v>
      </c>
      <c r="L16" s="347">
        <v>744</v>
      </c>
      <c r="M16" s="347">
        <v>22308</v>
      </c>
      <c r="N16" s="347">
        <v>691</v>
      </c>
      <c r="O16" s="348">
        <v>63.19</v>
      </c>
      <c r="P16" s="348">
        <v>66.67</v>
      </c>
      <c r="Q16" s="348">
        <v>88.53</v>
      </c>
      <c r="R16" s="348">
        <v>31.59</v>
      </c>
      <c r="S16" s="348">
        <v>22.1</v>
      </c>
      <c r="T16" s="348">
        <v>1.1100000000000001</v>
      </c>
      <c r="U16" s="352">
        <v>1999</v>
      </c>
    </row>
    <row r="17" spans="1:21" ht="29.45" customHeight="1" x14ac:dyDescent="0.25">
      <c r="A17" s="340" t="s">
        <v>345</v>
      </c>
      <c r="B17" s="347">
        <v>22184530</v>
      </c>
      <c r="C17" s="347">
        <v>10328549</v>
      </c>
      <c r="D17" s="348">
        <v>5.34</v>
      </c>
      <c r="E17" s="347">
        <v>547807</v>
      </c>
      <c r="F17" s="349">
        <v>3.61</v>
      </c>
      <c r="G17" s="348">
        <v>5.3</v>
      </c>
      <c r="H17" s="350">
        <v>513409</v>
      </c>
      <c r="I17" s="348">
        <v>4.5599999999999996</v>
      </c>
      <c r="J17" s="348">
        <v>4.97</v>
      </c>
      <c r="K17" s="347">
        <v>24693</v>
      </c>
      <c r="L17" s="347">
        <v>791</v>
      </c>
      <c r="M17" s="347">
        <v>23143</v>
      </c>
      <c r="N17" s="347">
        <v>741</v>
      </c>
      <c r="O17" s="348">
        <v>62</v>
      </c>
      <c r="P17" s="348">
        <v>64.92</v>
      </c>
      <c r="Q17" s="348">
        <v>88.51</v>
      </c>
      <c r="R17" s="348">
        <v>32.950000000000003</v>
      </c>
      <c r="S17" s="348">
        <v>22</v>
      </c>
      <c r="T17" s="348">
        <v>1.0900000000000001</v>
      </c>
      <c r="U17" s="352">
        <v>2000</v>
      </c>
    </row>
    <row r="18" spans="1:21" ht="29.45" customHeight="1" x14ac:dyDescent="0.25">
      <c r="A18" s="353" t="s">
        <v>346</v>
      </c>
      <c r="B18" s="354">
        <v>22341120</v>
      </c>
      <c r="C18" s="354">
        <v>10119429</v>
      </c>
      <c r="D18" s="355">
        <v>-2.02</v>
      </c>
      <c r="E18" s="354">
        <v>573227</v>
      </c>
      <c r="F18" s="356">
        <v>4.6399999999999997</v>
      </c>
      <c r="G18" s="355">
        <v>5.66</v>
      </c>
      <c r="H18" s="357">
        <v>547668</v>
      </c>
      <c r="I18" s="355">
        <v>6.67</v>
      </c>
      <c r="J18" s="355">
        <v>5.41</v>
      </c>
      <c r="K18" s="354">
        <v>25658</v>
      </c>
      <c r="L18" s="354">
        <v>759</v>
      </c>
      <c r="M18" s="354">
        <v>24514</v>
      </c>
      <c r="N18" s="354">
        <v>725</v>
      </c>
      <c r="O18" s="355">
        <v>62.73</v>
      </c>
      <c r="P18" s="355">
        <v>64.150000000000006</v>
      </c>
      <c r="Q18" s="355">
        <v>88.18</v>
      </c>
      <c r="R18" s="355">
        <v>33.74</v>
      </c>
      <c r="S18" s="355">
        <v>21.22</v>
      </c>
      <c r="T18" s="355">
        <v>1.1499999999999999</v>
      </c>
      <c r="U18" s="359">
        <v>2001</v>
      </c>
    </row>
    <row r="19" spans="1:21" ht="29.45" customHeight="1" x14ac:dyDescent="0.25">
      <c r="A19" s="340" t="s">
        <v>347</v>
      </c>
      <c r="B19" s="347">
        <v>22463172</v>
      </c>
      <c r="C19" s="347">
        <v>10630911</v>
      </c>
      <c r="D19" s="348">
        <v>5.05</v>
      </c>
      <c r="E19" s="347">
        <v>617094</v>
      </c>
      <c r="F19" s="349">
        <v>7.65</v>
      </c>
      <c r="G19" s="348">
        <v>5.8</v>
      </c>
      <c r="H19" s="350">
        <v>584475</v>
      </c>
      <c r="I19" s="348">
        <v>6.72</v>
      </c>
      <c r="J19" s="348">
        <v>5.5</v>
      </c>
      <c r="K19" s="347">
        <v>27471</v>
      </c>
      <c r="L19" s="347">
        <v>794</v>
      </c>
      <c r="M19" s="347">
        <v>26019</v>
      </c>
      <c r="N19" s="347">
        <v>752</v>
      </c>
      <c r="O19" s="348">
        <v>60.99</v>
      </c>
      <c r="P19" s="348">
        <v>63.64</v>
      </c>
      <c r="Q19" s="348">
        <v>88.89</v>
      </c>
      <c r="R19" s="348">
        <v>34.44</v>
      </c>
      <c r="S19" s="348">
        <v>20.51</v>
      </c>
      <c r="T19" s="348">
        <v>1.1299999999999999</v>
      </c>
      <c r="U19" s="352">
        <v>2002</v>
      </c>
    </row>
    <row r="20" spans="1:21" ht="29.45" customHeight="1" x14ac:dyDescent="0.25">
      <c r="A20" s="340" t="s">
        <v>348</v>
      </c>
      <c r="B20" s="347">
        <v>22562663</v>
      </c>
      <c r="C20" s="347">
        <v>10924029</v>
      </c>
      <c r="D20" s="348">
        <v>2.76</v>
      </c>
      <c r="E20" s="347">
        <v>654797</v>
      </c>
      <c r="F20" s="349">
        <v>6.11</v>
      </c>
      <c r="G20" s="348">
        <v>5.99</v>
      </c>
      <c r="H20" s="350">
        <v>617319</v>
      </c>
      <c r="I20" s="348">
        <v>5.62</v>
      </c>
      <c r="J20" s="348">
        <v>5.65</v>
      </c>
      <c r="K20" s="347">
        <v>29021</v>
      </c>
      <c r="L20" s="347">
        <v>843</v>
      </c>
      <c r="M20" s="347">
        <v>27360</v>
      </c>
      <c r="N20" s="347">
        <v>795</v>
      </c>
      <c r="O20" s="348">
        <v>60.86</v>
      </c>
      <c r="P20" s="348">
        <v>62.98</v>
      </c>
      <c r="Q20" s="348">
        <v>88.3</v>
      </c>
      <c r="R20" s="348">
        <v>35.51</v>
      </c>
      <c r="S20" s="348">
        <v>20.41</v>
      </c>
      <c r="T20" s="348">
        <v>1.1499999999999999</v>
      </c>
      <c r="U20" s="352">
        <v>2003</v>
      </c>
    </row>
    <row r="21" spans="1:21" ht="29.45" customHeight="1" x14ac:dyDescent="0.25">
      <c r="A21" s="340" t="s">
        <v>349</v>
      </c>
      <c r="B21" s="347">
        <v>22646836</v>
      </c>
      <c r="C21" s="347">
        <v>11596241</v>
      </c>
      <c r="D21" s="348">
        <v>6.15</v>
      </c>
      <c r="E21" s="347">
        <v>709942</v>
      </c>
      <c r="F21" s="349">
        <v>8.42</v>
      </c>
      <c r="G21" s="348">
        <v>6.12</v>
      </c>
      <c r="H21" s="350">
        <v>666821</v>
      </c>
      <c r="I21" s="348">
        <v>8.02</v>
      </c>
      <c r="J21" s="348">
        <v>5.75</v>
      </c>
      <c r="K21" s="347">
        <v>31348</v>
      </c>
      <c r="L21" s="347">
        <v>938</v>
      </c>
      <c r="M21" s="347">
        <v>29444</v>
      </c>
      <c r="N21" s="347">
        <v>881</v>
      </c>
      <c r="O21" s="348">
        <v>59.12</v>
      </c>
      <c r="P21" s="348">
        <v>61.5</v>
      </c>
      <c r="Q21" s="348">
        <v>88.28</v>
      </c>
      <c r="R21" s="348">
        <v>37.21</v>
      </c>
      <c r="S21" s="348">
        <v>20.010000000000002</v>
      </c>
      <c r="T21" s="348">
        <v>1.1499999999999999</v>
      </c>
      <c r="U21" s="352">
        <v>2004</v>
      </c>
    </row>
    <row r="22" spans="1:21" ht="29.45" customHeight="1" x14ac:dyDescent="0.25">
      <c r="A22" s="340" t="s">
        <v>350</v>
      </c>
      <c r="B22" s="347">
        <v>22729753</v>
      </c>
      <c r="C22" s="347">
        <v>12036675</v>
      </c>
      <c r="D22" s="348">
        <v>3.8</v>
      </c>
      <c r="E22" s="347">
        <v>745620</v>
      </c>
      <c r="F22" s="349">
        <v>5.03</v>
      </c>
      <c r="G22" s="348">
        <v>6.19</v>
      </c>
      <c r="H22" s="350">
        <v>698724</v>
      </c>
      <c r="I22" s="348">
        <v>4.78</v>
      </c>
      <c r="J22" s="348">
        <v>5.8</v>
      </c>
      <c r="K22" s="347">
        <v>32804</v>
      </c>
      <c r="L22" s="347">
        <v>1019</v>
      </c>
      <c r="M22" s="347">
        <v>30741</v>
      </c>
      <c r="N22" s="347">
        <v>955</v>
      </c>
      <c r="O22" s="348">
        <v>57.39</v>
      </c>
      <c r="P22" s="348">
        <v>60.09</v>
      </c>
      <c r="Q22" s="348">
        <v>89</v>
      </c>
      <c r="R22" s="348">
        <v>38.58</v>
      </c>
      <c r="S22" s="348">
        <v>19.170000000000002</v>
      </c>
      <c r="T22" s="348">
        <v>1.1100000000000001</v>
      </c>
      <c r="U22" s="352">
        <v>2005</v>
      </c>
    </row>
    <row r="23" spans="1:21" ht="29.45" customHeight="1" x14ac:dyDescent="0.25">
      <c r="A23" s="353" t="s">
        <v>351</v>
      </c>
      <c r="B23" s="354">
        <v>22823455</v>
      </c>
      <c r="C23" s="354">
        <v>12572587</v>
      </c>
      <c r="D23" s="355">
        <v>4.45</v>
      </c>
      <c r="E23" s="354">
        <v>780461</v>
      </c>
      <c r="F23" s="356">
        <v>4.67</v>
      </c>
      <c r="G23" s="355">
        <v>6.21</v>
      </c>
      <c r="H23" s="357">
        <v>724079</v>
      </c>
      <c r="I23" s="355">
        <v>3.63</v>
      </c>
      <c r="J23" s="355">
        <v>5.76</v>
      </c>
      <c r="K23" s="354">
        <v>34196</v>
      </c>
      <c r="L23" s="354">
        <v>1051</v>
      </c>
      <c r="M23" s="354">
        <v>31725</v>
      </c>
      <c r="N23" s="354">
        <v>975</v>
      </c>
      <c r="O23" s="355">
        <v>56.85</v>
      </c>
      <c r="P23" s="355">
        <v>60.68</v>
      </c>
      <c r="Q23" s="355">
        <v>88.38</v>
      </c>
      <c r="R23" s="355">
        <v>38.159999999999997</v>
      </c>
      <c r="S23" s="355">
        <v>18.87</v>
      </c>
      <c r="T23" s="355">
        <v>1.0900000000000001</v>
      </c>
      <c r="U23" s="359">
        <v>2006</v>
      </c>
    </row>
    <row r="24" spans="1:21" ht="29.45" customHeight="1" x14ac:dyDescent="0.25">
      <c r="A24" s="340" t="s">
        <v>352</v>
      </c>
      <c r="B24" s="347">
        <v>22917444</v>
      </c>
      <c r="C24" s="347">
        <v>13363917</v>
      </c>
      <c r="D24" s="348">
        <v>6.29</v>
      </c>
      <c r="E24" s="347">
        <v>872330</v>
      </c>
      <c r="F24" s="349">
        <v>11.77</v>
      </c>
      <c r="G24" s="348">
        <v>6.53</v>
      </c>
      <c r="H24" s="350">
        <v>809604</v>
      </c>
      <c r="I24" s="348">
        <v>11.81</v>
      </c>
      <c r="J24" s="348">
        <v>6.06</v>
      </c>
      <c r="K24" s="347">
        <v>38064</v>
      </c>
      <c r="L24" s="347">
        <v>1159</v>
      </c>
      <c r="M24" s="347">
        <v>35327</v>
      </c>
      <c r="N24" s="347">
        <v>1076</v>
      </c>
      <c r="O24" s="348">
        <v>54.91</v>
      </c>
      <c r="P24" s="348">
        <v>57.39</v>
      </c>
      <c r="Q24" s="348">
        <v>87.66</v>
      </c>
      <c r="R24" s="348">
        <v>41.77</v>
      </c>
      <c r="S24" s="348">
        <v>17.82</v>
      </c>
      <c r="T24" s="348">
        <v>1.08</v>
      </c>
      <c r="U24" s="352">
        <v>2007</v>
      </c>
    </row>
    <row r="25" spans="1:21" ht="29.45" customHeight="1" x14ac:dyDescent="0.25">
      <c r="A25" s="340" t="s">
        <v>353</v>
      </c>
      <c r="B25" s="347">
        <v>22997696</v>
      </c>
      <c r="C25" s="347">
        <v>13115096</v>
      </c>
      <c r="D25" s="348">
        <v>-1.86</v>
      </c>
      <c r="E25" s="347">
        <v>899437</v>
      </c>
      <c r="F25" s="349">
        <v>3.11</v>
      </c>
      <c r="G25" s="348">
        <v>6.86</v>
      </c>
      <c r="H25" s="350">
        <v>833864</v>
      </c>
      <c r="I25" s="348">
        <v>3</v>
      </c>
      <c r="J25" s="348">
        <v>6.36</v>
      </c>
      <c r="K25" s="347">
        <v>39110</v>
      </c>
      <c r="L25" s="347">
        <v>1240</v>
      </c>
      <c r="M25" s="347">
        <v>36259</v>
      </c>
      <c r="N25" s="347">
        <v>1150</v>
      </c>
      <c r="O25" s="348">
        <v>54.76</v>
      </c>
      <c r="P25" s="348">
        <v>57.32</v>
      </c>
      <c r="Q25" s="348">
        <v>88.32</v>
      </c>
      <c r="R25" s="348">
        <v>41.96</v>
      </c>
      <c r="S25" s="348">
        <v>17.600000000000001</v>
      </c>
      <c r="T25" s="348">
        <v>1.1200000000000001</v>
      </c>
      <c r="U25" s="352">
        <v>2008</v>
      </c>
    </row>
    <row r="26" spans="1:21" ht="29.45" customHeight="1" x14ac:dyDescent="0.25">
      <c r="A26" s="340" t="s">
        <v>354</v>
      </c>
      <c r="B26" s="347">
        <v>23078402</v>
      </c>
      <c r="C26" s="347">
        <v>12919445</v>
      </c>
      <c r="D26" s="348">
        <v>-1.49</v>
      </c>
      <c r="E26" s="347">
        <v>940463</v>
      </c>
      <c r="F26" s="349">
        <v>4.5599999999999996</v>
      </c>
      <c r="G26" s="348">
        <v>7.28</v>
      </c>
      <c r="H26" s="350">
        <v>871190</v>
      </c>
      <c r="I26" s="348">
        <v>4.4800000000000004</v>
      </c>
      <c r="J26" s="348">
        <v>6.74</v>
      </c>
      <c r="K26" s="347">
        <v>40751</v>
      </c>
      <c r="L26" s="347">
        <v>1233</v>
      </c>
      <c r="M26" s="347">
        <v>37749</v>
      </c>
      <c r="N26" s="347">
        <v>1142</v>
      </c>
      <c r="O26" s="348">
        <v>55.42</v>
      </c>
      <c r="P26" s="348">
        <v>58.1</v>
      </c>
      <c r="Q26" s="348">
        <v>87.11</v>
      </c>
      <c r="R26" s="348">
        <v>41.06</v>
      </c>
      <c r="S26" s="348">
        <v>19.559999999999999</v>
      </c>
      <c r="T26" s="348">
        <v>1.32</v>
      </c>
      <c r="U26" s="352">
        <v>2009</v>
      </c>
    </row>
    <row r="27" spans="1:21" ht="29.45" customHeight="1" x14ac:dyDescent="0.25">
      <c r="A27" s="340" t="s">
        <v>355</v>
      </c>
      <c r="B27" s="347">
        <v>23140948</v>
      </c>
      <c r="C27" s="347">
        <v>14060345</v>
      </c>
      <c r="D27" s="348">
        <v>8.83</v>
      </c>
      <c r="E27" s="347">
        <v>958196</v>
      </c>
      <c r="F27" s="349">
        <v>1.89</v>
      </c>
      <c r="G27" s="348">
        <v>6.81</v>
      </c>
      <c r="H27" s="350">
        <v>891978</v>
      </c>
      <c r="I27" s="348">
        <v>2.39</v>
      </c>
      <c r="J27" s="348">
        <v>6.34</v>
      </c>
      <c r="K27" s="347">
        <v>41407</v>
      </c>
      <c r="L27" s="347">
        <v>1308</v>
      </c>
      <c r="M27" s="347">
        <v>38545</v>
      </c>
      <c r="N27" s="347">
        <v>1218</v>
      </c>
      <c r="O27" s="348">
        <v>55.78</v>
      </c>
      <c r="P27" s="348">
        <v>58.26</v>
      </c>
      <c r="Q27" s="348">
        <v>86.1</v>
      </c>
      <c r="R27" s="348">
        <v>41.05</v>
      </c>
      <c r="S27" s="348">
        <v>20.51</v>
      </c>
      <c r="T27" s="348">
        <v>1.3</v>
      </c>
      <c r="U27" s="352">
        <v>2010</v>
      </c>
    </row>
    <row r="28" spans="1:21" ht="29.45" customHeight="1" x14ac:dyDescent="0.25">
      <c r="A28" s="353" t="s">
        <v>356</v>
      </c>
      <c r="B28" s="354">
        <v>23193518</v>
      </c>
      <c r="C28" s="354">
        <v>14262201</v>
      </c>
      <c r="D28" s="355">
        <v>1.44</v>
      </c>
      <c r="E28" s="354">
        <v>990847</v>
      </c>
      <c r="F28" s="356">
        <v>3.41</v>
      </c>
      <c r="G28" s="355">
        <v>6.95</v>
      </c>
      <c r="H28" s="357">
        <v>919365</v>
      </c>
      <c r="I28" s="355">
        <v>3.07</v>
      </c>
      <c r="J28" s="355">
        <v>6.45</v>
      </c>
      <c r="K28" s="354">
        <v>42721</v>
      </c>
      <c r="L28" s="354">
        <v>1450</v>
      </c>
      <c r="M28" s="354">
        <v>39639</v>
      </c>
      <c r="N28" s="354">
        <v>1345</v>
      </c>
      <c r="O28" s="355">
        <v>55.4</v>
      </c>
      <c r="P28" s="355">
        <v>58.02</v>
      </c>
      <c r="Q28" s="355">
        <v>86.93</v>
      </c>
      <c r="R28" s="355">
        <v>41.11</v>
      </c>
      <c r="S28" s="355">
        <v>19.45</v>
      </c>
      <c r="T28" s="355">
        <v>1.25</v>
      </c>
      <c r="U28" s="359">
        <v>2011</v>
      </c>
    </row>
    <row r="29" spans="1:21" ht="29.45" customHeight="1" x14ac:dyDescent="0.25">
      <c r="A29" s="340" t="s">
        <v>357</v>
      </c>
      <c r="B29" s="347">
        <v>23270367</v>
      </c>
      <c r="C29" s="347">
        <v>14677765</v>
      </c>
      <c r="D29" s="348">
        <v>2.91</v>
      </c>
      <c r="E29" s="347">
        <v>1008478</v>
      </c>
      <c r="F29" s="349">
        <v>1.78</v>
      </c>
      <c r="G29" s="348">
        <v>6.87</v>
      </c>
      <c r="H29" s="350">
        <v>950742</v>
      </c>
      <c r="I29" s="348">
        <v>3.41</v>
      </c>
      <c r="J29" s="348">
        <v>6.48</v>
      </c>
      <c r="K29" s="347">
        <v>43337</v>
      </c>
      <c r="L29" s="347">
        <v>1463</v>
      </c>
      <c r="M29" s="347">
        <v>40856</v>
      </c>
      <c r="N29" s="347">
        <v>1379</v>
      </c>
      <c r="O29" s="348">
        <v>56.37</v>
      </c>
      <c r="P29" s="348">
        <v>58.45</v>
      </c>
      <c r="Q29" s="348">
        <v>87.44</v>
      </c>
      <c r="R29" s="348">
        <v>40.61</v>
      </c>
      <c r="S29" s="348">
        <v>18.010000000000002</v>
      </c>
      <c r="T29" s="348">
        <v>1.17</v>
      </c>
      <c r="U29" s="352">
        <v>2012</v>
      </c>
    </row>
    <row r="30" spans="1:21" ht="29.45" customHeight="1" x14ac:dyDescent="0.25">
      <c r="A30" s="340" t="s">
        <v>358</v>
      </c>
      <c r="B30" s="347">
        <v>23344670</v>
      </c>
      <c r="C30" s="347">
        <v>15270728</v>
      </c>
      <c r="D30" s="348">
        <v>4.04</v>
      </c>
      <c r="E30" s="347">
        <v>1055830</v>
      </c>
      <c r="F30" s="349">
        <v>4.7</v>
      </c>
      <c r="G30" s="348">
        <v>6.91</v>
      </c>
      <c r="H30" s="350">
        <v>988896</v>
      </c>
      <c r="I30" s="348">
        <v>4.01</v>
      </c>
      <c r="J30" s="348">
        <v>6.48</v>
      </c>
      <c r="K30" s="347">
        <v>45228</v>
      </c>
      <c r="L30" s="347">
        <v>1519</v>
      </c>
      <c r="M30" s="347">
        <v>42361</v>
      </c>
      <c r="N30" s="347">
        <v>1423</v>
      </c>
      <c r="O30" s="348">
        <v>56.34</v>
      </c>
      <c r="P30" s="348">
        <v>58.73</v>
      </c>
      <c r="Q30" s="348">
        <v>87.4</v>
      </c>
      <c r="R30" s="348">
        <v>40.4</v>
      </c>
      <c r="S30" s="348">
        <v>18.32</v>
      </c>
      <c r="T30" s="348">
        <v>1.19</v>
      </c>
      <c r="U30" s="352">
        <v>2013</v>
      </c>
    </row>
    <row r="31" spans="1:21" ht="29.45" customHeight="1" x14ac:dyDescent="0.25">
      <c r="A31" s="340" t="s">
        <v>359</v>
      </c>
      <c r="B31" s="347">
        <v>23403635</v>
      </c>
      <c r="C31" s="347">
        <v>16258047</v>
      </c>
      <c r="D31" s="348">
        <v>6.47</v>
      </c>
      <c r="E31" s="347">
        <v>1103266</v>
      </c>
      <c r="F31" s="349">
        <v>4.49</v>
      </c>
      <c r="G31" s="348">
        <v>6.79</v>
      </c>
      <c r="H31" s="350">
        <v>1032400</v>
      </c>
      <c r="I31" s="348">
        <v>4.4000000000000004</v>
      </c>
      <c r="J31" s="348">
        <v>6.35</v>
      </c>
      <c r="K31" s="347">
        <v>47141</v>
      </c>
      <c r="L31" s="347">
        <v>1552</v>
      </c>
      <c r="M31" s="347">
        <v>44113</v>
      </c>
      <c r="N31" s="347">
        <v>1453</v>
      </c>
      <c r="O31" s="348">
        <v>56.52</v>
      </c>
      <c r="P31" s="348">
        <v>58.95</v>
      </c>
      <c r="Q31" s="348">
        <v>86.08</v>
      </c>
      <c r="R31" s="348">
        <v>40.17</v>
      </c>
      <c r="S31" s="348">
        <v>18.05</v>
      </c>
      <c r="T31" s="348">
        <v>1.1499999999999999</v>
      </c>
      <c r="U31" s="352">
        <v>2014</v>
      </c>
    </row>
    <row r="32" spans="1:21" ht="29.45" customHeight="1" x14ac:dyDescent="0.25">
      <c r="A32" s="340" t="s">
        <v>360</v>
      </c>
      <c r="B32" s="347">
        <v>23462914</v>
      </c>
      <c r="C32" s="347">
        <v>17055080</v>
      </c>
      <c r="D32" s="348">
        <v>4.9000000000000004</v>
      </c>
      <c r="E32" s="347">
        <v>1145900</v>
      </c>
      <c r="F32" s="349">
        <v>3.86</v>
      </c>
      <c r="G32" s="348">
        <v>6.72</v>
      </c>
      <c r="H32" s="350">
        <v>1072700</v>
      </c>
      <c r="I32" s="348">
        <v>3.9</v>
      </c>
      <c r="J32" s="348">
        <v>6.29</v>
      </c>
      <c r="K32" s="347">
        <v>48839</v>
      </c>
      <c r="L32" s="347">
        <v>1531</v>
      </c>
      <c r="M32" s="347">
        <v>45719</v>
      </c>
      <c r="N32" s="347">
        <v>1433</v>
      </c>
      <c r="O32" s="348">
        <v>56.68</v>
      </c>
      <c r="P32" s="348">
        <v>59.16</v>
      </c>
      <c r="Q32" s="348">
        <v>85.67</v>
      </c>
      <c r="R32" s="348">
        <v>39.909999999999997</v>
      </c>
      <c r="S32" s="348">
        <v>17.5</v>
      </c>
      <c r="T32" s="348">
        <v>1.1000000000000001</v>
      </c>
      <c r="U32" s="352">
        <v>2015</v>
      </c>
    </row>
    <row r="33" spans="1:24" ht="29.45" customHeight="1" x14ac:dyDescent="0.25">
      <c r="A33" s="353" t="s">
        <v>361</v>
      </c>
      <c r="B33" s="354">
        <v>23515945</v>
      </c>
      <c r="C33" s="354">
        <v>17555268</v>
      </c>
      <c r="D33" s="355">
        <v>2.93</v>
      </c>
      <c r="E33" s="354">
        <v>1205957</v>
      </c>
      <c r="F33" s="356">
        <v>5.24</v>
      </c>
      <c r="G33" s="355">
        <v>6.87</v>
      </c>
      <c r="H33" s="357">
        <v>1118888</v>
      </c>
      <c r="I33" s="355">
        <v>4.3099999999999996</v>
      </c>
      <c r="J33" s="356">
        <v>6.37</v>
      </c>
      <c r="K33" s="354">
        <v>51283</v>
      </c>
      <c r="L33" s="354">
        <v>1586</v>
      </c>
      <c r="M33" s="354">
        <v>47580</v>
      </c>
      <c r="N33" s="354">
        <v>1472</v>
      </c>
      <c r="O33" s="355">
        <v>56.36</v>
      </c>
      <c r="P33" s="355">
        <v>59.25</v>
      </c>
      <c r="Q33" s="355">
        <v>86.57</v>
      </c>
      <c r="R33" s="355">
        <v>39.81</v>
      </c>
      <c r="S33" s="355">
        <v>17.48</v>
      </c>
      <c r="T33" s="355">
        <v>1.1100000000000001</v>
      </c>
      <c r="U33" s="359">
        <v>2016</v>
      </c>
    </row>
    <row r="34" spans="1:24" ht="29.45" customHeight="1" x14ac:dyDescent="0.25">
      <c r="A34" s="340" t="s">
        <v>374</v>
      </c>
      <c r="B34" s="347">
        <v>23555522</v>
      </c>
      <c r="C34" s="347">
        <v>18012387</v>
      </c>
      <c r="D34" s="348">
        <v>2.6</v>
      </c>
      <c r="E34" s="347">
        <v>1276081</v>
      </c>
      <c r="F34" s="349">
        <v>5.81</v>
      </c>
      <c r="G34" s="348">
        <v>7.08</v>
      </c>
      <c r="H34" s="350">
        <v>1193126</v>
      </c>
      <c r="I34" s="348">
        <v>6.63</v>
      </c>
      <c r="J34" s="349">
        <v>6.62</v>
      </c>
      <c r="K34" s="347">
        <v>54173</v>
      </c>
      <c r="L34" s="347">
        <v>1780</v>
      </c>
      <c r="M34" s="347">
        <v>50652</v>
      </c>
      <c r="N34" s="347">
        <v>1664</v>
      </c>
      <c r="O34" s="348">
        <v>56.41</v>
      </c>
      <c r="P34" s="348">
        <v>58.77</v>
      </c>
      <c r="Q34" s="348">
        <v>86.32</v>
      </c>
      <c r="R34" s="348">
        <v>40.35</v>
      </c>
      <c r="S34" s="348">
        <v>17.55</v>
      </c>
      <c r="T34" s="348">
        <v>1.1599999999999999</v>
      </c>
      <c r="U34" s="352">
        <v>2017</v>
      </c>
    </row>
    <row r="35" spans="1:24" ht="29.45" customHeight="1" x14ac:dyDescent="0.25">
      <c r="A35" s="340" t="s">
        <v>373</v>
      </c>
      <c r="B35" s="347">
        <v>23580080</v>
      </c>
      <c r="C35" s="347">
        <v>18420039</v>
      </c>
      <c r="D35" s="348">
        <v>2.2599999999999998</v>
      </c>
      <c r="E35" s="347">
        <v>1359367</v>
      </c>
      <c r="F35" s="349">
        <v>6.53</v>
      </c>
      <c r="G35" s="348">
        <v>7.38</v>
      </c>
      <c r="H35" s="350">
        <v>1264239</v>
      </c>
      <c r="I35" s="348">
        <v>5.96</v>
      </c>
      <c r="J35" s="349">
        <v>6.86</v>
      </c>
      <c r="K35" s="347">
        <v>57649</v>
      </c>
      <c r="L35" s="347">
        <v>1911</v>
      </c>
      <c r="M35" s="347">
        <v>53615</v>
      </c>
      <c r="N35" s="347">
        <v>1778</v>
      </c>
      <c r="O35" s="348">
        <v>56.41</v>
      </c>
      <c r="P35" s="348">
        <v>58.83</v>
      </c>
      <c r="Q35" s="348">
        <v>85.82</v>
      </c>
      <c r="R35" s="348">
        <v>40.31</v>
      </c>
      <c r="S35" s="348">
        <v>17.489999999999998</v>
      </c>
      <c r="T35" s="360">
        <v>1.2</v>
      </c>
      <c r="U35" s="361">
        <v>2018</v>
      </c>
    </row>
    <row r="36" spans="1:24" ht="29.45" customHeight="1" x14ac:dyDescent="0.25">
      <c r="A36" s="340" t="s">
        <v>379</v>
      </c>
      <c r="B36" s="347">
        <v>23596027</v>
      </c>
      <c r="C36" s="347">
        <v>18974097</v>
      </c>
      <c r="D36" s="348">
        <v>3.01</v>
      </c>
      <c r="E36" s="347">
        <v>1421046</v>
      </c>
      <c r="F36" s="349">
        <v>4.54</v>
      </c>
      <c r="G36" s="348">
        <v>7.49</v>
      </c>
      <c r="H36" s="350">
        <v>1330375</v>
      </c>
      <c r="I36" s="348">
        <v>5.23</v>
      </c>
      <c r="J36" s="349">
        <v>7.01</v>
      </c>
      <c r="K36" s="347">
        <v>60224</v>
      </c>
      <c r="L36" s="347">
        <v>1947</v>
      </c>
      <c r="M36" s="347">
        <v>56381</v>
      </c>
      <c r="N36" s="347">
        <v>1823</v>
      </c>
      <c r="O36" s="348">
        <v>56.52</v>
      </c>
      <c r="P36" s="348">
        <v>58.55</v>
      </c>
      <c r="Q36" s="348">
        <v>84.98</v>
      </c>
      <c r="R36" s="348">
        <v>40.56</v>
      </c>
      <c r="S36" s="348">
        <v>17.57</v>
      </c>
      <c r="T36" s="360">
        <v>1.23</v>
      </c>
      <c r="U36" s="361">
        <v>2019</v>
      </c>
    </row>
    <row r="37" spans="1:24" ht="29.45" customHeight="1" x14ac:dyDescent="0.25">
      <c r="A37" s="340" t="s">
        <v>396</v>
      </c>
      <c r="B37" s="347">
        <v>23582179</v>
      </c>
      <c r="C37" s="347">
        <v>20023752</v>
      </c>
      <c r="D37" s="348">
        <v>5.53</v>
      </c>
      <c r="E37" s="347">
        <v>1537092</v>
      </c>
      <c r="F37" s="349">
        <v>8.17</v>
      </c>
      <c r="G37" s="348">
        <v>7.68</v>
      </c>
      <c r="H37" s="350">
        <v>1433302</v>
      </c>
      <c r="I37" s="348">
        <v>7.74</v>
      </c>
      <c r="J37" s="349">
        <v>7.16</v>
      </c>
      <c r="K37" s="347">
        <v>65180</v>
      </c>
      <c r="L37" s="347">
        <v>2204</v>
      </c>
      <c r="M37" s="347">
        <v>60779</v>
      </c>
      <c r="N37" s="347">
        <v>2055</v>
      </c>
      <c r="O37" s="348">
        <v>57.35</v>
      </c>
      <c r="P37" s="348">
        <v>59.47</v>
      </c>
      <c r="Q37" s="348">
        <v>82.21</v>
      </c>
      <c r="R37" s="348">
        <v>39.64</v>
      </c>
      <c r="S37" s="348">
        <v>17.53</v>
      </c>
      <c r="T37" s="360">
        <v>1.26</v>
      </c>
      <c r="U37" s="361">
        <v>2020</v>
      </c>
    </row>
    <row r="38" spans="1:24" ht="29.45" customHeight="1" x14ac:dyDescent="0.25">
      <c r="A38" s="362" t="s">
        <v>540</v>
      </c>
      <c r="B38" s="354">
        <v>23468275</v>
      </c>
      <c r="C38" s="354">
        <v>21773291</v>
      </c>
      <c r="D38" s="355">
        <v>8.74</v>
      </c>
      <c r="E38" s="354">
        <v>1653437</v>
      </c>
      <c r="F38" s="356">
        <v>7.57</v>
      </c>
      <c r="G38" s="355">
        <v>7.59</v>
      </c>
      <c r="H38" s="357">
        <v>1548961</v>
      </c>
      <c r="I38" s="355">
        <v>8.07</v>
      </c>
      <c r="J38" s="356">
        <v>7.11</v>
      </c>
      <c r="K38" s="354">
        <v>70454</v>
      </c>
      <c r="L38" s="354">
        <v>2514</v>
      </c>
      <c r="M38" s="354">
        <v>66002</v>
      </c>
      <c r="N38" s="354">
        <v>2356</v>
      </c>
      <c r="O38" s="355">
        <v>59.65</v>
      </c>
      <c r="P38" s="355">
        <v>61.94</v>
      </c>
      <c r="Q38" s="355">
        <v>76.37</v>
      </c>
      <c r="R38" s="355">
        <v>37.159999999999997</v>
      </c>
      <c r="S38" s="355">
        <v>17.45</v>
      </c>
      <c r="T38" s="358">
        <v>1.24</v>
      </c>
      <c r="U38" s="363">
        <v>2021</v>
      </c>
    </row>
    <row r="39" spans="1:24" ht="29.45" customHeight="1" x14ac:dyDescent="0.25">
      <c r="A39" s="340" t="s">
        <v>406</v>
      </c>
      <c r="B39" s="347">
        <v>23319977</v>
      </c>
      <c r="C39" s="347">
        <v>22820430</v>
      </c>
      <c r="D39" s="348">
        <v>4.8099999999999996</v>
      </c>
      <c r="E39" s="347">
        <v>1770439</v>
      </c>
      <c r="F39" s="349">
        <v>7.0762901761603159</v>
      </c>
      <c r="G39" s="348">
        <v>7.76</v>
      </c>
      <c r="H39" s="350">
        <v>1667225</v>
      </c>
      <c r="I39" s="349">
        <v>7.64</v>
      </c>
      <c r="J39" s="349">
        <v>7.31</v>
      </c>
      <c r="K39" s="347">
        <v>75919</v>
      </c>
      <c r="L39" s="347">
        <v>2547</v>
      </c>
      <c r="M39" s="347">
        <v>71493</v>
      </c>
      <c r="N39" s="347">
        <v>2398</v>
      </c>
      <c r="O39" s="348">
        <v>60.29</v>
      </c>
      <c r="P39" s="348">
        <v>62.08</v>
      </c>
      <c r="Q39" s="348">
        <v>72.88</v>
      </c>
      <c r="R39" s="348">
        <v>37.08</v>
      </c>
      <c r="S39" s="348">
        <v>17.84</v>
      </c>
      <c r="T39" s="360">
        <v>1.3</v>
      </c>
      <c r="U39" s="361">
        <v>2022</v>
      </c>
    </row>
    <row r="40" spans="1:24" ht="29.45" customHeight="1" x14ac:dyDescent="0.25">
      <c r="A40" s="340" t="s">
        <v>541</v>
      </c>
      <c r="B40" s="347">
        <v>23342541</v>
      </c>
      <c r="C40" s="347">
        <v>23598348</v>
      </c>
      <c r="D40" s="348">
        <v>3.41</v>
      </c>
      <c r="E40" s="347">
        <v>1835285</v>
      </c>
      <c r="F40" s="349">
        <v>3.6626970707830164</v>
      </c>
      <c r="G40" s="348">
        <v>7.78</v>
      </c>
      <c r="H40" s="350">
        <v>1710400</v>
      </c>
      <c r="I40" s="349">
        <v>2.59</v>
      </c>
      <c r="J40" s="349">
        <v>7.25</v>
      </c>
      <c r="K40" s="347">
        <v>78624</v>
      </c>
      <c r="L40" s="347">
        <v>2523</v>
      </c>
      <c r="M40" s="347">
        <v>73274</v>
      </c>
      <c r="N40" s="347">
        <v>2352</v>
      </c>
      <c r="O40" s="348">
        <v>58.04</v>
      </c>
      <c r="P40" s="348">
        <v>60.3</v>
      </c>
      <c r="Q40" s="348">
        <v>75.86</v>
      </c>
      <c r="R40" s="348">
        <v>38.78</v>
      </c>
      <c r="S40" s="348">
        <v>16.11</v>
      </c>
      <c r="T40" s="360">
        <v>1.17</v>
      </c>
      <c r="U40" s="352">
        <v>2023</v>
      </c>
    </row>
    <row r="41" spans="1:24" ht="29.45" customHeight="1" x14ac:dyDescent="0.25">
      <c r="A41" s="364" t="s">
        <v>572</v>
      </c>
      <c r="B41" s="365">
        <v>23410331</v>
      </c>
      <c r="C41" s="365">
        <v>25737088</v>
      </c>
      <c r="D41" s="366">
        <v>9.06</v>
      </c>
      <c r="E41" s="365">
        <v>1889666</v>
      </c>
      <c r="F41" s="367">
        <v>2.9631000761640713</v>
      </c>
      <c r="G41" s="366">
        <v>7.34</v>
      </c>
      <c r="H41" s="368">
        <v>1764101</v>
      </c>
      <c r="I41" s="367">
        <v>3.14</v>
      </c>
      <c r="J41" s="367">
        <v>6.85</v>
      </c>
      <c r="K41" s="365">
        <v>80719</v>
      </c>
      <c r="L41" s="365">
        <v>2514</v>
      </c>
      <c r="M41" s="365">
        <v>75356</v>
      </c>
      <c r="N41" s="365">
        <v>2347</v>
      </c>
      <c r="O41" s="366">
        <v>57.2</v>
      </c>
      <c r="P41" s="366">
        <v>59.15</v>
      </c>
      <c r="Q41" s="366">
        <v>78.290000000000006</v>
      </c>
      <c r="R41" s="366">
        <v>39.89</v>
      </c>
      <c r="S41" s="366">
        <v>16.309999999999999</v>
      </c>
      <c r="T41" s="369">
        <v>1.1200000000000001</v>
      </c>
      <c r="U41" s="370">
        <v>2024</v>
      </c>
    </row>
    <row r="42" spans="1:24" ht="16.5" x14ac:dyDescent="0.25">
      <c r="A42" s="371" t="s">
        <v>364</v>
      </c>
      <c r="B42" s="372"/>
      <c r="C42" s="372"/>
      <c r="D42" s="372"/>
      <c r="E42" s="373"/>
      <c r="F42" s="373"/>
      <c r="G42" s="374"/>
      <c r="H42" s="374"/>
      <c r="I42" s="374"/>
      <c r="J42" s="374"/>
      <c r="K42" s="374"/>
      <c r="L42" s="374"/>
      <c r="M42" s="375" t="s">
        <v>370</v>
      </c>
      <c r="N42" s="374"/>
      <c r="O42" s="374"/>
      <c r="P42" s="374"/>
      <c r="Q42" s="375"/>
      <c r="R42" s="375"/>
      <c r="S42" s="375"/>
      <c r="T42" s="376"/>
      <c r="U42" s="374"/>
      <c r="W42" s="27"/>
      <c r="X42" s="21"/>
    </row>
    <row r="43" spans="1:24" s="18" customFormat="1" ht="16.5" x14ac:dyDescent="0.25">
      <c r="A43" s="372" t="s">
        <v>267</v>
      </c>
      <c r="B43" s="372"/>
      <c r="C43" s="372"/>
      <c r="D43" s="377"/>
      <c r="E43" s="372"/>
      <c r="F43" s="372"/>
      <c r="G43" s="377"/>
      <c r="H43" s="377"/>
      <c r="I43" s="377"/>
      <c r="J43" s="377"/>
      <c r="K43" s="372"/>
      <c r="L43" s="372"/>
      <c r="M43" s="63" t="s">
        <v>369</v>
      </c>
      <c r="N43" s="63"/>
      <c r="O43" s="63"/>
      <c r="P43" s="63"/>
      <c r="Q43" s="63"/>
      <c r="R43" s="63"/>
      <c r="S43" s="63"/>
      <c r="T43" s="63"/>
      <c r="U43" s="372"/>
    </row>
    <row r="44" spans="1:24" s="18" customFormat="1" ht="16.5" x14ac:dyDescent="0.25">
      <c r="A44" s="372" t="s">
        <v>269</v>
      </c>
      <c r="B44" s="372"/>
      <c r="C44" s="372"/>
      <c r="D44" s="377"/>
      <c r="E44" s="372"/>
      <c r="F44" s="372"/>
      <c r="G44" s="377"/>
      <c r="H44" s="377"/>
      <c r="I44" s="377"/>
      <c r="J44" s="377"/>
      <c r="K44" s="372"/>
      <c r="L44" s="372"/>
      <c r="M44" s="378" t="s">
        <v>365</v>
      </c>
      <c r="N44" s="63"/>
      <c r="O44" s="63"/>
      <c r="P44" s="63"/>
      <c r="Q44" s="63"/>
      <c r="R44" s="63"/>
      <c r="S44" s="63"/>
      <c r="T44" s="63"/>
      <c r="U44" s="372"/>
    </row>
    <row r="45" spans="1:24" s="18" customFormat="1" x14ac:dyDescent="0.25">
      <c r="A45" s="372" t="s">
        <v>564</v>
      </c>
      <c r="B45" s="372"/>
      <c r="C45" s="372"/>
      <c r="D45" s="377"/>
      <c r="E45" s="372"/>
      <c r="F45" s="372"/>
      <c r="G45" s="377"/>
      <c r="H45" s="377"/>
      <c r="I45" s="377"/>
      <c r="J45" s="377"/>
      <c r="K45" s="372"/>
      <c r="L45" s="377"/>
      <c r="M45" s="63" t="s">
        <v>393</v>
      </c>
      <c r="N45" s="63"/>
      <c r="O45" s="63"/>
      <c r="P45" s="63"/>
      <c r="Q45" s="63"/>
      <c r="R45" s="63"/>
      <c r="S45" s="63"/>
      <c r="T45" s="63"/>
      <c r="U45" s="372"/>
    </row>
    <row r="46" spans="1:24" s="18" customFormat="1" ht="15.75" customHeight="1" x14ac:dyDescent="0.25">
      <c r="A46" s="372" t="s">
        <v>565</v>
      </c>
      <c r="B46" s="372"/>
      <c r="C46" s="372"/>
      <c r="D46" s="377"/>
      <c r="E46" s="372"/>
      <c r="F46" s="372"/>
      <c r="G46" s="377"/>
      <c r="H46" s="377"/>
      <c r="I46" s="377"/>
      <c r="J46" s="377"/>
      <c r="K46" s="372"/>
      <c r="L46" s="377"/>
      <c r="M46" s="63" t="s">
        <v>367</v>
      </c>
      <c r="N46" s="63"/>
      <c r="O46" s="63"/>
      <c r="P46" s="63"/>
      <c r="Q46" s="63"/>
      <c r="R46" s="63"/>
      <c r="S46" s="63"/>
      <c r="T46" s="63"/>
      <c r="U46" s="372"/>
    </row>
    <row r="47" spans="1:24" s="10" customFormat="1" ht="15.75" customHeight="1" x14ac:dyDescent="0.25">
      <c r="A47" s="379" t="s">
        <v>334</v>
      </c>
      <c r="B47" s="331"/>
      <c r="C47" s="331"/>
      <c r="D47" s="380"/>
      <c r="E47" s="331"/>
      <c r="F47" s="331"/>
      <c r="G47" s="380"/>
      <c r="H47" s="380"/>
      <c r="I47" s="380"/>
      <c r="J47" s="380"/>
      <c r="K47" s="331"/>
      <c r="L47" s="380"/>
      <c r="M47" s="63" t="s">
        <v>368</v>
      </c>
      <c r="N47" s="63"/>
      <c r="O47" s="63"/>
      <c r="P47" s="63"/>
      <c r="Q47" s="63"/>
      <c r="R47" s="73"/>
      <c r="S47" s="73"/>
      <c r="T47" s="63"/>
      <c r="U47" s="331"/>
    </row>
    <row r="48" spans="1:24" x14ac:dyDescent="0.25">
      <c r="A48" s="379" t="s">
        <v>456</v>
      </c>
      <c r="B48" s="372"/>
      <c r="C48" s="372"/>
      <c r="D48" s="372"/>
      <c r="E48" s="373"/>
      <c r="F48" s="373"/>
      <c r="G48" s="374"/>
      <c r="H48" s="374"/>
      <c r="I48" s="374"/>
      <c r="J48" s="374"/>
      <c r="K48" s="374"/>
      <c r="L48" s="374"/>
      <c r="M48" s="609" t="s">
        <v>366</v>
      </c>
      <c r="N48" s="610"/>
      <c r="O48" s="610"/>
      <c r="P48" s="610"/>
      <c r="Q48" s="610"/>
      <c r="R48" s="610"/>
      <c r="S48" s="610"/>
      <c r="T48" s="610"/>
      <c r="U48" s="374"/>
      <c r="W48" s="27"/>
      <c r="X48" s="21"/>
    </row>
    <row r="49" spans="1:24" x14ac:dyDescent="0.25">
      <c r="A49" s="372"/>
      <c r="B49" s="372"/>
      <c r="C49" s="372"/>
      <c r="D49" s="372"/>
      <c r="E49" s="373"/>
      <c r="F49" s="373"/>
      <c r="G49" s="374"/>
      <c r="H49" s="374"/>
      <c r="I49" s="374"/>
      <c r="J49" s="374"/>
      <c r="K49" s="374"/>
      <c r="L49" s="374"/>
      <c r="M49" s="610"/>
      <c r="N49" s="610"/>
      <c r="O49" s="610"/>
      <c r="P49" s="610"/>
      <c r="Q49" s="610"/>
      <c r="R49" s="610"/>
      <c r="S49" s="610"/>
      <c r="T49" s="610"/>
      <c r="U49" s="374"/>
      <c r="W49" s="27"/>
      <c r="X49" s="21"/>
    </row>
    <row r="50" spans="1:24" ht="18" customHeight="1" x14ac:dyDescent="0.25">
      <c r="A50" s="372"/>
      <c r="B50" s="372"/>
      <c r="C50" s="372"/>
      <c r="D50" s="372"/>
      <c r="E50" s="372"/>
      <c r="F50" s="372"/>
      <c r="G50" s="374"/>
      <c r="H50" s="374"/>
      <c r="I50" s="374"/>
      <c r="J50" s="374"/>
      <c r="K50" s="374"/>
      <c r="L50" s="374"/>
      <c r="M50" s="610"/>
      <c r="N50" s="610"/>
      <c r="O50" s="610"/>
      <c r="P50" s="610"/>
      <c r="Q50" s="610"/>
      <c r="R50" s="610"/>
      <c r="S50" s="610"/>
      <c r="T50" s="610"/>
      <c r="U50" s="374"/>
      <c r="W50" s="27"/>
      <c r="X50" s="21"/>
    </row>
    <row r="51" spans="1:24" ht="15" customHeight="1" x14ac:dyDescent="0.25">
      <c r="A51" s="381"/>
      <c r="B51" s="382"/>
      <c r="C51" s="382"/>
      <c r="D51" s="383"/>
      <c r="E51" s="382"/>
      <c r="F51" s="383"/>
      <c r="G51" s="383"/>
      <c r="H51" s="383"/>
      <c r="I51" s="383"/>
      <c r="J51" s="384"/>
      <c r="K51" s="382"/>
      <c r="L51" s="382"/>
      <c r="M51" s="598" t="s">
        <v>457</v>
      </c>
      <c r="N51" s="598"/>
      <c r="O51" s="598"/>
      <c r="P51" s="598"/>
      <c r="Q51" s="598"/>
      <c r="R51" s="598"/>
      <c r="S51" s="598"/>
      <c r="T51" s="598"/>
      <c r="U51" s="598"/>
    </row>
    <row r="52" spans="1:24" ht="25.15" customHeight="1" x14ac:dyDescent="0.25">
      <c r="A52" s="36"/>
      <c r="B52" s="34"/>
      <c r="C52" s="34"/>
      <c r="D52" s="35"/>
      <c r="E52" s="34"/>
      <c r="F52" s="35"/>
      <c r="G52" s="35"/>
      <c r="H52" s="35"/>
      <c r="I52" s="35"/>
      <c r="J52" s="23"/>
      <c r="K52" s="34"/>
      <c r="L52" s="34"/>
      <c r="M52" s="34"/>
      <c r="N52" s="34"/>
      <c r="O52" s="34"/>
      <c r="P52" s="34"/>
      <c r="Q52" s="23"/>
      <c r="R52" s="23"/>
      <c r="S52" s="23"/>
      <c r="T52" s="23"/>
      <c r="U52" s="33"/>
    </row>
    <row r="53" spans="1:24" s="18" customFormat="1" ht="15" x14ac:dyDescent="0.25">
      <c r="D53" s="19"/>
      <c r="G53" s="19"/>
      <c r="H53" s="19"/>
      <c r="I53" s="19"/>
      <c r="J53" s="19"/>
      <c r="Q53" s="19"/>
      <c r="R53" s="19"/>
    </row>
  </sheetData>
  <mergeCells count="28">
    <mergeCell ref="A1:L3"/>
    <mergeCell ref="M1:U3"/>
    <mergeCell ref="M48:T50"/>
    <mergeCell ref="C4:D4"/>
    <mergeCell ref="A4:A7"/>
    <mergeCell ref="U4:U7"/>
    <mergeCell ref="B4:B6"/>
    <mergeCell ref="D5:D6"/>
    <mergeCell ref="C5:C6"/>
    <mergeCell ref="R4:R6"/>
    <mergeCell ref="S4:S6"/>
    <mergeCell ref="T4:T6"/>
    <mergeCell ref="H5:H6"/>
    <mergeCell ref="F5:F6"/>
    <mergeCell ref="G5:G6"/>
    <mergeCell ref="K4:L4"/>
    <mergeCell ref="M51:U51"/>
    <mergeCell ref="E4:G4"/>
    <mergeCell ref="H4:J4"/>
    <mergeCell ref="K5:L5"/>
    <mergeCell ref="M5:N5"/>
    <mergeCell ref="I5:I6"/>
    <mergeCell ref="J5:J6"/>
    <mergeCell ref="E5:E6"/>
    <mergeCell ref="M4:N4"/>
    <mergeCell ref="O4:O6"/>
    <mergeCell ref="P4:P6"/>
    <mergeCell ref="Q4:Q6"/>
  </mergeCells>
  <phoneticPr fontId="17" type="noConversion"/>
  <printOptions horizontalCentered="1" verticalCentered="1"/>
  <pageMargins left="0.23622047244094491" right="0.23622047244094491" top="0.59055118110236227" bottom="0.59055118110236227" header="0.31496062992125984" footer="0.31496062992125984"/>
  <pageSetup paperSize="9" scale="51" fitToWidth="2" orientation="portrait" r:id="rId1"/>
  <colBreaks count="1" manualBreakCount="1">
    <brk id="1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  <pageSetUpPr fitToPage="1"/>
  </sheetPr>
  <dimension ref="A1:S61"/>
  <sheetViews>
    <sheetView view="pageBreakPreview" zoomScale="70" zoomScaleNormal="70" zoomScaleSheetLayoutView="70" zoomScalePageLayoutView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16" sqref="E16"/>
    </sheetView>
  </sheetViews>
  <sheetFormatPr defaultColWidth="8.875" defaultRowHeight="11.25" x14ac:dyDescent="0.25"/>
  <cols>
    <col min="1" max="2" width="2.5" style="4" customWidth="1"/>
    <col min="3" max="3" width="46.125" style="4" customWidth="1"/>
    <col min="4" max="4" width="11.75" style="4" customWidth="1"/>
    <col min="5" max="5" width="10.875" style="4" customWidth="1"/>
    <col min="6" max="6" width="11.75" style="4" customWidth="1"/>
    <col min="7" max="7" width="10" style="3" customWidth="1"/>
    <col min="8" max="8" width="12.625" style="37" customWidth="1"/>
    <col min="9" max="9" width="0.375" style="37" customWidth="1"/>
    <col min="10" max="10" width="12.625" style="3" customWidth="1"/>
    <col min="11" max="11" width="12.625" style="4" customWidth="1"/>
    <col min="12" max="12" width="12.625" style="37" customWidth="1"/>
    <col min="13" max="13" width="12.625" style="3" customWidth="1"/>
    <col min="14" max="14" width="12.625" style="4" customWidth="1"/>
    <col min="15" max="15" width="12.625" style="37" customWidth="1"/>
    <col min="16" max="16" width="12.625" style="3" customWidth="1"/>
    <col min="17" max="17" width="12.625" style="4" customWidth="1"/>
    <col min="18" max="18" width="12.625" style="37" customWidth="1"/>
    <col min="19" max="16384" width="8.875" style="4"/>
  </cols>
  <sheetData>
    <row r="1" spans="1:19" s="10" customFormat="1" ht="25.15" customHeight="1" x14ac:dyDescent="0.25">
      <c r="A1" s="620" t="s">
        <v>683</v>
      </c>
      <c r="B1" s="621"/>
      <c r="C1" s="621"/>
      <c r="D1" s="621"/>
      <c r="E1" s="621"/>
      <c r="F1" s="621"/>
      <c r="G1" s="621"/>
      <c r="H1" s="621"/>
      <c r="I1" s="330"/>
      <c r="J1" s="621" t="s">
        <v>219</v>
      </c>
      <c r="K1" s="621"/>
      <c r="L1" s="621"/>
      <c r="M1" s="621"/>
      <c r="N1" s="621"/>
      <c r="O1" s="621"/>
      <c r="P1" s="621"/>
      <c r="Q1" s="621"/>
      <c r="R1" s="621"/>
      <c r="S1" s="9"/>
    </row>
    <row r="2" spans="1:19" s="10" customFormat="1" ht="7.9" customHeight="1" x14ac:dyDescent="0.25">
      <c r="A2" s="385"/>
      <c r="B2" s="385"/>
      <c r="C2" s="385"/>
      <c r="D2" s="385"/>
      <c r="E2" s="385"/>
      <c r="F2" s="376"/>
      <c r="G2" s="376"/>
      <c r="H2" s="386"/>
      <c r="I2" s="386"/>
      <c r="J2" s="387"/>
      <c r="K2" s="376"/>
      <c r="L2" s="388"/>
      <c r="M2" s="376"/>
      <c r="N2" s="376"/>
      <c r="O2" s="388"/>
      <c r="P2" s="385"/>
      <c r="Q2" s="385"/>
      <c r="R2" s="388"/>
      <c r="S2" s="11"/>
    </row>
    <row r="3" spans="1:19" s="12" customFormat="1" ht="15" customHeight="1" x14ac:dyDescent="0.25">
      <c r="A3" s="332" t="s">
        <v>387</v>
      </c>
      <c r="B3" s="332"/>
      <c r="C3" s="333"/>
      <c r="D3" s="389"/>
      <c r="E3" s="374"/>
      <c r="F3" s="374"/>
      <c r="G3" s="389"/>
      <c r="H3" s="390"/>
      <c r="I3" s="390"/>
      <c r="J3" s="333"/>
      <c r="K3" s="391"/>
      <c r="L3" s="392"/>
      <c r="M3" s="333"/>
      <c r="N3" s="391"/>
      <c r="O3" s="393"/>
      <c r="P3" s="394"/>
      <c r="Q3" s="389"/>
      <c r="R3" s="390" t="s">
        <v>386</v>
      </c>
      <c r="S3" s="13"/>
    </row>
    <row r="4" spans="1:19" s="41" customFormat="1" ht="15" customHeight="1" x14ac:dyDescent="0.25">
      <c r="A4" s="58"/>
      <c r="B4" s="60"/>
      <c r="C4" s="60"/>
      <c r="D4" s="614" t="s">
        <v>108</v>
      </c>
      <c r="E4" s="622"/>
      <c r="F4" s="614" t="s">
        <v>265</v>
      </c>
      <c r="G4" s="623"/>
      <c r="H4" s="622"/>
      <c r="I4" s="61"/>
      <c r="J4" s="623" t="s">
        <v>109</v>
      </c>
      <c r="K4" s="623"/>
      <c r="L4" s="622"/>
      <c r="M4" s="623" t="s">
        <v>266</v>
      </c>
      <c r="N4" s="623"/>
      <c r="O4" s="622"/>
      <c r="P4" s="614" t="s">
        <v>110</v>
      </c>
      <c r="Q4" s="623"/>
      <c r="R4" s="623"/>
      <c r="S4" s="40"/>
    </row>
    <row r="5" spans="1:19" s="10" customFormat="1" ht="16.5" customHeight="1" x14ac:dyDescent="0.25">
      <c r="A5" s="62"/>
      <c r="B5" s="64"/>
      <c r="C5" s="64"/>
      <c r="D5" s="395">
        <v>1991</v>
      </c>
      <c r="E5" s="396"/>
      <c r="F5" s="616">
        <v>1992</v>
      </c>
      <c r="G5" s="624"/>
      <c r="H5" s="635"/>
      <c r="I5" s="61"/>
      <c r="J5" s="624">
        <v>1993</v>
      </c>
      <c r="K5" s="624"/>
      <c r="L5" s="625"/>
      <c r="M5" s="624">
        <v>1994</v>
      </c>
      <c r="N5" s="624"/>
      <c r="O5" s="625"/>
      <c r="P5" s="616">
        <v>1995</v>
      </c>
      <c r="Q5" s="624"/>
      <c r="R5" s="624"/>
      <c r="S5" s="15"/>
    </row>
    <row r="6" spans="1:19" s="41" customFormat="1" ht="16.5" x14ac:dyDescent="0.25">
      <c r="A6" s="65"/>
      <c r="B6" s="64"/>
      <c r="C6" s="64"/>
      <c r="D6" s="66" t="s">
        <v>243</v>
      </c>
      <c r="E6" s="397" t="s">
        <v>51</v>
      </c>
      <c r="F6" s="66" t="s">
        <v>243</v>
      </c>
      <c r="G6" s="397" t="s">
        <v>244</v>
      </c>
      <c r="H6" s="398" t="s">
        <v>245</v>
      </c>
      <c r="I6" s="67"/>
      <c r="J6" s="69" t="s">
        <v>243</v>
      </c>
      <c r="K6" s="397" t="s">
        <v>270</v>
      </c>
      <c r="L6" s="398" t="s">
        <v>271</v>
      </c>
      <c r="M6" s="69" t="s">
        <v>243</v>
      </c>
      <c r="N6" s="397" t="s">
        <v>272</v>
      </c>
      <c r="O6" s="398" t="s">
        <v>245</v>
      </c>
      <c r="P6" s="66" t="s">
        <v>243</v>
      </c>
      <c r="Q6" s="397" t="s">
        <v>270</v>
      </c>
      <c r="R6" s="399" t="s">
        <v>245</v>
      </c>
      <c r="S6" s="42"/>
    </row>
    <row r="7" spans="1:19" s="10" customFormat="1" ht="8.4499999999999993" customHeight="1" x14ac:dyDescent="0.25">
      <c r="A7" s="65"/>
      <c r="B7" s="64"/>
      <c r="C7" s="64"/>
      <c r="D7" s="66"/>
      <c r="E7" s="400"/>
      <c r="F7" s="66"/>
      <c r="G7" s="73"/>
      <c r="H7" s="626" t="s">
        <v>220</v>
      </c>
      <c r="I7" s="401"/>
      <c r="J7" s="69"/>
      <c r="K7" s="400"/>
      <c r="L7" s="626" t="s">
        <v>220</v>
      </c>
      <c r="M7" s="69"/>
      <c r="N7" s="400"/>
      <c r="O7" s="628" t="s">
        <v>220</v>
      </c>
      <c r="P7" s="66"/>
      <c r="Q7" s="73"/>
      <c r="R7" s="628" t="s">
        <v>220</v>
      </c>
      <c r="S7" s="17"/>
    </row>
    <row r="8" spans="1:19" s="10" customFormat="1" ht="20.25" customHeight="1" x14ac:dyDescent="0.25">
      <c r="A8" s="165"/>
      <c r="B8" s="167"/>
      <c r="C8" s="167"/>
      <c r="D8" s="74" t="s">
        <v>56</v>
      </c>
      <c r="E8" s="75" t="s">
        <v>21</v>
      </c>
      <c r="F8" s="74" t="s">
        <v>56</v>
      </c>
      <c r="G8" s="75" t="s">
        <v>21</v>
      </c>
      <c r="H8" s="627"/>
      <c r="I8" s="401"/>
      <c r="J8" s="168" t="s">
        <v>56</v>
      </c>
      <c r="K8" s="75" t="s">
        <v>21</v>
      </c>
      <c r="L8" s="627"/>
      <c r="M8" s="168" t="s">
        <v>56</v>
      </c>
      <c r="N8" s="75" t="s">
        <v>21</v>
      </c>
      <c r="O8" s="629"/>
      <c r="P8" s="74" t="s">
        <v>56</v>
      </c>
      <c r="Q8" s="75" t="s">
        <v>21</v>
      </c>
      <c r="R8" s="629"/>
      <c r="S8" s="17"/>
    </row>
    <row r="9" spans="1:19" ht="4.1500000000000004" customHeight="1" x14ac:dyDescent="0.25">
      <c r="A9" s="402"/>
      <c r="B9" s="403"/>
      <c r="C9" s="404"/>
      <c r="D9" s="105"/>
      <c r="E9" s="128"/>
      <c r="F9" s="105"/>
      <c r="G9" s="405"/>
      <c r="H9" s="406"/>
      <c r="I9" s="405"/>
      <c r="J9" s="122"/>
      <c r="K9" s="405"/>
      <c r="L9" s="406"/>
      <c r="M9" s="105"/>
      <c r="N9" s="405"/>
      <c r="O9" s="406"/>
      <c r="P9" s="105"/>
      <c r="Q9" s="405"/>
      <c r="R9" s="405"/>
    </row>
    <row r="10" spans="1:19" ht="16.149999999999999" customHeight="1" x14ac:dyDescent="0.25">
      <c r="A10" s="630" t="s">
        <v>223</v>
      </c>
      <c r="B10" s="633" t="s">
        <v>224</v>
      </c>
      <c r="C10" s="407" t="s">
        <v>246</v>
      </c>
      <c r="D10" s="124">
        <v>216371.66816390003</v>
      </c>
      <c r="E10" s="408">
        <v>100</v>
      </c>
      <c r="F10" s="124">
        <v>276966.883998</v>
      </c>
      <c r="G10" s="409">
        <v>100</v>
      </c>
      <c r="H10" s="410">
        <v>28.005152591511905</v>
      </c>
      <c r="I10" s="411"/>
      <c r="J10" s="153">
        <v>300973.6043681454</v>
      </c>
      <c r="K10" s="409">
        <v>100</v>
      </c>
      <c r="L10" s="410">
        <v>8.6677223008071902</v>
      </c>
      <c r="M10" s="124">
        <v>339195.96867852774</v>
      </c>
      <c r="N10" s="409">
        <v>100</v>
      </c>
      <c r="O10" s="410">
        <v>12.699573569125832</v>
      </c>
      <c r="P10" s="124">
        <v>378678.76500691578</v>
      </c>
      <c r="Q10" s="409">
        <v>100</v>
      </c>
      <c r="R10" s="411">
        <v>11.640113672992314</v>
      </c>
    </row>
    <row r="11" spans="1:19" ht="16.149999999999999" customHeight="1" x14ac:dyDescent="0.25">
      <c r="A11" s="631"/>
      <c r="B11" s="634"/>
      <c r="C11" s="407" t="s">
        <v>14</v>
      </c>
      <c r="D11" s="105"/>
      <c r="E11" s="127"/>
      <c r="F11" s="105"/>
      <c r="G11" s="405"/>
      <c r="H11" s="406"/>
      <c r="I11" s="405"/>
      <c r="J11" s="122"/>
      <c r="K11" s="405"/>
      <c r="L11" s="406"/>
      <c r="M11" s="105"/>
      <c r="N11" s="405"/>
      <c r="O11" s="406"/>
      <c r="P11" s="105"/>
      <c r="Q11" s="405"/>
      <c r="R11" s="405"/>
    </row>
    <row r="12" spans="1:19" ht="16.149999999999999" customHeight="1" x14ac:dyDescent="0.25">
      <c r="A12" s="631"/>
      <c r="B12" s="634"/>
      <c r="C12" s="404" t="s">
        <v>250</v>
      </c>
      <c r="D12" s="105">
        <v>102872.6681639</v>
      </c>
      <c r="E12" s="413">
        <v>47.544426235127361</v>
      </c>
      <c r="F12" s="105">
        <v>145971.883998</v>
      </c>
      <c r="G12" s="405">
        <v>52.703731901411757</v>
      </c>
      <c r="H12" s="414">
        <v>41.895691638359153</v>
      </c>
      <c r="I12" s="415"/>
      <c r="J12" s="122">
        <v>154954.160779</v>
      </c>
      <c r="K12" s="405">
        <v>51.484302453800204</v>
      </c>
      <c r="L12" s="414">
        <v>6.1534293694003761</v>
      </c>
      <c r="M12" s="105">
        <v>178284.62041</v>
      </c>
      <c r="N12" s="405">
        <v>52.560949089276733</v>
      </c>
      <c r="O12" s="414">
        <v>15.056362161371428</v>
      </c>
      <c r="P12" s="105">
        <v>271634.3641905</v>
      </c>
      <c r="Q12" s="405">
        <v>71.732135332579091</v>
      </c>
      <c r="R12" s="415">
        <v>52.359953183748644</v>
      </c>
    </row>
    <row r="13" spans="1:19" ht="16.149999999999999" customHeight="1" x14ac:dyDescent="0.25">
      <c r="A13" s="631"/>
      <c r="B13" s="634"/>
      <c r="C13" s="404" t="s">
        <v>225</v>
      </c>
      <c r="D13" s="105"/>
      <c r="E13" s="127"/>
      <c r="F13" s="105"/>
      <c r="G13" s="405"/>
      <c r="H13" s="406"/>
      <c r="I13" s="405"/>
      <c r="J13" s="122"/>
      <c r="K13" s="405"/>
      <c r="L13" s="406"/>
      <c r="M13" s="105"/>
      <c r="N13" s="405"/>
      <c r="O13" s="406"/>
      <c r="P13" s="105"/>
      <c r="Q13" s="405"/>
      <c r="R13" s="405"/>
    </row>
    <row r="14" spans="1:19" ht="16.149999999999999" customHeight="1" x14ac:dyDescent="0.25">
      <c r="A14" s="631"/>
      <c r="B14" s="634"/>
      <c r="C14" s="416" t="s">
        <v>251</v>
      </c>
      <c r="D14" s="105">
        <v>11301.081</v>
      </c>
      <c r="E14" s="413">
        <v>5.2229948106882045</v>
      </c>
      <c r="F14" s="105">
        <v>14373.338500000002</v>
      </c>
      <c r="G14" s="405">
        <v>5.1895512894977704</v>
      </c>
      <c r="H14" s="406">
        <v>27.185518801254503</v>
      </c>
      <c r="I14" s="405"/>
      <c r="J14" s="122">
        <v>15690.476026999999</v>
      </c>
      <c r="K14" s="405">
        <v>5.213239898541965</v>
      </c>
      <c r="L14" s="406">
        <v>9.1637550107095613</v>
      </c>
      <c r="M14" s="105">
        <v>16358.74755</v>
      </c>
      <c r="N14" s="405">
        <v>4.8228012890990364</v>
      </c>
      <c r="O14" s="406">
        <v>4.2590901757859179</v>
      </c>
      <c r="P14" s="105">
        <v>15664.646022999999</v>
      </c>
      <c r="Q14" s="405">
        <v>4.1366581573999577</v>
      </c>
      <c r="R14" s="405">
        <v>-4.242999195864483</v>
      </c>
    </row>
    <row r="15" spans="1:19" ht="16.149999999999999" customHeight="1" x14ac:dyDescent="0.25">
      <c r="A15" s="631"/>
      <c r="B15" s="634"/>
      <c r="C15" s="416" t="s">
        <v>226</v>
      </c>
      <c r="D15" s="105"/>
      <c r="E15" s="128"/>
      <c r="F15" s="105"/>
      <c r="G15" s="405"/>
      <c r="H15" s="406"/>
      <c r="I15" s="405"/>
      <c r="J15" s="122"/>
      <c r="K15" s="405"/>
      <c r="L15" s="406"/>
      <c r="M15" s="105"/>
      <c r="N15" s="405"/>
      <c r="O15" s="406"/>
      <c r="P15" s="105"/>
      <c r="Q15" s="405"/>
      <c r="R15" s="405"/>
    </row>
    <row r="16" spans="1:19" ht="16.149999999999999" customHeight="1" x14ac:dyDescent="0.25">
      <c r="A16" s="631"/>
      <c r="B16" s="634"/>
      <c r="C16" s="416" t="s">
        <v>252</v>
      </c>
      <c r="D16" s="105">
        <v>5052.5709999999999</v>
      </c>
      <c r="E16" s="413">
        <v>2.335135206413768</v>
      </c>
      <c r="F16" s="105">
        <v>5925.2420000000002</v>
      </c>
      <c r="G16" s="405">
        <v>2.1393322965076167</v>
      </c>
      <c r="H16" s="406">
        <v>17.271820623599353</v>
      </c>
      <c r="I16" s="405"/>
      <c r="J16" s="122">
        <v>6471.04</v>
      </c>
      <c r="K16" s="405">
        <v>2.1500357194396162</v>
      </c>
      <c r="L16" s="406">
        <v>9.2114043612058438</v>
      </c>
      <c r="M16" s="105">
        <v>6613.5725000000002</v>
      </c>
      <c r="N16" s="405">
        <v>1.9497792163526564</v>
      </c>
      <c r="O16" s="406">
        <v>2.2026212169913961</v>
      </c>
      <c r="P16" s="105">
        <v>7226.7938669999994</v>
      </c>
      <c r="Q16" s="405">
        <v>1.9084233220386722</v>
      </c>
      <c r="R16" s="405">
        <v>9.2721651875744762</v>
      </c>
    </row>
    <row r="17" spans="1:18" ht="16.149999999999999" customHeight="1" x14ac:dyDescent="0.25">
      <c r="A17" s="631"/>
      <c r="B17" s="634"/>
      <c r="C17" s="416" t="s">
        <v>227</v>
      </c>
      <c r="D17" s="105"/>
      <c r="E17" s="128"/>
      <c r="F17" s="105"/>
      <c r="G17" s="405"/>
      <c r="H17" s="406"/>
      <c r="I17" s="405"/>
      <c r="J17" s="122"/>
      <c r="K17" s="405"/>
      <c r="L17" s="406"/>
      <c r="M17" s="105"/>
      <c r="N17" s="405"/>
      <c r="O17" s="406"/>
      <c r="P17" s="105"/>
      <c r="Q17" s="405"/>
      <c r="R17" s="405"/>
    </row>
    <row r="18" spans="1:18" ht="16.149999999999999" customHeight="1" x14ac:dyDescent="0.25">
      <c r="A18" s="631"/>
      <c r="B18" s="634"/>
      <c r="C18" s="416" t="s">
        <v>253</v>
      </c>
      <c r="D18" s="105">
        <v>21500.401280000002</v>
      </c>
      <c r="E18" s="413">
        <v>9.9367913842183793</v>
      </c>
      <c r="F18" s="105">
        <v>22434.548280000003</v>
      </c>
      <c r="G18" s="405">
        <v>8.100083286549884</v>
      </c>
      <c r="H18" s="406">
        <v>4.3447886754977016</v>
      </c>
      <c r="I18" s="405"/>
      <c r="J18" s="122">
        <v>24758.226499999997</v>
      </c>
      <c r="K18" s="405">
        <v>8.2260457862996468</v>
      </c>
      <c r="L18" s="406">
        <v>10.357588621793257</v>
      </c>
      <c r="M18" s="105">
        <v>25433.9035</v>
      </c>
      <c r="N18" s="405">
        <v>7.4982917984219704</v>
      </c>
      <c r="O18" s="406">
        <v>2.7291009717517634</v>
      </c>
      <c r="P18" s="105">
        <v>23808.459264500001</v>
      </c>
      <c r="Q18" s="405">
        <v>6.2872443518360983</v>
      </c>
      <c r="R18" s="405">
        <v>-6.390856344563856</v>
      </c>
    </row>
    <row r="19" spans="1:18" ht="16.149999999999999" customHeight="1" x14ac:dyDescent="0.25">
      <c r="A19" s="631"/>
      <c r="B19" s="634"/>
      <c r="C19" s="416" t="s">
        <v>228</v>
      </c>
      <c r="D19" s="105"/>
      <c r="E19" s="128"/>
      <c r="F19" s="105"/>
      <c r="G19" s="405"/>
      <c r="H19" s="406"/>
      <c r="I19" s="405"/>
      <c r="J19" s="122"/>
      <c r="K19" s="405"/>
      <c r="L19" s="406"/>
      <c r="M19" s="105"/>
      <c r="N19" s="405"/>
      <c r="O19" s="406"/>
      <c r="P19" s="105"/>
      <c r="Q19" s="405"/>
      <c r="R19" s="405"/>
    </row>
    <row r="20" spans="1:18" s="2" customFormat="1" ht="16.149999999999999" customHeight="1" x14ac:dyDescent="0.25">
      <c r="A20" s="631"/>
      <c r="B20" s="634"/>
      <c r="C20" s="416" t="s">
        <v>254</v>
      </c>
      <c r="D20" s="105">
        <v>65018.614883900002</v>
      </c>
      <c r="E20" s="413">
        <v>30.04950483380701</v>
      </c>
      <c r="F20" s="105">
        <v>103238.75521799999</v>
      </c>
      <c r="G20" s="405">
        <v>37.274765028856478</v>
      </c>
      <c r="H20" s="406">
        <v>58.783381347553302</v>
      </c>
      <c r="I20" s="405"/>
      <c r="J20" s="122">
        <v>108034.418252</v>
      </c>
      <c r="K20" s="405">
        <v>35.894981049518975</v>
      </c>
      <c r="L20" s="406">
        <v>4.645215862854446</v>
      </c>
      <c r="M20" s="105">
        <v>129878.39686000001</v>
      </c>
      <c r="N20" s="405">
        <v>38.290076785403066</v>
      </c>
      <c r="O20" s="406">
        <v>20.219462428211486</v>
      </c>
      <c r="P20" s="105">
        <v>224934.46503599998</v>
      </c>
      <c r="Q20" s="405">
        <v>59.399809501304354</v>
      </c>
      <c r="R20" s="405">
        <v>73.188513620524503</v>
      </c>
    </row>
    <row r="21" spans="1:18" s="2" customFormat="1" ht="16.149999999999999" customHeight="1" x14ac:dyDescent="0.25">
      <c r="A21" s="631"/>
      <c r="B21" s="634"/>
      <c r="C21" s="416" t="s">
        <v>5</v>
      </c>
      <c r="D21" s="105"/>
      <c r="E21" s="406"/>
      <c r="F21" s="105"/>
      <c r="G21" s="405"/>
      <c r="H21" s="406"/>
      <c r="I21" s="405"/>
      <c r="J21" s="122"/>
      <c r="K21" s="405"/>
      <c r="L21" s="406"/>
      <c r="M21" s="105"/>
      <c r="N21" s="405"/>
      <c r="O21" s="406"/>
      <c r="P21" s="105"/>
      <c r="Q21" s="405"/>
      <c r="R21" s="405"/>
    </row>
    <row r="22" spans="1:18" s="2" customFormat="1" ht="16.149999999999999" customHeight="1" x14ac:dyDescent="0.25">
      <c r="A22" s="631"/>
      <c r="B22" s="634"/>
      <c r="C22" s="417" t="s">
        <v>255</v>
      </c>
      <c r="D22" s="105">
        <v>0</v>
      </c>
      <c r="E22" s="418">
        <v>0</v>
      </c>
      <c r="F22" s="105">
        <v>0</v>
      </c>
      <c r="G22" s="122">
        <v>0</v>
      </c>
      <c r="H22" s="418" t="s">
        <v>376</v>
      </c>
      <c r="I22" s="122"/>
      <c r="J22" s="122">
        <v>0</v>
      </c>
      <c r="K22" s="122">
        <v>0</v>
      </c>
      <c r="L22" s="418" t="s">
        <v>375</v>
      </c>
      <c r="M22" s="105">
        <v>0</v>
      </c>
      <c r="N22" s="122">
        <v>0</v>
      </c>
      <c r="O22" s="418" t="s">
        <v>375</v>
      </c>
      <c r="P22" s="105">
        <v>160207.09694799999</v>
      </c>
      <c r="Q22" s="405">
        <v>42.306860524665055</v>
      </c>
      <c r="R22" s="122" t="s">
        <v>375</v>
      </c>
    </row>
    <row r="23" spans="1:18" s="2" customFormat="1" ht="16.149999999999999" customHeight="1" x14ac:dyDescent="0.25">
      <c r="A23" s="631"/>
      <c r="B23" s="634"/>
      <c r="C23" s="419" t="s">
        <v>229</v>
      </c>
      <c r="D23" s="105"/>
      <c r="E23" s="406"/>
      <c r="F23" s="105"/>
      <c r="G23" s="405"/>
      <c r="H23" s="406"/>
      <c r="I23" s="405"/>
      <c r="J23" s="122"/>
      <c r="K23" s="405"/>
      <c r="L23" s="406"/>
      <c r="M23" s="105"/>
      <c r="N23" s="405"/>
      <c r="O23" s="406"/>
      <c r="P23" s="105"/>
      <c r="Q23" s="405"/>
      <c r="R23" s="405"/>
    </row>
    <row r="24" spans="1:18" ht="16.149999999999999" customHeight="1" x14ac:dyDescent="0.25">
      <c r="A24" s="631"/>
      <c r="B24" s="634"/>
      <c r="C24" s="417" t="s">
        <v>256</v>
      </c>
      <c r="D24" s="105">
        <v>12683.592000000001</v>
      </c>
      <c r="E24" s="413">
        <v>5.8619467639322664</v>
      </c>
      <c r="F24" s="105">
        <v>16021.742</v>
      </c>
      <c r="G24" s="405">
        <v>5.784713958841265</v>
      </c>
      <c r="H24" s="406">
        <v>26.318648534263801</v>
      </c>
      <c r="I24" s="405"/>
      <c r="J24" s="122">
        <v>19546.404999999999</v>
      </c>
      <c r="K24" s="405">
        <v>6.4943917726722615</v>
      </c>
      <c r="L24" s="406">
        <v>21.99924951980876</v>
      </c>
      <c r="M24" s="105">
        <v>22134.400000000001</v>
      </c>
      <c r="N24" s="405">
        <v>6.5255492529092614</v>
      </c>
      <c r="O24" s="406">
        <v>13.240260804992033</v>
      </c>
      <c r="P24" s="105">
        <v>4825.6689999999999</v>
      </c>
      <c r="Q24" s="405">
        <v>1.2743437039338261</v>
      </c>
      <c r="R24" s="405">
        <v>-78.198329297383268</v>
      </c>
    </row>
    <row r="25" spans="1:18" ht="16.149999999999999" customHeight="1" x14ac:dyDescent="0.25">
      <c r="A25" s="631"/>
      <c r="B25" s="634"/>
      <c r="C25" s="419" t="s">
        <v>3</v>
      </c>
      <c r="D25" s="420"/>
      <c r="E25" s="128"/>
      <c r="F25" s="105"/>
      <c r="G25" s="405"/>
      <c r="H25" s="406"/>
      <c r="I25" s="405"/>
      <c r="J25" s="122"/>
      <c r="K25" s="405"/>
      <c r="L25" s="406"/>
      <c r="M25" s="105"/>
      <c r="N25" s="405"/>
      <c r="O25" s="406"/>
      <c r="P25" s="105"/>
      <c r="Q25" s="405"/>
      <c r="R25" s="405"/>
    </row>
    <row r="26" spans="1:18" ht="16.149999999999999" customHeight="1" x14ac:dyDescent="0.25">
      <c r="A26" s="632"/>
      <c r="B26" s="634"/>
      <c r="C26" s="421" t="s">
        <v>257</v>
      </c>
      <c r="D26" s="105">
        <v>34114.701883900001</v>
      </c>
      <c r="E26" s="413">
        <v>15.766713901774956</v>
      </c>
      <c r="F26" s="105">
        <v>63367.738217999999</v>
      </c>
      <c r="G26" s="405">
        <v>22.879175049121606</v>
      </c>
      <c r="H26" s="406">
        <v>85.749060430469697</v>
      </c>
      <c r="I26" s="405"/>
      <c r="J26" s="122">
        <v>61302.879251999999</v>
      </c>
      <c r="K26" s="405">
        <v>20.368191217531301</v>
      </c>
      <c r="L26" s="406">
        <v>-3.2585334810221522</v>
      </c>
      <c r="M26" s="105">
        <v>74482.996859999999</v>
      </c>
      <c r="N26" s="405">
        <v>21.958691652550595</v>
      </c>
      <c r="O26" s="406">
        <v>21.499997665395142</v>
      </c>
      <c r="P26" s="105">
        <v>47307.919828999999</v>
      </c>
      <c r="Q26" s="405">
        <v>12.492889541386356</v>
      </c>
      <c r="R26" s="405">
        <v>-36.48494042483135</v>
      </c>
    </row>
    <row r="27" spans="1:18" ht="16.149999999999999" customHeight="1" x14ac:dyDescent="0.25">
      <c r="A27" s="632"/>
      <c r="B27" s="634"/>
      <c r="C27" s="421" t="s">
        <v>49</v>
      </c>
      <c r="D27" s="105"/>
      <c r="E27" s="128"/>
      <c r="F27" s="105"/>
      <c r="G27" s="405"/>
      <c r="H27" s="406"/>
      <c r="I27" s="405"/>
      <c r="J27" s="122"/>
      <c r="K27" s="405"/>
      <c r="L27" s="406"/>
      <c r="M27" s="105"/>
      <c r="N27" s="405"/>
      <c r="O27" s="406"/>
      <c r="P27" s="105"/>
      <c r="Q27" s="405"/>
      <c r="R27" s="405"/>
    </row>
    <row r="28" spans="1:18" ht="16.149999999999999" customHeight="1" x14ac:dyDescent="0.25">
      <c r="A28" s="632"/>
      <c r="B28" s="634"/>
      <c r="C28" s="421" t="s">
        <v>258</v>
      </c>
      <c r="D28" s="105">
        <v>17203.23</v>
      </c>
      <c r="E28" s="413">
        <v>7.9507775421727915</v>
      </c>
      <c r="F28" s="105">
        <v>21939.798999999999</v>
      </c>
      <c r="G28" s="405">
        <v>7.9214520823935137</v>
      </c>
      <c r="H28" s="406">
        <v>27.53302141516447</v>
      </c>
      <c r="I28" s="405"/>
      <c r="J28" s="122">
        <v>24764.837</v>
      </c>
      <c r="K28" s="405">
        <v>8.228242158308376</v>
      </c>
      <c r="L28" s="406">
        <v>12.876316688224909</v>
      </c>
      <c r="M28" s="105">
        <v>27500</v>
      </c>
      <c r="N28" s="405">
        <v>8.1074076756092186</v>
      </c>
      <c r="O28" s="406">
        <v>11.044542711910443</v>
      </c>
      <c r="P28" s="105">
        <v>6475.4409999999998</v>
      </c>
      <c r="Q28" s="405">
        <v>1.7100090098481595</v>
      </c>
      <c r="R28" s="405">
        <v>-76.452941818181813</v>
      </c>
    </row>
    <row r="29" spans="1:18" ht="16.149999999999999" customHeight="1" x14ac:dyDescent="0.25">
      <c r="A29" s="632"/>
      <c r="B29" s="634"/>
      <c r="C29" s="421" t="s">
        <v>50</v>
      </c>
      <c r="D29" s="105"/>
      <c r="E29" s="128"/>
      <c r="F29" s="105"/>
      <c r="G29" s="405"/>
      <c r="H29" s="406"/>
      <c r="I29" s="405"/>
      <c r="J29" s="122"/>
      <c r="K29" s="405"/>
      <c r="L29" s="406"/>
      <c r="M29" s="105"/>
      <c r="N29" s="405"/>
      <c r="O29" s="406"/>
      <c r="P29" s="105"/>
      <c r="Q29" s="405"/>
      <c r="R29" s="405"/>
    </row>
    <row r="30" spans="1:18" ht="16.149999999999999" customHeight="1" x14ac:dyDescent="0.25">
      <c r="A30" s="632"/>
      <c r="B30" s="634"/>
      <c r="C30" s="421" t="s">
        <v>259</v>
      </c>
      <c r="D30" s="105">
        <v>282.87799999999999</v>
      </c>
      <c r="E30" s="413">
        <v>0.13073707958184336</v>
      </c>
      <c r="F30" s="105">
        <v>488.75599999999997</v>
      </c>
      <c r="G30" s="405">
        <v>0.17646730646813691</v>
      </c>
      <c r="H30" s="406">
        <v>72.779784924949979</v>
      </c>
      <c r="I30" s="405"/>
      <c r="J30" s="122">
        <v>568.26099999999997</v>
      </c>
      <c r="K30" s="405">
        <v>0.18880758702843373</v>
      </c>
      <c r="L30" s="406">
        <v>16.266807977804888</v>
      </c>
      <c r="M30" s="105">
        <v>634</v>
      </c>
      <c r="N30" s="405">
        <v>0.18691259877586344</v>
      </c>
      <c r="O30" s="406">
        <v>11.568451820554305</v>
      </c>
      <c r="P30" s="105">
        <v>429.32299999999998</v>
      </c>
      <c r="Q30" s="405">
        <v>0.1133739305377103</v>
      </c>
      <c r="R30" s="405">
        <v>-32.283438485804417</v>
      </c>
    </row>
    <row r="31" spans="1:18" ht="16.149999999999999" customHeight="1" x14ac:dyDescent="0.25">
      <c r="A31" s="632"/>
      <c r="B31" s="634"/>
      <c r="C31" s="421" t="s">
        <v>52</v>
      </c>
      <c r="D31" s="105"/>
      <c r="E31" s="128"/>
      <c r="F31" s="105"/>
      <c r="G31" s="405"/>
      <c r="H31" s="406"/>
      <c r="I31" s="405"/>
      <c r="J31" s="122"/>
      <c r="K31" s="405"/>
      <c r="L31" s="406"/>
      <c r="M31" s="105"/>
      <c r="N31" s="405"/>
      <c r="O31" s="406"/>
      <c r="P31" s="105"/>
      <c r="Q31" s="405"/>
      <c r="R31" s="405"/>
    </row>
    <row r="32" spans="1:18" ht="16.149999999999999" customHeight="1" x14ac:dyDescent="0.25">
      <c r="A32" s="632"/>
      <c r="B32" s="634"/>
      <c r="C32" s="421" t="s">
        <v>260</v>
      </c>
      <c r="D32" s="105">
        <v>734.21299999999997</v>
      </c>
      <c r="E32" s="413">
        <v>0.33932954634515211</v>
      </c>
      <c r="F32" s="105">
        <v>1420.72</v>
      </c>
      <c r="G32" s="405">
        <v>0.51295663203195763</v>
      </c>
      <c r="H32" s="406">
        <v>93.502430493603356</v>
      </c>
      <c r="I32" s="405"/>
      <c r="J32" s="122">
        <v>1852.0360000000001</v>
      </c>
      <c r="K32" s="405">
        <v>0.61534831397859846</v>
      </c>
      <c r="L32" s="406">
        <v>30.358972915141624</v>
      </c>
      <c r="M32" s="105">
        <v>1977</v>
      </c>
      <c r="N32" s="405">
        <v>0.58284890817016088</v>
      </c>
      <c r="O32" s="406">
        <v>6.747385040031606</v>
      </c>
      <c r="P32" s="105">
        <v>1374.9580000000001</v>
      </c>
      <c r="Q32" s="405">
        <v>0.3630935048536163</v>
      </c>
      <c r="R32" s="405">
        <v>-30.452301466868992</v>
      </c>
    </row>
    <row r="33" spans="1:18" ht="16.149999999999999" customHeight="1" x14ac:dyDescent="0.25">
      <c r="A33" s="632"/>
      <c r="B33" s="634"/>
      <c r="C33" s="422" t="s">
        <v>53</v>
      </c>
      <c r="D33" s="105"/>
      <c r="E33" s="406"/>
      <c r="F33" s="105"/>
      <c r="G33" s="405"/>
      <c r="H33" s="406"/>
      <c r="I33" s="405"/>
      <c r="J33" s="122"/>
      <c r="K33" s="405"/>
      <c r="L33" s="406"/>
      <c r="M33" s="105"/>
      <c r="N33" s="405"/>
      <c r="O33" s="406"/>
      <c r="P33" s="105"/>
      <c r="Q33" s="405"/>
      <c r="R33" s="405"/>
    </row>
    <row r="34" spans="1:18" ht="16.149999999999999" customHeight="1" x14ac:dyDescent="0.25">
      <c r="A34" s="632"/>
      <c r="B34" s="634"/>
      <c r="C34" s="421" t="s">
        <v>261</v>
      </c>
      <c r="D34" s="105" t="s">
        <v>55</v>
      </c>
      <c r="E34" s="418" t="s">
        <v>55</v>
      </c>
      <c r="F34" s="105" t="s">
        <v>55</v>
      </c>
      <c r="G34" s="122" t="s">
        <v>55</v>
      </c>
      <c r="H34" s="418" t="s">
        <v>55</v>
      </c>
      <c r="I34" s="122"/>
      <c r="J34" s="122" t="s">
        <v>55</v>
      </c>
      <c r="K34" s="122" t="s">
        <v>55</v>
      </c>
      <c r="L34" s="418" t="s">
        <v>55</v>
      </c>
      <c r="M34" s="105">
        <v>3150</v>
      </c>
      <c r="N34" s="405">
        <v>0.92866669738796515</v>
      </c>
      <c r="O34" s="418" t="s">
        <v>375</v>
      </c>
      <c r="P34" s="105">
        <v>4314.0572590000002</v>
      </c>
      <c r="Q34" s="405">
        <v>1.1392392860796441</v>
      </c>
      <c r="R34" s="405">
        <v>36.954198698412696</v>
      </c>
    </row>
    <row r="35" spans="1:18" ht="16.149999999999999" customHeight="1" x14ac:dyDescent="0.25">
      <c r="A35" s="632"/>
      <c r="B35" s="634"/>
      <c r="C35" s="421" t="s">
        <v>54</v>
      </c>
      <c r="D35" s="105"/>
      <c r="E35" s="406"/>
      <c r="F35" s="105"/>
      <c r="G35" s="405"/>
      <c r="H35" s="406"/>
      <c r="I35" s="405"/>
      <c r="J35" s="122"/>
      <c r="K35" s="405"/>
      <c r="L35" s="406"/>
      <c r="M35" s="105"/>
      <c r="N35" s="405"/>
      <c r="O35" s="406"/>
      <c r="P35" s="105"/>
      <c r="Q35" s="405"/>
      <c r="R35" s="405"/>
    </row>
    <row r="36" spans="1:18" ht="16.149999999999999" customHeight="1" x14ac:dyDescent="0.25">
      <c r="A36" s="632"/>
      <c r="B36" s="634"/>
      <c r="C36" s="404" t="s">
        <v>262</v>
      </c>
      <c r="D36" s="105">
        <v>113499.00000000001</v>
      </c>
      <c r="E36" s="413">
        <v>52.455573764872632</v>
      </c>
      <c r="F36" s="105">
        <v>130995</v>
      </c>
      <c r="G36" s="405">
        <v>47.29626809858825</v>
      </c>
      <c r="H36" s="406">
        <v>15.415113789548784</v>
      </c>
      <c r="I36" s="415"/>
      <c r="J36" s="122">
        <v>146019.4435891454</v>
      </c>
      <c r="K36" s="405">
        <v>48.515697546199796</v>
      </c>
      <c r="L36" s="414">
        <v>11.469478674106192</v>
      </c>
      <c r="M36" s="105">
        <v>160911.34826852777</v>
      </c>
      <c r="N36" s="405">
        <v>47.439050910723282</v>
      </c>
      <c r="O36" s="414">
        <v>10.198576513744072</v>
      </c>
      <c r="P36" s="105">
        <v>107044.40081641577</v>
      </c>
      <c r="Q36" s="405">
        <v>28.267864667420898</v>
      </c>
      <c r="R36" s="415">
        <v>-33.476164379792039</v>
      </c>
    </row>
    <row r="37" spans="1:18" ht="16.149999999999999" customHeight="1" x14ac:dyDescent="0.25">
      <c r="A37" s="632"/>
      <c r="B37" s="634"/>
      <c r="C37" s="404" t="s">
        <v>230</v>
      </c>
      <c r="D37" s="105"/>
      <c r="E37" s="405"/>
      <c r="F37" s="105"/>
      <c r="G37" s="405"/>
      <c r="H37" s="406"/>
      <c r="I37" s="405"/>
      <c r="J37" s="122"/>
      <c r="K37" s="405"/>
      <c r="L37" s="406"/>
      <c r="M37" s="105"/>
      <c r="N37" s="405"/>
      <c r="O37" s="406"/>
      <c r="P37" s="105"/>
      <c r="Q37" s="405"/>
      <c r="R37" s="405"/>
    </row>
    <row r="38" spans="1:18" s="3" customFormat="1" ht="16.149999999999999" customHeight="1" x14ac:dyDescent="0.25">
      <c r="A38" s="632"/>
      <c r="B38" s="634"/>
      <c r="C38" s="423" t="s">
        <v>415</v>
      </c>
      <c r="D38" s="105">
        <v>104619.00000000001</v>
      </c>
      <c r="E38" s="413">
        <v>48.351524433758975</v>
      </c>
      <c r="F38" s="105">
        <v>119616</v>
      </c>
      <c r="G38" s="405">
        <v>43.187834687436407</v>
      </c>
      <c r="H38" s="406">
        <v>14.334872250738373</v>
      </c>
      <c r="I38" s="405"/>
      <c r="J38" s="122">
        <v>130266.99999999997</v>
      </c>
      <c r="K38" s="405">
        <v>43.281868612192234</v>
      </c>
      <c r="L38" s="406">
        <v>8.904327180310311</v>
      </c>
      <c r="M38" s="105">
        <v>144479</v>
      </c>
      <c r="N38" s="405">
        <v>42.594551038703429</v>
      </c>
      <c r="O38" s="406">
        <v>10.909900435259923</v>
      </c>
      <c r="P38" s="105">
        <v>84303</v>
      </c>
      <c r="Q38" s="405">
        <v>22.262404916858852</v>
      </c>
      <c r="R38" s="405">
        <v>-41.650343648557921</v>
      </c>
    </row>
    <row r="39" spans="1:18" ht="16.149999999999999" customHeight="1" x14ac:dyDescent="0.25">
      <c r="A39" s="632"/>
      <c r="B39" s="634"/>
      <c r="C39" s="424" t="s">
        <v>458</v>
      </c>
      <c r="D39" s="105"/>
      <c r="E39" s="406"/>
      <c r="F39" s="105"/>
      <c r="G39" s="405"/>
      <c r="H39" s="406"/>
      <c r="I39" s="405"/>
      <c r="J39" s="122"/>
      <c r="K39" s="405"/>
      <c r="L39" s="406"/>
      <c r="M39" s="105"/>
      <c r="N39" s="405"/>
      <c r="O39" s="406"/>
      <c r="P39" s="105"/>
      <c r="Q39" s="405"/>
      <c r="R39" s="405"/>
    </row>
    <row r="40" spans="1:18" s="7" customFormat="1" ht="16.149999999999999" customHeight="1" x14ac:dyDescent="0.25">
      <c r="A40" s="632"/>
      <c r="B40" s="634"/>
      <c r="C40" s="416" t="s">
        <v>247</v>
      </c>
      <c r="D40" s="105">
        <v>8880</v>
      </c>
      <c r="E40" s="413">
        <v>4.1040493311136563</v>
      </c>
      <c r="F40" s="105">
        <v>11379</v>
      </c>
      <c r="G40" s="405">
        <v>4.108433411151843</v>
      </c>
      <c r="H40" s="406">
        <v>28.141891891891891</v>
      </c>
      <c r="I40" s="405"/>
      <c r="J40" s="122">
        <v>11666</v>
      </c>
      <c r="K40" s="405">
        <v>3.8760874145396365</v>
      </c>
      <c r="L40" s="406">
        <v>2.5221899991211938</v>
      </c>
      <c r="M40" s="105">
        <v>11594</v>
      </c>
      <c r="N40" s="405">
        <v>3.4180830760368464</v>
      </c>
      <c r="O40" s="406">
        <v>-0.61717812446425713</v>
      </c>
      <c r="P40" s="105">
        <v>17685</v>
      </c>
      <c r="Q40" s="405">
        <v>4.670185295358988</v>
      </c>
      <c r="R40" s="405">
        <v>52.53579437640159</v>
      </c>
    </row>
    <row r="41" spans="1:18" ht="16.149999999999999" customHeight="1" x14ac:dyDescent="0.25">
      <c r="A41" s="632"/>
      <c r="B41" s="634"/>
      <c r="C41" s="416" t="s">
        <v>221</v>
      </c>
      <c r="D41" s="105"/>
      <c r="E41" s="128"/>
      <c r="F41" s="105"/>
      <c r="G41" s="405"/>
      <c r="H41" s="406"/>
      <c r="I41" s="405"/>
      <c r="J41" s="122"/>
      <c r="K41" s="405"/>
      <c r="L41" s="406"/>
      <c r="M41" s="105"/>
      <c r="N41" s="405"/>
      <c r="O41" s="406"/>
      <c r="P41" s="105"/>
      <c r="Q41" s="405"/>
      <c r="R41" s="405"/>
    </row>
    <row r="42" spans="1:18" ht="16.149999999999999" customHeight="1" x14ac:dyDescent="0.25">
      <c r="A42" s="632"/>
      <c r="B42" s="634"/>
      <c r="C42" s="416" t="s">
        <v>248</v>
      </c>
      <c r="D42" s="105" t="s">
        <v>55</v>
      </c>
      <c r="E42" s="418" t="s">
        <v>55</v>
      </c>
      <c r="F42" s="105" t="s">
        <v>55</v>
      </c>
      <c r="G42" s="122" t="s">
        <v>55</v>
      </c>
      <c r="H42" s="418" t="s">
        <v>55</v>
      </c>
      <c r="I42" s="122"/>
      <c r="J42" s="122">
        <v>4086.443589145425</v>
      </c>
      <c r="K42" s="405">
        <v>1.3577415194679205</v>
      </c>
      <c r="L42" s="418" t="s">
        <v>376</v>
      </c>
      <c r="M42" s="105">
        <v>4838.3482685277813</v>
      </c>
      <c r="N42" s="405">
        <v>1.4264167959830076</v>
      </c>
      <c r="O42" s="406">
        <v>18.399976972142618</v>
      </c>
      <c r="P42" s="105">
        <v>5056.4008164157685</v>
      </c>
      <c r="Q42" s="405">
        <v>1.3352744552030595</v>
      </c>
      <c r="R42" s="405">
        <v>4.5067559378964672</v>
      </c>
    </row>
    <row r="43" spans="1:18" ht="16.149999999999999" customHeight="1" x14ac:dyDescent="0.25">
      <c r="A43" s="632"/>
      <c r="B43" s="634"/>
      <c r="C43" s="416" t="s">
        <v>222</v>
      </c>
      <c r="D43" s="105"/>
      <c r="E43" s="405"/>
      <c r="F43" s="105"/>
      <c r="G43" s="405"/>
      <c r="H43" s="406"/>
      <c r="I43" s="405"/>
      <c r="J43" s="122"/>
      <c r="K43" s="405"/>
      <c r="L43" s="406"/>
      <c r="M43" s="105"/>
      <c r="N43" s="405"/>
      <c r="O43" s="406"/>
      <c r="P43" s="105"/>
      <c r="Q43" s="405"/>
      <c r="R43" s="405"/>
    </row>
    <row r="44" spans="1:18" ht="4.1500000000000004" customHeight="1" x14ac:dyDescent="0.25">
      <c r="A44" s="425"/>
      <c r="B44" s="426"/>
      <c r="C44" s="427"/>
      <c r="D44" s="112"/>
      <c r="E44" s="428"/>
      <c r="F44" s="112"/>
      <c r="G44" s="429"/>
      <c r="H44" s="430"/>
      <c r="I44" s="431"/>
      <c r="J44" s="123"/>
      <c r="K44" s="429"/>
      <c r="L44" s="430"/>
      <c r="M44" s="112"/>
      <c r="N44" s="429"/>
      <c r="O44" s="430"/>
      <c r="P44" s="112"/>
      <c r="Q44" s="429"/>
      <c r="R44" s="429"/>
    </row>
    <row r="45" spans="1:18" ht="4.1500000000000004" customHeight="1" x14ac:dyDescent="0.25">
      <c r="A45" s="432"/>
      <c r="B45" s="412"/>
      <c r="C45" s="404"/>
      <c r="D45" s="105"/>
      <c r="E45" s="128"/>
      <c r="F45" s="105"/>
      <c r="G45" s="405"/>
      <c r="H45" s="406"/>
      <c r="I45" s="405"/>
      <c r="J45" s="122"/>
      <c r="K45" s="405"/>
      <c r="L45" s="406"/>
      <c r="M45" s="105"/>
      <c r="N45" s="405"/>
      <c r="O45" s="406"/>
      <c r="P45" s="105"/>
      <c r="Q45" s="405"/>
      <c r="R45" s="405"/>
    </row>
    <row r="46" spans="1:18" s="3" customFormat="1" ht="16.149999999999999" customHeight="1" x14ac:dyDescent="0.25">
      <c r="A46" s="630" t="s">
        <v>294</v>
      </c>
      <c r="B46" s="633" t="s">
        <v>231</v>
      </c>
      <c r="C46" s="407" t="s">
        <v>246</v>
      </c>
      <c r="D46" s="124" t="s">
        <v>55</v>
      </c>
      <c r="E46" s="254" t="s">
        <v>55</v>
      </c>
      <c r="F46" s="124" t="s">
        <v>55</v>
      </c>
      <c r="G46" s="153" t="s">
        <v>55</v>
      </c>
      <c r="H46" s="254" t="s">
        <v>55</v>
      </c>
      <c r="I46" s="153"/>
      <c r="J46" s="153" t="s">
        <v>55</v>
      </c>
      <c r="K46" s="153" t="s">
        <v>55</v>
      </c>
      <c r="L46" s="254" t="s">
        <v>55</v>
      </c>
      <c r="M46" s="124" t="s">
        <v>55</v>
      </c>
      <c r="N46" s="153" t="s">
        <v>55</v>
      </c>
      <c r="O46" s="254" t="s">
        <v>55</v>
      </c>
      <c r="P46" s="124" t="s">
        <v>55</v>
      </c>
      <c r="Q46" s="153" t="s">
        <v>55</v>
      </c>
      <c r="R46" s="153" t="s">
        <v>55</v>
      </c>
    </row>
    <row r="47" spans="1:18" ht="16.149999999999999" customHeight="1" x14ac:dyDescent="0.25">
      <c r="A47" s="631"/>
      <c r="B47" s="633"/>
      <c r="C47" s="407" t="s">
        <v>14</v>
      </c>
      <c r="D47" s="105"/>
      <c r="E47" s="406"/>
      <c r="F47" s="105"/>
      <c r="G47" s="433"/>
      <c r="H47" s="434"/>
      <c r="I47" s="433"/>
      <c r="J47" s="122"/>
      <c r="K47" s="433"/>
      <c r="L47" s="434"/>
      <c r="M47" s="105"/>
      <c r="N47" s="433"/>
      <c r="O47" s="434"/>
      <c r="P47" s="105"/>
      <c r="Q47" s="405"/>
      <c r="R47" s="433"/>
    </row>
    <row r="48" spans="1:18" ht="16.149999999999999" customHeight="1" x14ac:dyDescent="0.25">
      <c r="A48" s="631"/>
      <c r="B48" s="633"/>
      <c r="C48" s="435" t="s">
        <v>437</v>
      </c>
      <c r="D48" s="105" t="s">
        <v>55</v>
      </c>
      <c r="E48" s="418" t="s">
        <v>55</v>
      </c>
      <c r="F48" s="105" t="s">
        <v>55</v>
      </c>
      <c r="G48" s="122" t="s">
        <v>55</v>
      </c>
      <c r="H48" s="418" t="s">
        <v>55</v>
      </c>
      <c r="I48" s="122"/>
      <c r="J48" s="122" t="s">
        <v>55</v>
      </c>
      <c r="K48" s="122" t="s">
        <v>55</v>
      </c>
      <c r="L48" s="418" t="s">
        <v>55</v>
      </c>
      <c r="M48" s="105" t="s">
        <v>55</v>
      </c>
      <c r="N48" s="122" t="s">
        <v>55</v>
      </c>
      <c r="O48" s="418" t="s">
        <v>55</v>
      </c>
      <c r="P48" s="105" t="s">
        <v>55</v>
      </c>
      <c r="Q48" s="122" t="s">
        <v>55</v>
      </c>
      <c r="R48" s="122" t="s">
        <v>55</v>
      </c>
    </row>
    <row r="49" spans="1:18" ht="14.45" customHeight="1" x14ac:dyDescent="0.25">
      <c r="A49" s="631"/>
      <c r="B49" s="633"/>
      <c r="C49" s="436" t="s">
        <v>440</v>
      </c>
      <c r="D49" s="105"/>
      <c r="E49" s="406"/>
      <c r="F49" s="105"/>
      <c r="G49" s="433"/>
      <c r="H49" s="434"/>
      <c r="I49" s="433"/>
      <c r="J49" s="122"/>
      <c r="K49" s="433"/>
      <c r="L49" s="434"/>
      <c r="M49" s="105"/>
      <c r="N49" s="433"/>
      <c r="O49" s="434"/>
      <c r="P49" s="105"/>
      <c r="Q49" s="405"/>
      <c r="R49" s="433"/>
    </row>
    <row r="50" spans="1:18" ht="16.149999999999999" customHeight="1" x14ac:dyDescent="0.25">
      <c r="A50" s="631"/>
      <c r="B50" s="633"/>
      <c r="C50" s="404" t="s">
        <v>263</v>
      </c>
      <c r="D50" s="105" t="s">
        <v>55</v>
      </c>
      <c r="E50" s="418" t="s">
        <v>55</v>
      </c>
      <c r="F50" s="105" t="s">
        <v>55</v>
      </c>
      <c r="G50" s="122" t="s">
        <v>55</v>
      </c>
      <c r="H50" s="418" t="s">
        <v>55</v>
      </c>
      <c r="I50" s="122"/>
      <c r="J50" s="122" t="s">
        <v>55</v>
      </c>
      <c r="K50" s="122" t="s">
        <v>55</v>
      </c>
      <c r="L50" s="418" t="s">
        <v>55</v>
      </c>
      <c r="M50" s="105" t="s">
        <v>55</v>
      </c>
      <c r="N50" s="122" t="s">
        <v>55</v>
      </c>
      <c r="O50" s="418" t="s">
        <v>55</v>
      </c>
      <c r="P50" s="105" t="s">
        <v>55</v>
      </c>
      <c r="Q50" s="122" t="s">
        <v>55</v>
      </c>
      <c r="R50" s="122" t="s">
        <v>55</v>
      </c>
    </row>
    <row r="51" spans="1:18" ht="13.15" customHeight="1" x14ac:dyDescent="0.25">
      <c r="A51" s="631"/>
      <c r="B51" s="633"/>
      <c r="C51" s="437" t="s">
        <v>232</v>
      </c>
      <c r="D51" s="105"/>
      <c r="E51" s="406"/>
      <c r="F51" s="105"/>
      <c r="G51" s="433"/>
      <c r="H51" s="283"/>
      <c r="I51" s="169"/>
      <c r="J51" s="122"/>
      <c r="K51" s="433"/>
      <c r="L51" s="283"/>
      <c r="M51" s="105"/>
      <c r="N51" s="433"/>
      <c r="O51" s="283"/>
      <c r="P51" s="105"/>
      <c r="Q51" s="405"/>
      <c r="R51" s="169"/>
    </row>
    <row r="52" spans="1:18" ht="16.149999999999999" customHeight="1" x14ac:dyDescent="0.25">
      <c r="A52" s="631"/>
      <c r="B52" s="633"/>
      <c r="C52" s="404" t="s">
        <v>264</v>
      </c>
      <c r="D52" s="105" t="s">
        <v>55</v>
      </c>
      <c r="E52" s="418" t="s">
        <v>55</v>
      </c>
      <c r="F52" s="105" t="s">
        <v>55</v>
      </c>
      <c r="G52" s="122" t="s">
        <v>55</v>
      </c>
      <c r="H52" s="418" t="s">
        <v>55</v>
      </c>
      <c r="I52" s="122"/>
      <c r="J52" s="122" t="s">
        <v>55</v>
      </c>
      <c r="K52" s="122" t="s">
        <v>55</v>
      </c>
      <c r="L52" s="418" t="s">
        <v>55</v>
      </c>
      <c r="M52" s="105" t="s">
        <v>55</v>
      </c>
      <c r="N52" s="122" t="s">
        <v>55</v>
      </c>
      <c r="O52" s="418" t="s">
        <v>55</v>
      </c>
      <c r="P52" s="105" t="s">
        <v>55</v>
      </c>
      <c r="Q52" s="122" t="s">
        <v>55</v>
      </c>
      <c r="R52" s="122" t="s">
        <v>55</v>
      </c>
    </row>
    <row r="53" spans="1:18" ht="14.45" customHeight="1" x14ac:dyDescent="0.25">
      <c r="A53" s="631"/>
      <c r="B53" s="633"/>
      <c r="C53" s="437" t="s">
        <v>40</v>
      </c>
      <c r="D53" s="105"/>
      <c r="E53" s="406"/>
      <c r="F53" s="105"/>
      <c r="G53" s="433"/>
      <c r="H53" s="434"/>
      <c r="I53" s="433"/>
      <c r="J53" s="122"/>
      <c r="K53" s="433"/>
      <c r="L53" s="434"/>
      <c r="M53" s="105"/>
      <c r="N53" s="433"/>
      <c r="O53" s="434"/>
      <c r="P53" s="105"/>
      <c r="Q53" s="405"/>
      <c r="R53" s="433"/>
    </row>
    <row r="54" spans="1:18" ht="4.7" customHeight="1" x14ac:dyDescent="0.25">
      <c r="A54" s="438"/>
      <c r="B54" s="439"/>
      <c r="C54" s="439"/>
      <c r="D54" s="440"/>
      <c r="E54" s="427"/>
      <c r="F54" s="441"/>
      <c r="G54" s="442"/>
      <c r="H54" s="443"/>
      <c r="I54" s="444"/>
      <c r="J54" s="442"/>
      <c r="K54" s="442"/>
      <c r="L54" s="443"/>
      <c r="M54" s="441"/>
      <c r="N54" s="442"/>
      <c r="O54" s="443"/>
      <c r="P54" s="445"/>
      <c r="Q54" s="442"/>
      <c r="R54" s="446"/>
    </row>
    <row r="55" spans="1:18" s="136" customFormat="1" ht="14.25" x14ac:dyDescent="0.25">
      <c r="A55" s="447" t="s">
        <v>459</v>
      </c>
      <c r="B55" s="447"/>
      <c r="C55" s="447"/>
      <c r="D55" s="448"/>
      <c r="E55" s="447"/>
      <c r="F55" s="447"/>
      <c r="G55" s="448"/>
      <c r="H55" s="449"/>
      <c r="I55" s="449"/>
      <c r="J55" s="450" t="s">
        <v>483</v>
      </c>
      <c r="K55" s="447"/>
      <c r="L55" s="449"/>
      <c r="M55" s="447"/>
      <c r="N55" s="447"/>
      <c r="O55" s="449"/>
      <c r="P55" s="447"/>
      <c r="Q55" s="447"/>
      <c r="R55" s="451"/>
    </row>
    <row r="56" spans="1:18" s="136" customFormat="1" ht="15.6" customHeight="1" x14ac:dyDescent="0.25">
      <c r="A56" s="447" t="s">
        <v>500</v>
      </c>
      <c r="B56" s="447"/>
      <c r="C56" s="447"/>
      <c r="D56" s="448"/>
      <c r="E56" s="447"/>
      <c r="F56" s="447"/>
      <c r="G56" s="448"/>
      <c r="H56" s="449"/>
      <c r="I56" s="449"/>
      <c r="J56" s="452" t="s">
        <v>502</v>
      </c>
      <c r="K56" s="447"/>
      <c r="L56" s="449"/>
      <c r="M56" s="447"/>
      <c r="N56" s="447"/>
      <c r="O56" s="449"/>
      <c r="P56" s="447"/>
      <c r="Q56" s="447"/>
      <c r="R56" s="451"/>
    </row>
    <row r="57" spans="1:18" s="136" customFormat="1" ht="13.15" customHeight="1" x14ac:dyDescent="0.25">
      <c r="A57" s="447" t="s">
        <v>566</v>
      </c>
      <c r="B57" s="447"/>
      <c r="C57" s="447"/>
      <c r="D57" s="448"/>
      <c r="E57" s="447"/>
      <c r="F57" s="447"/>
      <c r="G57" s="448"/>
      <c r="H57" s="449"/>
      <c r="I57" s="449"/>
      <c r="J57" s="450" t="s">
        <v>394</v>
      </c>
      <c r="K57" s="448"/>
      <c r="L57" s="449"/>
      <c r="M57" s="447"/>
      <c r="N57" s="448"/>
      <c r="O57" s="449"/>
      <c r="P57" s="447"/>
      <c r="Q57" s="447"/>
      <c r="R57" s="451"/>
    </row>
    <row r="58" spans="1:18" s="136" customFormat="1" ht="15.75" customHeight="1" x14ac:dyDescent="0.25">
      <c r="A58" s="447" t="s">
        <v>567</v>
      </c>
      <c r="B58" s="447"/>
      <c r="C58" s="447"/>
      <c r="D58" s="448"/>
      <c r="E58" s="447"/>
      <c r="F58" s="447"/>
      <c r="G58" s="448"/>
      <c r="H58" s="449"/>
      <c r="I58" s="449"/>
      <c r="J58" s="450" t="s">
        <v>484</v>
      </c>
      <c r="K58" s="448"/>
      <c r="L58" s="449"/>
      <c r="M58" s="447"/>
      <c r="N58" s="448"/>
      <c r="O58" s="449"/>
      <c r="P58" s="447"/>
      <c r="Q58" s="447"/>
      <c r="R58" s="451"/>
    </row>
    <row r="59" spans="1:18" s="136" customFormat="1" ht="16.149999999999999" customHeight="1" x14ac:dyDescent="0.25">
      <c r="A59" s="447" t="s">
        <v>501</v>
      </c>
      <c r="B59" s="447"/>
      <c r="C59" s="447"/>
      <c r="D59" s="448"/>
      <c r="E59" s="447"/>
      <c r="F59" s="447"/>
      <c r="G59" s="448"/>
      <c r="H59" s="449"/>
      <c r="I59" s="449"/>
      <c r="J59" s="450" t="s">
        <v>233</v>
      </c>
      <c r="K59" s="448"/>
      <c r="L59" s="449"/>
      <c r="M59" s="447"/>
      <c r="N59" s="448"/>
      <c r="O59" s="449"/>
      <c r="P59" s="447"/>
      <c r="Q59" s="448"/>
      <c r="R59" s="449"/>
    </row>
    <row r="60" spans="1:18" ht="12.6" customHeight="1" x14ac:dyDescent="0.25">
      <c r="A60" s="453"/>
      <c r="B60" s="453"/>
      <c r="C60" s="453"/>
      <c r="D60" s="453"/>
      <c r="E60" s="453"/>
      <c r="F60" s="453"/>
      <c r="G60" s="454"/>
      <c r="H60" s="455"/>
      <c r="I60" s="455"/>
      <c r="J60" s="452" t="s">
        <v>503</v>
      </c>
      <c r="K60" s="453"/>
      <c r="L60" s="455"/>
      <c r="M60" s="454"/>
      <c r="N60" s="453"/>
      <c r="O60" s="455"/>
      <c r="P60" s="454"/>
      <c r="Q60" s="453"/>
      <c r="R60" s="455"/>
    </row>
    <row r="61" spans="1:18" ht="15.75" customHeight="1" x14ac:dyDescent="0.25"/>
  </sheetData>
  <mergeCells count="19">
    <mergeCell ref="A10:A43"/>
    <mergeCell ref="B10:B43"/>
    <mergeCell ref="A46:A53"/>
    <mergeCell ref="B46:B53"/>
    <mergeCell ref="F5:H5"/>
    <mergeCell ref="J5:L5"/>
    <mergeCell ref="M5:O5"/>
    <mergeCell ref="P5:R5"/>
    <mergeCell ref="H7:H8"/>
    <mergeCell ref="L7:L8"/>
    <mergeCell ref="O7:O8"/>
    <mergeCell ref="R7:R8"/>
    <mergeCell ref="A1:H1"/>
    <mergeCell ref="J1:R1"/>
    <mergeCell ref="D4:E4"/>
    <mergeCell ref="F4:H4"/>
    <mergeCell ref="J4:L4"/>
    <mergeCell ref="M4:O4"/>
    <mergeCell ref="P4:R4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4" firstPageNumber="2" fitToWidth="2" fitToHeight="0" orientation="portrait" r:id="rId1"/>
  <headerFooter alignWithMargins="0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00"/>
  </sheetPr>
  <dimension ref="A1:CG50"/>
  <sheetViews>
    <sheetView view="pageBreakPreview" zoomScale="70" zoomScaleNormal="70" zoomScaleSheetLayoutView="70" workbookViewId="0">
      <pane xSplit="3" ySplit="9" topLeftCell="BC10" activePane="bottomRight" state="frozen"/>
      <selection activeCell="I7" sqref="I7:I8"/>
      <selection pane="topRight" activeCell="I7" sqref="I7:I8"/>
      <selection pane="bottomLeft" activeCell="I7" sqref="I7:I8"/>
      <selection pane="bottomRight" activeCell="BX14" sqref="BX14"/>
    </sheetView>
  </sheetViews>
  <sheetFormatPr defaultColWidth="8.875" defaultRowHeight="11.25" x14ac:dyDescent="0.25"/>
  <cols>
    <col min="1" max="1" width="2.375" style="3" customWidth="1"/>
    <col min="2" max="2" width="2.625" style="4" customWidth="1"/>
    <col min="3" max="3" width="40.375" style="4" customWidth="1"/>
    <col min="4" max="4" width="11" style="3" bestFit="1" customWidth="1"/>
    <col min="5" max="5" width="9.625" style="4" customWidth="1"/>
    <col min="6" max="6" width="10.125" style="38" customWidth="1"/>
    <col min="7" max="7" width="11" style="4" bestFit="1" customWidth="1"/>
    <col min="8" max="8" width="9.5" style="3" customWidth="1"/>
    <col min="9" max="9" width="11.625" style="37" customWidth="1"/>
    <col min="10" max="10" width="0.875" style="37" customWidth="1"/>
    <col min="11" max="11" width="12.5" style="4" customWidth="1"/>
    <col min="12" max="12" width="11.5" style="3" customWidth="1"/>
    <col min="13" max="13" width="14.625" style="37" customWidth="1"/>
    <col min="14" max="14" width="12.25" style="4" customWidth="1"/>
    <col min="15" max="15" width="11.125" style="3" customWidth="1"/>
    <col min="16" max="16" width="12.625" style="37" customWidth="1"/>
    <col min="17" max="17" width="12.5" style="4" customWidth="1"/>
    <col min="18" max="18" width="12.875" style="3" customWidth="1"/>
    <col min="19" max="19" width="12.25" style="37" customWidth="1"/>
    <col min="20" max="20" width="3" style="3" customWidth="1"/>
    <col min="21" max="21" width="2.5" style="4" customWidth="1"/>
    <col min="22" max="22" width="40.375" style="4" customWidth="1"/>
    <col min="23" max="23" width="11" style="4" bestFit="1" customWidth="1"/>
    <col min="24" max="24" width="9.625" style="3" customWidth="1"/>
    <col min="25" max="25" width="11.625" style="37" customWidth="1"/>
    <col min="26" max="26" width="11" style="3" bestFit="1" customWidth="1"/>
    <col min="27" max="27" width="9.625" style="3" customWidth="1"/>
    <col min="28" max="28" width="11.625" style="37" customWidth="1"/>
    <col min="29" max="29" width="0.5" style="37" customWidth="1"/>
    <col min="30" max="30" width="12.625" style="4" customWidth="1"/>
    <col min="31" max="31" width="12.625" style="3" customWidth="1"/>
    <col min="32" max="32" width="12.625" style="37" customWidth="1"/>
    <col min="33" max="33" width="12.625" style="4" customWidth="1"/>
    <col min="34" max="34" width="12.625" style="3" customWidth="1"/>
    <col min="35" max="35" width="12.625" style="37" customWidth="1"/>
    <col min="36" max="36" width="12.625" style="4" customWidth="1"/>
    <col min="37" max="37" width="12.625" style="3" customWidth="1"/>
    <col min="38" max="38" width="12.625" style="37" customWidth="1"/>
    <col min="39" max="39" width="2.625" style="3" customWidth="1"/>
    <col min="40" max="40" width="2.625" style="4" customWidth="1"/>
    <col min="41" max="41" width="40.375" style="4" customWidth="1"/>
    <col min="42" max="42" width="11" style="4" bestFit="1" customWidth="1"/>
    <col min="43" max="43" width="9.625" style="3" customWidth="1"/>
    <col min="44" max="44" width="11.625" style="37" customWidth="1"/>
    <col min="45" max="45" width="11" style="4" bestFit="1" customWidth="1"/>
    <col min="46" max="46" width="9.625" style="3" customWidth="1"/>
    <col min="47" max="47" width="11.625" style="37" customWidth="1"/>
    <col min="48" max="48" width="0.375" style="37" customWidth="1"/>
    <col min="49" max="49" width="12.625" style="4" customWidth="1"/>
    <col min="50" max="50" width="12.625" style="3" customWidth="1"/>
    <col min="51" max="51" width="12.625" style="37" customWidth="1"/>
    <col min="52" max="52" width="12.625" style="4" customWidth="1"/>
    <col min="53" max="53" width="12.625" style="3" customWidth="1"/>
    <col min="54" max="54" width="12.625" style="37" customWidth="1"/>
    <col min="55" max="55" width="12.625" style="4" customWidth="1"/>
    <col min="56" max="56" width="12.625" style="3" customWidth="1"/>
    <col min="57" max="57" width="12.625" style="37" customWidth="1"/>
    <col min="58" max="58" width="2.625" style="3" customWidth="1"/>
    <col min="59" max="59" width="2.625" style="4" customWidth="1"/>
    <col min="60" max="60" width="40.375" style="4" customWidth="1"/>
    <col min="61" max="61" width="12.625" style="4" bestFit="1" customWidth="1"/>
    <col min="62" max="62" width="9.625" style="3" customWidth="1"/>
    <col min="63" max="63" width="13.25" style="37" customWidth="1"/>
    <col min="64" max="64" width="11.75" style="4" customWidth="1"/>
    <col min="65" max="65" width="9.625" style="3" customWidth="1"/>
    <col min="66" max="66" width="13.125" style="37" customWidth="1"/>
    <col min="67" max="67" width="0.5" style="37" customWidth="1"/>
    <col min="68" max="68" width="12.375" style="4" customWidth="1"/>
    <col min="69" max="69" width="10.75" style="3" customWidth="1"/>
    <col min="70" max="70" width="12.375" style="37" customWidth="1"/>
    <col min="71" max="71" width="12.875" style="4" bestFit="1" customWidth="1"/>
    <col min="72" max="72" width="10.25" style="3" customWidth="1"/>
    <col min="73" max="73" width="12.375" style="37" customWidth="1"/>
    <col min="74" max="74" width="12.375" style="4" customWidth="1"/>
    <col min="75" max="75" width="11.25" style="3" customWidth="1"/>
    <col min="76" max="76" width="12.375" style="37" customWidth="1"/>
    <col min="77" max="16384" width="8.875" style="4"/>
  </cols>
  <sheetData>
    <row r="1" spans="1:77" s="10" customFormat="1" ht="31.9" customHeight="1" x14ac:dyDescent="0.25">
      <c r="A1" s="620" t="s">
        <v>679</v>
      </c>
      <c r="B1" s="647"/>
      <c r="C1" s="647"/>
      <c r="D1" s="647"/>
      <c r="E1" s="647"/>
      <c r="F1" s="647"/>
      <c r="G1" s="647"/>
      <c r="H1" s="647"/>
      <c r="I1" s="647"/>
      <c r="J1" s="90"/>
      <c r="K1" s="646" t="s">
        <v>234</v>
      </c>
      <c r="L1" s="647"/>
      <c r="M1" s="647"/>
      <c r="N1" s="647"/>
      <c r="O1" s="647"/>
      <c r="P1" s="647"/>
      <c r="Q1" s="647"/>
      <c r="R1" s="647"/>
      <c r="S1" s="647"/>
      <c r="T1" s="620" t="s">
        <v>680</v>
      </c>
      <c r="U1" s="647"/>
      <c r="V1" s="647"/>
      <c r="W1" s="647"/>
      <c r="X1" s="647"/>
      <c r="Y1" s="647"/>
      <c r="Z1" s="647"/>
      <c r="AA1" s="647"/>
      <c r="AB1" s="647"/>
      <c r="AC1" s="90"/>
      <c r="AD1" s="646" t="s">
        <v>235</v>
      </c>
      <c r="AE1" s="647"/>
      <c r="AF1" s="647"/>
      <c r="AG1" s="647"/>
      <c r="AH1" s="647"/>
      <c r="AI1" s="647"/>
      <c r="AJ1" s="647"/>
      <c r="AK1" s="647"/>
      <c r="AL1" s="647"/>
      <c r="AM1" s="620" t="s">
        <v>681</v>
      </c>
      <c r="AN1" s="647"/>
      <c r="AO1" s="647"/>
      <c r="AP1" s="647"/>
      <c r="AQ1" s="647"/>
      <c r="AR1" s="647"/>
      <c r="AS1" s="647"/>
      <c r="AT1" s="647"/>
      <c r="AU1" s="647"/>
      <c r="AV1" s="90"/>
      <c r="AW1" s="646" t="s">
        <v>236</v>
      </c>
      <c r="AX1" s="647"/>
      <c r="AY1" s="647"/>
      <c r="AZ1" s="647"/>
      <c r="BA1" s="647"/>
      <c r="BB1" s="647"/>
      <c r="BC1" s="647"/>
      <c r="BD1" s="647"/>
      <c r="BE1" s="647"/>
      <c r="BF1" s="620" t="s">
        <v>682</v>
      </c>
      <c r="BG1" s="647"/>
      <c r="BH1" s="647"/>
      <c r="BI1" s="647"/>
      <c r="BJ1" s="647"/>
      <c r="BK1" s="647"/>
      <c r="BL1" s="647"/>
      <c r="BM1" s="647"/>
      <c r="BN1" s="647"/>
      <c r="BO1" s="90"/>
      <c r="BP1" s="646" t="s">
        <v>115</v>
      </c>
      <c r="BQ1" s="647"/>
      <c r="BR1" s="647"/>
      <c r="BS1" s="647"/>
      <c r="BT1" s="647"/>
      <c r="BU1" s="647"/>
      <c r="BV1" s="647"/>
      <c r="BW1" s="647"/>
      <c r="BX1" s="647"/>
      <c r="BY1" s="15"/>
    </row>
    <row r="2" spans="1:77" s="10" customFormat="1" ht="10.5" customHeight="1" x14ac:dyDescent="0.25">
      <c r="A2" s="385"/>
      <c r="B2" s="385"/>
      <c r="C2" s="385"/>
      <c r="D2" s="385"/>
      <c r="E2" s="385"/>
      <c r="F2" s="388"/>
      <c r="G2" s="376"/>
      <c r="H2" s="376"/>
      <c r="I2" s="388"/>
      <c r="J2" s="388"/>
      <c r="K2" s="376"/>
      <c r="L2" s="376"/>
      <c r="M2" s="388"/>
      <c r="N2" s="376"/>
      <c r="O2" s="376"/>
      <c r="P2" s="388"/>
      <c r="Q2" s="385"/>
      <c r="R2" s="385"/>
      <c r="S2" s="388"/>
      <c r="T2" s="385"/>
      <c r="U2" s="385"/>
      <c r="V2" s="385"/>
      <c r="W2" s="385"/>
      <c r="X2" s="385"/>
      <c r="Y2" s="388"/>
      <c r="Z2" s="376"/>
      <c r="AA2" s="376"/>
      <c r="AB2" s="388"/>
      <c r="AC2" s="388"/>
      <c r="AD2" s="331"/>
      <c r="AE2" s="380"/>
      <c r="AF2" s="456"/>
      <c r="AG2" s="457"/>
      <c r="AH2" s="458"/>
      <c r="AI2" s="456"/>
      <c r="AJ2" s="331"/>
      <c r="AK2" s="380"/>
      <c r="AL2" s="456"/>
      <c r="AM2" s="385"/>
      <c r="AN2" s="458"/>
      <c r="AO2" s="458"/>
      <c r="AP2" s="457"/>
      <c r="AQ2" s="458"/>
      <c r="AR2" s="456"/>
      <c r="AS2" s="331"/>
      <c r="AT2" s="380"/>
      <c r="AU2" s="456"/>
      <c r="AV2" s="456"/>
      <c r="AW2" s="457"/>
      <c r="AX2" s="458"/>
      <c r="AY2" s="456"/>
      <c r="AZ2" s="331"/>
      <c r="BA2" s="380"/>
      <c r="BB2" s="456"/>
      <c r="BC2" s="457"/>
      <c r="BD2" s="458"/>
      <c r="BE2" s="456"/>
      <c r="BF2" s="385"/>
      <c r="BG2" s="458"/>
      <c r="BH2" s="458"/>
      <c r="BI2" s="457"/>
      <c r="BJ2" s="458"/>
      <c r="BK2" s="456"/>
      <c r="BL2" s="331"/>
      <c r="BM2" s="380"/>
      <c r="BN2" s="456"/>
      <c r="BO2" s="456"/>
      <c r="BP2" s="331"/>
      <c r="BQ2" s="380"/>
      <c r="BR2" s="456"/>
      <c r="BS2" s="453"/>
      <c r="BT2" s="454"/>
      <c r="BU2" s="455"/>
      <c r="BV2" s="453"/>
      <c r="BW2" s="454"/>
      <c r="BX2" s="455"/>
      <c r="BY2" s="11"/>
    </row>
    <row r="3" spans="1:77" s="12" customFormat="1" ht="15" customHeight="1" x14ac:dyDescent="0.25">
      <c r="A3" s="332" t="s">
        <v>387</v>
      </c>
      <c r="B3" s="332"/>
      <c r="C3" s="333"/>
      <c r="D3" s="389"/>
      <c r="E3" s="374"/>
      <c r="F3" s="392"/>
      <c r="G3" s="374"/>
      <c r="H3" s="389"/>
      <c r="I3" s="390"/>
      <c r="J3" s="390"/>
      <c r="K3" s="333"/>
      <c r="L3" s="391"/>
      <c r="M3" s="392"/>
      <c r="N3" s="333"/>
      <c r="O3" s="391"/>
      <c r="P3" s="393"/>
      <c r="Q3" s="394"/>
      <c r="R3" s="389"/>
      <c r="S3" s="390" t="s">
        <v>386</v>
      </c>
      <c r="T3" s="332" t="s">
        <v>387</v>
      </c>
      <c r="U3" s="332"/>
      <c r="V3" s="333"/>
      <c r="W3" s="374"/>
      <c r="X3" s="389"/>
      <c r="Y3" s="390"/>
      <c r="Z3" s="391"/>
      <c r="AA3" s="391"/>
      <c r="AB3" s="392"/>
      <c r="AC3" s="390"/>
      <c r="AD3" s="332"/>
      <c r="AE3" s="391"/>
      <c r="AF3" s="393"/>
      <c r="AG3" s="332"/>
      <c r="AH3" s="391"/>
      <c r="AI3" s="392"/>
      <c r="AJ3" s="332"/>
      <c r="AK3" s="391"/>
      <c r="AL3" s="390" t="s">
        <v>386</v>
      </c>
      <c r="AM3" s="332" t="s">
        <v>387</v>
      </c>
      <c r="AN3" s="332"/>
      <c r="AO3" s="333"/>
      <c r="AP3" s="332"/>
      <c r="AQ3" s="391"/>
      <c r="AR3" s="392"/>
      <c r="AS3" s="332"/>
      <c r="AT3" s="391"/>
      <c r="AU3" s="393"/>
      <c r="AV3" s="393"/>
      <c r="AW3" s="332"/>
      <c r="AX3" s="391"/>
      <c r="AY3" s="392"/>
      <c r="AZ3" s="332"/>
      <c r="BA3" s="391"/>
      <c r="BB3" s="393"/>
      <c r="BC3" s="332"/>
      <c r="BD3" s="391"/>
      <c r="BE3" s="390" t="s">
        <v>386</v>
      </c>
      <c r="BF3" s="332" t="s">
        <v>387</v>
      </c>
      <c r="BG3" s="332"/>
      <c r="BH3" s="333"/>
      <c r="BI3" s="332"/>
      <c r="BJ3" s="391"/>
      <c r="BK3" s="392"/>
      <c r="BL3" s="332"/>
      <c r="BM3" s="391"/>
      <c r="BN3" s="392"/>
      <c r="BO3" s="390"/>
      <c r="BP3" s="332"/>
      <c r="BQ3" s="391"/>
      <c r="BR3" s="392"/>
      <c r="BS3" s="80"/>
      <c r="BT3" s="459"/>
      <c r="BU3" s="390"/>
      <c r="BV3" s="80"/>
      <c r="BW3" s="459"/>
      <c r="BX3" s="390" t="s">
        <v>386</v>
      </c>
      <c r="BY3" s="13"/>
    </row>
    <row r="4" spans="1:77" s="41" customFormat="1" ht="15" customHeight="1" x14ac:dyDescent="0.25">
      <c r="A4" s="58"/>
      <c r="B4" s="59"/>
      <c r="C4" s="60"/>
      <c r="D4" s="614" t="s">
        <v>273</v>
      </c>
      <c r="E4" s="623"/>
      <c r="F4" s="622"/>
      <c r="G4" s="614" t="s">
        <v>274</v>
      </c>
      <c r="H4" s="623"/>
      <c r="I4" s="622"/>
      <c r="J4" s="62"/>
      <c r="K4" s="623" t="s">
        <v>275</v>
      </c>
      <c r="L4" s="623"/>
      <c r="M4" s="622"/>
      <c r="N4" s="623" t="s">
        <v>276</v>
      </c>
      <c r="O4" s="623"/>
      <c r="P4" s="622"/>
      <c r="Q4" s="623" t="s">
        <v>277</v>
      </c>
      <c r="R4" s="623"/>
      <c r="S4" s="623"/>
      <c r="T4" s="58"/>
      <c r="U4" s="59"/>
      <c r="V4" s="60"/>
      <c r="W4" s="636" t="s">
        <v>278</v>
      </c>
      <c r="X4" s="637"/>
      <c r="Y4" s="638"/>
      <c r="Z4" s="636" t="s">
        <v>279</v>
      </c>
      <c r="AA4" s="637"/>
      <c r="AB4" s="638"/>
      <c r="AC4" s="460"/>
      <c r="AD4" s="637" t="s">
        <v>280</v>
      </c>
      <c r="AE4" s="637"/>
      <c r="AF4" s="638"/>
      <c r="AG4" s="637" t="s">
        <v>281</v>
      </c>
      <c r="AH4" s="637"/>
      <c r="AI4" s="638"/>
      <c r="AJ4" s="636" t="s">
        <v>282</v>
      </c>
      <c r="AK4" s="637"/>
      <c r="AL4" s="637"/>
      <c r="AM4" s="58"/>
      <c r="AN4" s="59"/>
      <c r="AO4" s="60"/>
      <c r="AP4" s="614" t="s">
        <v>283</v>
      </c>
      <c r="AQ4" s="623"/>
      <c r="AR4" s="622"/>
      <c r="AS4" s="614" t="s">
        <v>284</v>
      </c>
      <c r="AT4" s="623"/>
      <c r="AU4" s="622"/>
      <c r="AV4" s="62"/>
      <c r="AW4" s="623" t="s">
        <v>285</v>
      </c>
      <c r="AX4" s="623"/>
      <c r="AY4" s="622"/>
      <c r="AZ4" s="623" t="s">
        <v>286</v>
      </c>
      <c r="BA4" s="623"/>
      <c r="BB4" s="622"/>
      <c r="BC4" s="623" t="s">
        <v>287</v>
      </c>
      <c r="BD4" s="623"/>
      <c r="BE4" s="623"/>
      <c r="BF4" s="58"/>
      <c r="BG4" s="59"/>
      <c r="BH4" s="60"/>
      <c r="BI4" s="614" t="s">
        <v>288</v>
      </c>
      <c r="BJ4" s="623"/>
      <c r="BK4" s="622"/>
      <c r="BL4" s="614" t="s">
        <v>289</v>
      </c>
      <c r="BM4" s="623"/>
      <c r="BN4" s="622"/>
      <c r="BO4" s="62"/>
      <c r="BP4" s="623" t="s">
        <v>290</v>
      </c>
      <c r="BQ4" s="623"/>
      <c r="BR4" s="623"/>
      <c r="BS4" s="639" t="s">
        <v>291</v>
      </c>
      <c r="BT4" s="640"/>
      <c r="BU4" s="641"/>
      <c r="BV4" s="640" t="s">
        <v>292</v>
      </c>
      <c r="BW4" s="640"/>
      <c r="BX4" s="640"/>
      <c r="BY4" s="40"/>
    </row>
    <row r="5" spans="1:77" s="10" customFormat="1" ht="16.5" customHeight="1" x14ac:dyDescent="0.25">
      <c r="A5" s="62"/>
      <c r="B5" s="63"/>
      <c r="C5" s="64"/>
      <c r="D5" s="624">
        <v>1996</v>
      </c>
      <c r="E5" s="624"/>
      <c r="F5" s="625"/>
      <c r="G5" s="616">
        <v>1997</v>
      </c>
      <c r="H5" s="624"/>
      <c r="I5" s="625"/>
      <c r="J5" s="62"/>
      <c r="K5" s="624">
        <v>1998</v>
      </c>
      <c r="L5" s="624"/>
      <c r="M5" s="625"/>
      <c r="N5" s="616">
        <v>1999</v>
      </c>
      <c r="O5" s="624"/>
      <c r="P5" s="625"/>
      <c r="Q5" s="624">
        <v>2000</v>
      </c>
      <c r="R5" s="624"/>
      <c r="S5" s="624"/>
      <c r="T5" s="62"/>
      <c r="U5" s="63"/>
      <c r="V5" s="64"/>
      <c r="W5" s="615">
        <v>2001</v>
      </c>
      <c r="X5" s="624"/>
      <c r="Y5" s="625"/>
      <c r="Z5" s="616">
        <v>2002</v>
      </c>
      <c r="AA5" s="624"/>
      <c r="AB5" s="625"/>
      <c r="AC5" s="62"/>
      <c r="AD5" s="624">
        <v>2003</v>
      </c>
      <c r="AE5" s="624"/>
      <c r="AF5" s="625"/>
      <c r="AG5" s="624">
        <v>2004</v>
      </c>
      <c r="AH5" s="624"/>
      <c r="AI5" s="625"/>
      <c r="AJ5" s="616">
        <v>2005</v>
      </c>
      <c r="AK5" s="624"/>
      <c r="AL5" s="624"/>
      <c r="AM5" s="62"/>
      <c r="AN5" s="63"/>
      <c r="AO5" s="64"/>
      <c r="AP5" s="616">
        <v>2006</v>
      </c>
      <c r="AQ5" s="624"/>
      <c r="AR5" s="625"/>
      <c r="AS5" s="616">
        <v>2007</v>
      </c>
      <c r="AT5" s="624"/>
      <c r="AU5" s="625"/>
      <c r="AV5" s="62"/>
      <c r="AW5" s="624">
        <v>2008</v>
      </c>
      <c r="AX5" s="624"/>
      <c r="AY5" s="625"/>
      <c r="AZ5" s="624">
        <v>2009</v>
      </c>
      <c r="BA5" s="624"/>
      <c r="BB5" s="625"/>
      <c r="BC5" s="624">
        <v>2010</v>
      </c>
      <c r="BD5" s="624"/>
      <c r="BE5" s="624"/>
      <c r="BF5" s="62"/>
      <c r="BG5" s="63"/>
      <c r="BH5" s="64"/>
      <c r="BI5" s="616">
        <v>2011</v>
      </c>
      <c r="BJ5" s="624"/>
      <c r="BK5" s="625"/>
      <c r="BL5" s="616">
        <v>2012</v>
      </c>
      <c r="BM5" s="624"/>
      <c r="BN5" s="625"/>
      <c r="BO5" s="62"/>
      <c r="BP5" s="624">
        <v>2013</v>
      </c>
      <c r="BQ5" s="624"/>
      <c r="BR5" s="625"/>
      <c r="BS5" s="616">
        <v>2014</v>
      </c>
      <c r="BT5" s="624"/>
      <c r="BU5" s="625"/>
      <c r="BV5" s="624">
        <v>2015</v>
      </c>
      <c r="BW5" s="624"/>
      <c r="BX5" s="624"/>
      <c r="BY5" s="15"/>
    </row>
    <row r="6" spans="1:77" s="14" customFormat="1" ht="16.5" x14ac:dyDescent="0.25">
      <c r="A6" s="461"/>
      <c r="B6" s="462"/>
      <c r="C6" s="463"/>
      <c r="D6" s="464" t="s">
        <v>11</v>
      </c>
      <c r="E6" s="397" t="s">
        <v>51</v>
      </c>
      <c r="F6" s="68" t="s">
        <v>268</v>
      </c>
      <c r="G6" s="464" t="s">
        <v>11</v>
      </c>
      <c r="H6" s="67" t="s">
        <v>51</v>
      </c>
      <c r="I6" s="68" t="s">
        <v>268</v>
      </c>
      <c r="J6" s="67"/>
      <c r="K6" s="465" t="s">
        <v>11</v>
      </c>
      <c r="L6" s="397" t="s">
        <v>51</v>
      </c>
      <c r="M6" s="68" t="s">
        <v>268</v>
      </c>
      <c r="N6" s="466" t="s">
        <v>11</v>
      </c>
      <c r="O6" s="467" t="s">
        <v>51</v>
      </c>
      <c r="P6" s="398" t="s">
        <v>268</v>
      </c>
      <c r="Q6" s="466" t="s">
        <v>11</v>
      </c>
      <c r="R6" s="468" t="s">
        <v>51</v>
      </c>
      <c r="S6" s="399" t="s">
        <v>268</v>
      </c>
      <c r="T6" s="461"/>
      <c r="U6" s="462"/>
      <c r="V6" s="463"/>
      <c r="W6" s="466" t="s">
        <v>11</v>
      </c>
      <c r="X6" s="397" t="s">
        <v>51</v>
      </c>
      <c r="Y6" s="398" t="s">
        <v>268</v>
      </c>
      <c r="Z6" s="466" t="s">
        <v>11</v>
      </c>
      <c r="AA6" s="397" t="s">
        <v>51</v>
      </c>
      <c r="AB6" s="469" t="s">
        <v>268</v>
      </c>
      <c r="AC6" s="470"/>
      <c r="AD6" s="471" t="s">
        <v>11</v>
      </c>
      <c r="AE6" s="397" t="s">
        <v>51</v>
      </c>
      <c r="AF6" s="68" t="s">
        <v>268</v>
      </c>
      <c r="AG6" s="466" t="s">
        <v>11</v>
      </c>
      <c r="AH6" s="397" t="s">
        <v>51</v>
      </c>
      <c r="AI6" s="68" t="s">
        <v>268</v>
      </c>
      <c r="AJ6" s="466" t="s">
        <v>11</v>
      </c>
      <c r="AK6" s="397" t="s">
        <v>51</v>
      </c>
      <c r="AL6" s="67" t="s">
        <v>268</v>
      </c>
      <c r="AM6" s="461"/>
      <c r="AN6" s="462"/>
      <c r="AO6" s="463"/>
      <c r="AP6" s="466" t="s">
        <v>11</v>
      </c>
      <c r="AQ6" s="397" t="s">
        <v>51</v>
      </c>
      <c r="AR6" s="68" t="s">
        <v>268</v>
      </c>
      <c r="AS6" s="466" t="s">
        <v>11</v>
      </c>
      <c r="AT6" s="397" t="s">
        <v>51</v>
      </c>
      <c r="AU6" s="68" t="s">
        <v>268</v>
      </c>
      <c r="AV6" s="67"/>
      <c r="AW6" s="471" t="s">
        <v>11</v>
      </c>
      <c r="AX6" s="397" t="s">
        <v>51</v>
      </c>
      <c r="AY6" s="397" t="s">
        <v>268</v>
      </c>
      <c r="AZ6" s="471" t="s">
        <v>11</v>
      </c>
      <c r="BA6" s="397" t="s">
        <v>51</v>
      </c>
      <c r="BB6" s="68" t="s">
        <v>268</v>
      </c>
      <c r="BC6" s="466" t="s">
        <v>11</v>
      </c>
      <c r="BD6" s="397" t="s">
        <v>51</v>
      </c>
      <c r="BE6" s="67" t="s">
        <v>268</v>
      </c>
      <c r="BF6" s="461"/>
      <c r="BG6" s="462"/>
      <c r="BH6" s="463"/>
      <c r="BI6" s="466" t="s">
        <v>11</v>
      </c>
      <c r="BJ6" s="397" t="s">
        <v>51</v>
      </c>
      <c r="BK6" s="397" t="s">
        <v>268</v>
      </c>
      <c r="BL6" s="466" t="s">
        <v>11</v>
      </c>
      <c r="BM6" s="397" t="s">
        <v>51</v>
      </c>
      <c r="BN6" s="68" t="s">
        <v>268</v>
      </c>
      <c r="BO6" s="461"/>
      <c r="BP6" s="471" t="s">
        <v>11</v>
      </c>
      <c r="BQ6" s="397" t="s">
        <v>51</v>
      </c>
      <c r="BR6" s="461" t="s">
        <v>268</v>
      </c>
      <c r="BS6" s="472" t="s">
        <v>11</v>
      </c>
      <c r="BT6" s="473" t="s">
        <v>51</v>
      </c>
      <c r="BU6" s="398" t="s">
        <v>268</v>
      </c>
      <c r="BV6" s="474" t="s">
        <v>11</v>
      </c>
      <c r="BW6" s="473" t="s">
        <v>51</v>
      </c>
      <c r="BX6" s="67" t="s">
        <v>268</v>
      </c>
      <c r="BY6" s="16"/>
    </row>
    <row r="7" spans="1:77" s="10" customFormat="1" ht="10.7" customHeight="1" x14ac:dyDescent="0.25">
      <c r="A7" s="65"/>
      <c r="B7" s="63"/>
      <c r="C7" s="64"/>
      <c r="D7" s="66"/>
      <c r="E7" s="400"/>
      <c r="F7" s="642" t="s">
        <v>237</v>
      </c>
      <c r="G7" s="66"/>
      <c r="H7" s="73"/>
      <c r="I7" s="642" t="s">
        <v>237</v>
      </c>
      <c r="J7" s="152"/>
      <c r="K7" s="69"/>
      <c r="L7" s="400"/>
      <c r="M7" s="626" t="s">
        <v>220</v>
      </c>
      <c r="N7" s="66"/>
      <c r="O7" s="400"/>
      <c r="P7" s="628" t="s">
        <v>220</v>
      </c>
      <c r="Q7" s="66"/>
      <c r="R7" s="73"/>
      <c r="S7" s="628" t="s">
        <v>220</v>
      </c>
      <c r="T7" s="65"/>
      <c r="U7" s="63"/>
      <c r="V7" s="64"/>
      <c r="W7" s="66"/>
      <c r="X7" s="400"/>
      <c r="Y7" s="642" t="s">
        <v>220</v>
      </c>
      <c r="Z7" s="66"/>
      <c r="AA7" s="400"/>
      <c r="AB7" s="644" t="s">
        <v>220</v>
      </c>
      <c r="AC7" s="475"/>
      <c r="AD7" s="69"/>
      <c r="AE7" s="400"/>
      <c r="AF7" s="626" t="s">
        <v>220</v>
      </c>
      <c r="AG7" s="66"/>
      <c r="AH7" s="400"/>
      <c r="AI7" s="628" t="s">
        <v>220</v>
      </c>
      <c r="AJ7" s="66"/>
      <c r="AK7" s="400"/>
      <c r="AL7" s="628" t="s">
        <v>220</v>
      </c>
      <c r="AM7" s="65"/>
      <c r="AN7" s="63"/>
      <c r="AO7" s="64"/>
      <c r="AP7" s="66"/>
      <c r="AQ7" s="400"/>
      <c r="AR7" s="642" t="s">
        <v>220</v>
      </c>
      <c r="AS7" s="66"/>
      <c r="AT7" s="400"/>
      <c r="AU7" s="642" t="s">
        <v>220</v>
      </c>
      <c r="AV7" s="152"/>
      <c r="AW7" s="69"/>
      <c r="AX7" s="400"/>
      <c r="AY7" s="626" t="s">
        <v>220</v>
      </c>
      <c r="AZ7" s="69"/>
      <c r="BA7" s="400"/>
      <c r="BB7" s="628" t="s">
        <v>220</v>
      </c>
      <c r="BC7" s="66"/>
      <c r="BD7" s="400"/>
      <c r="BE7" s="628" t="s">
        <v>220</v>
      </c>
      <c r="BF7" s="65"/>
      <c r="BG7" s="63"/>
      <c r="BH7" s="64"/>
      <c r="BI7" s="66"/>
      <c r="BJ7" s="400"/>
      <c r="BK7" s="626" t="s">
        <v>70</v>
      </c>
      <c r="BL7" s="66"/>
      <c r="BM7" s="400"/>
      <c r="BN7" s="626" t="s">
        <v>70</v>
      </c>
      <c r="BO7" s="476"/>
      <c r="BP7" s="69"/>
      <c r="BQ7" s="400"/>
      <c r="BR7" s="628" t="s">
        <v>220</v>
      </c>
      <c r="BS7" s="477"/>
      <c r="BT7" s="478"/>
      <c r="BU7" s="626" t="s">
        <v>220</v>
      </c>
      <c r="BV7" s="479"/>
      <c r="BW7" s="478"/>
      <c r="BX7" s="628" t="s">
        <v>220</v>
      </c>
      <c r="BY7" s="17"/>
    </row>
    <row r="8" spans="1:77" s="10" customFormat="1" ht="19.5" customHeight="1" x14ac:dyDescent="0.25">
      <c r="A8" s="165"/>
      <c r="B8" s="166"/>
      <c r="C8" s="167"/>
      <c r="D8" s="74" t="s">
        <v>56</v>
      </c>
      <c r="E8" s="75" t="s">
        <v>21</v>
      </c>
      <c r="F8" s="643"/>
      <c r="G8" s="74" t="s">
        <v>56</v>
      </c>
      <c r="H8" s="75" t="s">
        <v>21</v>
      </c>
      <c r="I8" s="643"/>
      <c r="J8" s="152"/>
      <c r="K8" s="168" t="s">
        <v>56</v>
      </c>
      <c r="L8" s="75" t="s">
        <v>21</v>
      </c>
      <c r="M8" s="627"/>
      <c r="N8" s="74" t="s">
        <v>56</v>
      </c>
      <c r="O8" s="75" t="s">
        <v>21</v>
      </c>
      <c r="P8" s="629"/>
      <c r="Q8" s="74" t="s">
        <v>56</v>
      </c>
      <c r="R8" s="75" t="s">
        <v>21</v>
      </c>
      <c r="S8" s="629"/>
      <c r="T8" s="165"/>
      <c r="U8" s="166"/>
      <c r="V8" s="167"/>
      <c r="W8" s="74" t="s">
        <v>56</v>
      </c>
      <c r="X8" s="75" t="s">
        <v>21</v>
      </c>
      <c r="Y8" s="643"/>
      <c r="Z8" s="74" t="s">
        <v>56</v>
      </c>
      <c r="AA8" s="75" t="s">
        <v>21</v>
      </c>
      <c r="AB8" s="645"/>
      <c r="AC8" s="475"/>
      <c r="AD8" s="168" t="s">
        <v>238</v>
      </c>
      <c r="AE8" s="75" t="s">
        <v>21</v>
      </c>
      <c r="AF8" s="627"/>
      <c r="AG8" s="74" t="s">
        <v>56</v>
      </c>
      <c r="AH8" s="75" t="s">
        <v>21</v>
      </c>
      <c r="AI8" s="629"/>
      <c r="AJ8" s="74" t="s">
        <v>56</v>
      </c>
      <c r="AK8" s="75" t="s">
        <v>21</v>
      </c>
      <c r="AL8" s="629"/>
      <c r="AM8" s="165"/>
      <c r="AN8" s="166"/>
      <c r="AO8" s="167"/>
      <c r="AP8" s="74" t="s">
        <v>56</v>
      </c>
      <c r="AQ8" s="75" t="s">
        <v>21</v>
      </c>
      <c r="AR8" s="643"/>
      <c r="AS8" s="74" t="s">
        <v>56</v>
      </c>
      <c r="AT8" s="75" t="s">
        <v>21</v>
      </c>
      <c r="AU8" s="643"/>
      <c r="AV8" s="325"/>
      <c r="AW8" s="168" t="s">
        <v>56</v>
      </c>
      <c r="AX8" s="75" t="s">
        <v>21</v>
      </c>
      <c r="AY8" s="627"/>
      <c r="AZ8" s="168" t="s">
        <v>56</v>
      </c>
      <c r="BA8" s="75" t="s">
        <v>21</v>
      </c>
      <c r="BB8" s="629"/>
      <c r="BC8" s="74" t="s">
        <v>56</v>
      </c>
      <c r="BD8" s="75" t="s">
        <v>21</v>
      </c>
      <c r="BE8" s="629"/>
      <c r="BF8" s="165"/>
      <c r="BG8" s="166"/>
      <c r="BH8" s="167"/>
      <c r="BI8" s="74" t="s">
        <v>56</v>
      </c>
      <c r="BJ8" s="75" t="s">
        <v>21</v>
      </c>
      <c r="BK8" s="627"/>
      <c r="BL8" s="74" t="s">
        <v>56</v>
      </c>
      <c r="BM8" s="75" t="s">
        <v>21</v>
      </c>
      <c r="BN8" s="627"/>
      <c r="BO8" s="476"/>
      <c r="BP8" s="168" t="s">
        <v>56</v>
      </c>
      <c r="BQ8" s="75" t="s">
        <v>21</v>
      </c>
      <c r="BR8" s="629"/>
      <c r="BS8" s="480" t="s">
        <v>56</v>
      </c>
      <c r="BT8" s="75" t="s">
        <v>21</v>
      </c>
      <c r="BU8" s="627"/>
      <c r="BV8" s="481" t="s">
        <v>56</v>
      </c>
      <c r="BW8" s="75" t="s">
        <v>21</v>
      </c>
      <c r="BX8" s="629"/>
      <c r="BY8" s="17"/>
    </row>
    <row r="9" spans="1:77" ht="4.1500000000000004" customHeight="1" x14ac:dyDescent="0.25">
      <c r="A9" s="402"/>
      <c r="B9" s="403"/>
      <c r="C9" s="437"/>
      <c r="D9" s="105"/>
      <c r="E9" s="405"/>
      <c r="F9" s="406"/>
      <c r="G9" s="105"/>
      <c r="H9" s="405"/>
      <c r="I9" s="406"/>
      <c r="J9" s="405"/>
      <c r="K9" s="122"/>
      <c r="L9" s="405"/>
      <c r="M9" s="406"/>
      <c r="N9" s="105"/>
      <c r="O9" s="405"/>
      <c r="P9" s="406"/>
      <c r="Q9" s="105"/>
      <c r="R9" s="405"/>
      <c r="S9" s="405"/>
      <c r="T9" s="402"/>
      <c r="U9" s="403"/>
      <c r="V9" s="437"/>
      <c r="W9" s="105"/>
      <c r="X9" s="405"/>
      <c r="Y9" s="406"/>
      <c r="Z9" s="105"/>
      <c r="AA9" s="405"/>
      <c r="AB9" s="406"/>
      <c r="AC9" s="431"/>
      <c r="AD9" s="122"/>
      <c r="AE9" s="405"/>
      <c r="AF9" s="406"/>
      <c r="AG9" s="105"/>
      <c r="AH9" s="405"/>
      <c r="AI9" s="406"/>
      <c r="AJ9" s="105"/>
      <c r="AK9" s="405"/>
      <c r="AL9" s="405"/>
      <c r="AM9" s="402"/>
      <c r="AN9" s="403"/>
      <c r="AO9" s="437"/>
      <c r="AP9" s="105"/>
      <c r="AQ9" s="405"/>
      <c r="AR9" s="406"/>
      <c r="AS9" s="105"/>
      <c r="AT9" s="405"/>
      <c r="AU9" s="406"/>
      <c r="AV9" s="405"/>
      <c r="AW9" s="122"/>
      <c r="AX9" s="405"/>
      <c r="AY9" s="406"/>
      <c r="AZ9" s="105"/>
      <c r="BA9" s="405"/>
      <c r="BB9" s="406"/>
      <c r="BC9" s="105"/>
      <c r="BD9" s="405"/>
      <c r="BE9" s="405"/>
      <c r="BF9" s="402"/>
      <c r="BG9" s="403"/>
      <c r="BH9" s="437"/>
      <c r="BI9" s="105"/>
      <c r="BJ9" s="405"/>
      <c r="BK9" s="406"/>
      <c r="BL9" s="105"/>
      <c r="BM9" s="405"/>
      <c r="BN9" s="482"/>
      <c r="BO9" s="405"/>
      <c r="BP9" s="122"/>
      <c r="BQ9" s="405"/>
      <c r="BR9" s="406"/>
      <c r="BS9" s="105"/>
      <c r="BT9" s="405"/>
      <c r="BU9" s="406"/>
      <c r="BV9" s="105"/>
      <c r="BW9" s="405"/>
      <c r="BX9" s="405"/>
    </row>
    <row r="10" spans="1:77" ht="19.899999999999999" customHeight="1" x14ac:dyDescent="0.25">
      <c r="A10" s="631" t="s">
        <v>249</v>
      </c>
      <c r="B10" s="633" t="s">
        <v>224</v>
      </c>
      <c r="C10" s="483" t="s">
        <v>293</v>
      </c>
      <c r="D10" s="124">
        <v>410782.08926528983</v>
      </c>
      <c r="E10" s="411">
        <v>100</v>
      </c>
      <c r="F10" s="410">
        <v>8.4777196993836679</v>
      </c>
      <c r="G10" s="124">
        <v>445807.68018772046</v>
      </c>
      <c r="H10" s="411">
        <v>100</v>
      </c>
      <c r="I10" s="410">
        <v>8.5265623399199733</v>
      </c>
      <c r="J10" s="411"/>
      <c r="K10" s="153">
        <v>489560.7175468207</v>
      </c>
      <c r="L10" s="411">
        <v>100</v>
      </c>
      <c r="M10" s="410">
        <v>9.8143301032132868</v>
      </c>
      <c r="N10" s="124">
        <v>528743.12005188607</v>
      </c>
      <c r="O10" s="411">
        <v>100</v>
      </c>
      <c r="P10" s="410">
        <v>8.003583845821538</v>
      </c>
      <c r="Q10" s="124">
        <v>547807.13418412511</v>
      </c>
      <c r="R10" s="411">
        <v>100</v>
      </c>
      <c r="S10" s="411">
        <v>3.6055342205432828</v>
      </c>
      <c r="T10" s="631" t="s">
        <v>249</v>
      </c>
      <c r="U10" s="633" t="s">
        <v>224</v>
      </c>
      <c r="V10" s="483" t="s">
        <v>293</v>
      </c>
      <c r="W10" s="124">
        <v>573227.08837445476</v>
      </c>
      <c r="X10" s="411">
        <v>100</v>
      </c>
      <c r="Y10" s="410">
        <v>4.6403109058060776</v>
      </c>
      <c r="Z10" s="124">
        <v>617093.55991081102</v>
      </c>
      <c r="AA10" s="411">
        <v>100</v>
      </c>
      <c r="AB10" s="410">
        <v>7.652546857258935</v>
      </c>
      <c r="AC10" s="411"/>
      <c r="AD10" s="153">
        <v>654796.80528288125</v>
      </c>
      <c r="AE10" s="411">
        <v>100</v>
      </c>
      <c r="AF10" s="410">
        <v>6.1098102170308755</v>
      </c>
      <c r="AG10" s="124">
        <v>709942.13544528186</v>
      </c>
      <c r="AH10" s="411">
        <v>100</v>
      </c>
      <c r="AI10" s="410">
        <v>8.4217469782212895</v>
      </c>
      <c r="AJ10" s="124">
        <v>745620.22596073709</v>
      </c>
      <c r="AK10" s="411">
        <v>100</v>
      </c>
      <c r="AL10" s="411">
        <v>5.0254927456978793</v>
      </c>
      <c r="AM10" s="631" t="s">
        <v>249</v>
      </c>
      <c r="AN10" s="633" t="s">
        <v>224</v>
      </c>
      <c r="AO10" s="483" t="s">
        <v>293</v>
      </c>
      <c r="AP10" s="124">
        <v>780460.7326131541</v>
      </c>
      <c r="AQ10" s="411">
        <v>100</v>
      </c>
      <c r="AR10" s="410">
        <v>4.6726879769824814</v>
      </c>
      <c r="AS10" s="124">
        <v>872329.70717481244</v>
      </c>
      <c r="AT10" s="411">
        <v>100</v>
      </c>
      <c r="AU10" s="410">
        <v>11.771120662798861</v>
      </c>
      <c r="AV10" s="411"/>
      <c r="AW10" s="153">
        <v>899437.26526801498</v>
      </c>
      <c r="AX10" s="411">
        <v>100</v>
      </c>
      <c r="AY10" s="410">
        <v>3.107489962825527</v>
      </c>
      <c r="AZ10" s="153">
        <v>940463.19724696048</v>
      </c>
      <c r="BA10" s="411">
        <v>100</v>
      </c>
      <c r="BB10" s="410">
        <v>4.5612888817454733</v>
      </c>
      <c r="BC10" s="153">
        <v>958195.89863187214</v>
      </c>
      <c r="BD10" s="411">
        <v>100</v>
      </c>
      <c r="BE10" s="411">
        <v>1.8855284754173196</v>
      </c>
      <c r="BF10" s="631" t="s">
        <v>249</v>
      </c>
      <c r="BG10" s="633" t="s">
        <v>224</v>
      </c>
      <c r="BH10" s="483" t="s">
        <v>293</v>
      </c>
      <c r="BI10" s="153">
        <v>990847.06312053977</v>
      </c>
      <c r="BJ10" s="411">
        <v>100</v>
      </c>
      <c r="BK10" s="410">
        <v>3.4075667131624687</v>
      </c>
      <c r="BL10" s="124">
        <v>1008477.6516796341</v>
      </c>
      <c r="BM10" s="411">
        <v>100</v>
      </c>
      <c r="BN10" s="410">
        <v>1.779345089197637</v>
      </c>
      <c r="BO10" s="411"/>
      <c r="BP10" s="153">
        <v>1055830.267018606</v>
      </c>
      <c r="BQ10" s="411">
        <v>100</v>
      </c>
      <c r="BR10" s="410">
        <v>4.6954551010729206</v>
      </c>
      <c r="BS10" s="153">
        <v>1103266.0108601011</v>
      </c>
      <c r="BT10" s="411">
        <v>100</v>
      </c>
      <c r="BU10" s="410">
        <v>4.4927433246862325</v>
      </c>
      <c r="BV10" s="153">
        <v>1145899.7639594479</v>
      </c>
      <c r="BW10" s="411">
        <v>100</v>
      </c>
      <c r="BX10" s="411">
        <v>3.8643221743149381</v>
      </c>
    </row>
    <row r="11" spans="1:77" ht="19.899999999999999" customHeight="1" x14ac:dyDescent="0.25">
      <c r="A11" s="631"/>
      <c r="B11" s="633"/>
      <c r="C11" s="483" t="s">
        <v>14</v>
      </c>
      <c r="D11" s="105"/>
      <c r="E11" s="405"/>
      <c r="F11" s="406"/>
      <c r="G11" s="105"/>
      <c r="H11" s="405"/>
      <c r="I11" s="406"/>
      <c r="J11" s="405"/>
      <c r="K11" s="122"/>
      <c r="L11" s="405"/>
      <c r="M11" s="406"/>
      <c r="N11" s="105"/>
      <c r="O11" s="405"/>
      <c r="P11" s="406"/>
      <c r="Q11" s="105"/>
      <c r="R11" s="405"/>
      <c r="S11" s="405"/>
      <c r="T11" s="631"/>
      <c r="U11" s="633"/>
      <c r="V11" s="483" t="s">
        <v>14</v>
      </c>
      <c r="W11" s="105"/>
      <c r="X11" s="405"/>
      <c r="Y11" s="406"/>
      <c r="Z11" s="105"/>
      <c r="AA11" s="405"/>
      <c r="AB11" s="406"/>
      <c r="AC11" s="405"/>
      <c r="AD11" s="122"/>
      <c r="AE11" s="405"/>
      <c r="AF11" s="406"/>
      <c r="AG11" s="105"/>
      <c r="AH11" s="405"/>
      <c r="AI11" s="406"/>
      <c r="AJ11" s="105"/>
      <c r="AK11" s="405"/>
      <c r="AL11" s="405"/>
      <c r="AM11" s="631"/>
      <c r="AN11" s="633"/>
      <c r="AO11" s="483" t="s">
        <v>14</v>
      </c>
      <c r="AP11" s="105"/>
      <c r="AQ11" s="405"/>
      <c r="AR11" s="406"/>
      <c r="AS11" s="105"/>
      <c r="AT11" s="405"/>
      <c r="AU11" s="406"/>
      <c r="AV11" s="405"/>
      <c r="AW11" s="122"/>
      <c r="AX11" s="405"/>
      <c r="AY11" s="406"/>
      <c r="AZ11" s="105"/>
      <c r="BA11" s="405"/>
      <c r="BB11" s="406"/>
      <c r="BC11" s="105"/>
      <c r="BD11" s="405"/>
      <c r="BE11" s="405"/>
      <c r="BF11" s="631"/>
      <c r="BG11" s="633"/>
      <c r="BH11" s="483" t="s">
        <v>14</v>
      </c>
      <c r="BI11" s="105"/>
      <c r="BJ11" s="405"/>
      <c r="BK11" s="405"/>
      <c r="BL11" s="105"/>
      <c r="BM11" s="405"/>
      <c r="BN11" s="406"/>
      <c r="BO11" s="405"/>
      <c r="BP11" s="122"/>
      <c r="BQ11" s="405"/>
      <c r="BR11" s="405"/>
      <c r="BS11" s="105"/>
      <c r="BT11" s="405"/>
      <c r="BU11" s="405"/>
      <c r="BV11" s="105"/>
      <c r="BW11" s="405"/>
      <c r="BX11" s="405"/>
    </row>
    <row r="12" spans="1:77" ht="21.2" customHeight="1" x14ac:dyDescent="0.25">
      <c r="A12" s="631"/>
      <c r="B12" s="633"/>
      <c r="C12" s="404" t="s">
        <v>250</v>
      </c>
      <c r="D12" s="105">
        <v>275230.66948073002</v>
      </c>
      <c r="E12" s="405">
        <v>67.001623652335411</v>
      </c>
      <c r="F12" s="406">
        <v>1.3239507824966872</v>
      </c>
      <c r="G12" s="105">
        <v>287582.1315247601</v>
      </c>
      <c r="H12" s="405">
        <v>64.508115114496263</v>
      </c>
      <c r="I12" s="406">
        <v>4.4876764887187948</v>
      </c>
      <c r="J12" s="405"/>
      <c r="K12" s="122">
        <v>310715.02743930003</v>
      </c>
      <c r="L12" s="405">
        <v>63.4681289373639</v>
      </c>
      <c r="M12" s="414">
        <v>8.0439267182176302</v>
      </c>
      <c r="N12" s="105">
        <v>334136.12408862996</v>
      </c>
      <c r="O12" s="405">
        <v>63.194415476430379</v>
      </c>
      <c r="P12" s="414">
        <v>7.5378062150229797</v>
      </c>
      <c r="Q12" s="105">
        <v>339641.79840563331</v>
      </c>
      <c r="R12" s="405">
        <v>62.000251039351248</v>
      </c>
      <c r="S12" s="415">
        <v>1.6477339383822454</v>
      </c>
      <c r="T12" s="631"/>
      <c r="U12" s="633"/>
      <c r="V12" s="404" t="s">
        <v>250</v>
      </c>
      <c r="W12" s="105">
        <v>359587.96840555966</v>
      </c>
      <c r="X12" s="405">
        <v>62.730456340657526</v>
      </c>
      <c r="Y12" s="414">
        <v>5.8727076860265237</v>
      </c>
      <c r="Z12" s="105">
        <v>376345.20487614255</v>
      </c>
      <c r="AA12" s="405">
        <v>60.986733507725475</v>
      </c>
      <c r="AB12" s="414">
        <v>4.6601215677170016</v>
      </c>
      <c r="AC12" s="415"/>
      <c r="AD12" s="122">
        <v>398537.13348437269</v>
      </c>
      <c r="AE12" s="405">
        <v>60.864245254250925</v>
      </c>
      <c r="AF12" s="414">
        <v>5.8966949281401559</v>
      </c>
      <c r="AG12" s="105">
        <v>419736.57638260711</v>
      </c>
      <c r="AH12" s="405">
        <v>59.122646118101542</v>
      </c>
      <c r="AI12" s="406">
        <v>5.3193143416498501</v>
      </c>
      <c r="AJ12" s="105">
        <v>427885.38437000016</v>
      </c>
      <c r="AK12" s="405">
        <v>57.386504479363701</v>
      </c>
      <c r="AL12" s="415">
        <v>1.9414100285520597</v>
      </c>
      <c r="AM12" s="631"/>
      <c r="AN12" s="633"/>
      <c r="AO12" s="404" t="s">
        <v>250</v>
      </c>
      <c r="AP12" s="105">
        <v>443709.99576175999</v>
      </c>
      <c r="AQ12" s="405">
        <v>56.852315205676184</v>
      </c>
      <c r="AR12" s="414">
        <v>3.6983294989286097</v>
      </c>
      <c r="AS12" s="105">
        <v>478980.48625695001</v>
      </c>
      <c r="AT12" s="405">
        <v>54.908193807615412</v>
      </c>
      <c r="AU12" s="414">
        <v>7.9489961533631304</v>
      </c>
      <c r="AV12" s="415"/>
      <c r="AW12" s="122">
        <v>492570.81822182983</v>
      </c>
      <c r="AX12" s="405">
        <v>54.764332904869498</v>
      </c>
      <c r="AY12" s="414">
        <v>2.8373456445132117</v>
      </c>
      <c r="AZ12" s="105">
        <v>521198.55012270983</v>
      </c>
      <c r="BA12" s="405">
        <v>55.419345663756573</v>
      </c>
      <c r="BB12" s="414">
        <v>5.8119017290194863</v>
      </c>
      <c r="BC12" s="105">
        <v>534498.63150200003</v>
      </c>
      <c r="BD12" s="405">
        <v>55.781769914186228</v>
      </c>
      <c r="BE12" s="415">
        <v>2.5518262428318117</v>
      </c>
      <c r="BF12" s="631"/>
      <c r="BG12" s="633"/>
      <c r="BH12" s="404" t="s">
        <v>250</v>
      </c>
      <c r="BI12" s="105">
        <v>548929.49403600011</v>
      </c>
      <c r="BJ12" s="405">
        <v>55.400022310932663</v>
      </c>
      <c r="BK12" s="415">
        <v>2.6998876486264756</v>
      </c>
      <c r="BL12" s="105">
        <v>568486.1640649999</v>
      </c>
      <c r="BM12" s="405">
        <v>56.370725034727144</v>
      </c>
      <c r="BN12" s="414">
        <v>3.5626925208936289</v>
      </c>
      <c r="BO12" s="415"/>
      <c r="BP12" s="122">
        <v>594867.63975300011</v>
      </c>
      <c r="BQ12" s="405">
        <v>56.341218691594605</v>
      </c>
      <c r="BR12" s="405">
        <v>4.6406539605744479</v>
      </c>
      <c r="BS12" s="105">
        <v>623535.43515299994</v>
      </c>
      <c r="BT12" s="405">
        <v>56.5172341951235</v>
      </c>
      <c r="BU12" s="415">
        <v>4.8191889227498175</v>
      </c>
      <c r="BV12" s="105">
        <v>649499.845157</v>
      </c>
      <c r="BW12" s="405">
        <v>56.680336761111782</v>
      </c>
      <c r="BX12" s="415">
        <v>4.164063265727469</v>
      </c>
    </row>
    <row r="13" spans="1:77" ht="21.2" customHeight="1" x14ac:dyDescent="0.25">
      <c r="A13" s="631"/>
      <c r="B13" s="633"/>
      <c r="C13" s="404" t="s">
        <v>225</v>
      </c>
      <c r="D13" s="105"/>
      <c r="E13" s="405"/>
      <c r="F13" s="406"/>
      <c r="G13" s="105"/>
      <c r="H13" s="405"/>
      <c r="I13" s="406"/>
      <c r="J13" s="405"/>
      <c r="K13" s="122"/>
      <c r="L13" s="405"/>
      <c r="M13" s="406"/>
      <c r="N13" s="105"/>
      <c r="O13" s="405"/>
      <c r="P13" s="406"/>
      <c r="Q13" s="105"/>
      <c r="R13" s="405"/>
      <c r="S13" s="405"/>
      <c r="T13" s="631"/>
      <c r="U13" s="633"/>
      <c r="V13" s="404" t="s">
        <v>225</v>
      </c>
      <c r="W13" s="105"/>
      <c r="X13" s="405"/>
      <c r="Y13" s="406"/>
      <c r="Z13" s="105"/>
      <c r="AA13" s="405"/>
      <c r="AB13" s="406"/>
      <c r="AC13" s="405"/>
      <c r="AD13" s="122"/>
      <c r="AE13" s="405"/>
      <c r="AF13" s="406"/>
      <c r="AG13" s="105"/>
      <c r="AH13" s="405"/>
      <c r="AI13" s="406"/>
      <c r="AJ13" s="105"/>
      <c r="AK13" s="405"/>
      <c r="AL13" s="405"/>
      <c r="AM13" s="631"/>
      <c r="AN13" s="633"/>
      <c r="AO13" s="404" t="s">
        <v>225</v>
      </c>
      <c r="AP13" s="105"/>
      <c r="AQ13" s="405"/>
      <c r="AR13" s="406"/>
      <c r="AS13" s="105"/>
      <c r="AT13" s="405"/>
      <c r="AU13" s="406"/>
      <c r="AV13" s="405"/>
      <c r="AW13" s="122"/>
      <c r="AX13" s="405"/>
      <c r="AY13" s="406"/>
      <c r="AZ13" s="105"/>
      <c r="BA13" s="405"/>
      <c r="BB13" s="406"/>
      <c r="BC13" s="105"/>
      <c r="BD13" s="405"/>
      <c r="BE13" s="405"/>
      <c r="BF13" s="631"/>
      <c r="BG13" s="633"/>
      <c r="BH13" s="404" t="s">
        <v>225</v>
      </c>
      <c r="BI13" s="105"/>
      <c r="BJ13" s="405"/>
      <c r="BK13" s="405"/>
      <c r="BL13" s="105"/>
      <c r="BM13" s="405"/>
      <c r="BN13" s="406"/>
      <c r="BO13" s="405"/>
      <c r="BP13" s="122"/>
      <c r="BQ13" s="405"/>
      <c r="BR13" s="405"/>
      <c r="BS13" s="105"/>
      <c r="BT13" s="405"/>
      <c r="BU13" s="405"/>
      <c r="BV13" s="105"/>
      <c r="BW13" s="405"/>
      <c r="BX13" s="405"/>
    </row>
    <row r="14" spans="1:77" ht="21.2" customHeight="1" x14ac:dyDescent="0.25">
      <c r="A14" s="631"/>
      <c r="B14" s="633"/>
      <c r="C14" s="416" t="s">
        <v>251</v>
      </c>
      <c r="D14" s="105">
        <v>17413.853789000001</v>
      </c>
      <c r="E14" s="405">
        <v>4.2391949999927698</v>
      </c>
      <c r="F14" s="406">
        <v>11.166596190119357</v>
      </c>
      <c r="G14" s="105">
        <v>17533.057934500001</v>
      </c>
      <c r="H14" s="405">
        <v>3.9328748053683573</v>
      </c>
      <c r="I14" s="406">
        <v>0.68453627177746945</v>
      </c>
      <c r="J14" s="405"/>
      <c r="K14" s="122">
        <v>20776.214460499999</v>
      </c>
      <c r="L14" s="405">
        <v>4.2438483554418358</v>
      </c>
      <c r="M14" s="414">
        <v>18.497380993753531</v>
      </c>
      <c r="N14" s="105">
        <v>23103.846368333332</v>
      </c>
      <c r="O14" s="405">
        <v>4.3695786275320483</v>
      </c>
      <c r="P14" s="414">
        <v>11.203349446833322</v>
      </c>
      <c r="Q14" s="105">
        <v>20671.640671999998</v>
      </c>
      <c r="R14" s="405">
        <v>3.7735252759691131</v>
      </c>
      <c r="S14" s="415">
        <v>-10.527276097485538</v>
      </c>
      <c r="T14" s="631"/>
      <c r="U14" s="633"/>
      <c r="V14" s="416" t="s">
        <v>251</v>
      </c>
      <c r="W14" s="105">
        <v>27467.492670889656</v>
      </c>
      <c r="X14" s="405">
        <v>4.7917297050251744</v>
      </c>
      <c r="Y14" s="414">
        <v>32.875242496328447</v>
      </c>
      <c r="Z14" s="105">
        <v>26602.166587612617</v>
      </c>
      <c r="AA14" s="405">
        <v>4.3108806047915085</v>
      </c>
      <c r="AB14" s="414">
        <v>-3.1503643002483428</v>
      </c>
      <c r="AC14" s="405"/>
      <c r="AD14" s="122">
        <v>37370.693414272719</v>
      </c>
      <c r="AE14" s="405">
        <v>5.7072198753517229</v>
      </c>
      <c r="AF14" s="414">
        <v>40.479886445318705</v>
      </c>
      <c r="AG14" s="105">
        <v>40247.657763727271</v>
      </c>
      <c r="AH14" s="405">
        <v>5.6691462239360657</v>
      </c>
      <c r="AI14" s="406">
        <v>7.6984505413425719</v>
      </c>
      <c r="AJ14" s="105">
        <v>37238.745712000004</v>
      </c>
      <c r="AK14" s="405">
        <v>4.994331486115148</v>
      </c>
      <c r="AL14" s="415">
        <v>-7.4759929370076694</v>
      </c>
      <c r="AM14" s="631"/>
      <c r="AN14" s="633"/>
      <c r="AO14" s="416" t="s">
        <v>251</v>
      </c>
      <c r="AP14" s="105">
        <v>36177.921077000006</v>
      </c>
      <c r="AQ14" s="405">
        <v>4.6354569250227842</v>
      </c>
      <c r="AR14" s="414">
        <v>-2.8487120463301485</v>
      </c>
      <c r="AS14" s="105">
        <v>46949.582053999999</v>
      </c>
      <c r="AT14" s="405">
        <v>5.3820913890522171</v>
      </c>
      <c r="AU14" s="414">
        <v>29.774129237757773</v>
      </c>
      <c r="AV14" s="405"/>
      <c r="AW14" s="122">
        <v>44848.565660000007</v>
      </c>
      <c r="AX14" s="405">
        <v>4.9862916950228877</v>
      </c>
      <c r="AY14" s="414">
        <v>-4.475048130531734</v>
      </c>
      <c r="AZ14" s="105">
        <v>53454.963525999992</v>
      </c>
      <c r="BA14" s="405">
        <v>5.6838974329330414</v>
      </c>
      <c r="BB14" s="414">
        <v>19.18990660982487</v>
      </c>
      <c r="BC14" s="105">
        <v>60464.079303000006</v>
      </c>
      <c r="BD14" s="405">
        <v>6.3102001782027672</v>
      </c>
      <c r="BE14" s="415">
        <v>13.112188868281315</v>
      </c>
      <c r="BF14" s="631"/>
      <c r="BG14" s="633"/>
      <c r="BH14" s="416" t="s">
        <v>251</v>
      </c>
      <c r="BI14" s="105">
        <v>55489.59045399999</v>
      </c>
      <c r="BJ14" s="405">
        <v>5.6002174825288353</v>
      </c>
      <c r="BK14" s="415">
        <v>-8.2271803463204289</v>
      </c>
      <c r="BL14" s="105">
        <v>55061.336992000011</v>
      </c>
      <c r="BM14" s="405">
        <v>5.4598470179576672</v>
      </c>
      <c r="BN14" s="414">
        <v>-0.77177261265785058</v>
      </c>
      <c r="BO14" s="405"/>
      <c r="BP14" s="122">
        <v>57611.471111999992</v>
      </c>
      <c r="BQ14" s="405">
        <v>5.4565087696036612</v>
      </c>
      <c r="BR14" s="405">
        <v>4.6314424227847928</v>
      </c>
      <c r="BS14" s="105">
        <v>68609.806104999967</v>
      </c>
      <c r="BT14" s="405">
        <v>6.2187908835795707</v>
      </c>
      <c r="BU14" s="415">
        <v>19.090529682220026</v>
      </c>
      <c r="BV14" s="105">
        <v>73221.140008999995</v>
      </c>
      <c r="BW14" s="405">
        <v>6.389838126503987</v>
      </c>
      <c r="BX14" s="415">
        <v>6.7211003292195315</v>
      </c>
    </row>
    <row r="15" spans="1:77" ht="21.2" customHeight="1" x14ac:dyDescent="0.25">
      <c r="A15" s="631"/>
      <c r="B15" s="633"/>
      <c r="C15" s="485" t="s">
        <v>226</v>
      </c>
      <c r="D15" s="105"/>
      <c r="E15" s="405"/>
      <c r="F15" s="406"/>
      <c r="G15" s="105"/>
      <c r="H15" s="405"/>
      <c r="I15" s="406"/>
      <c r="J15" s="405"/>
      <c r="K15" s="122"/>
      <c r="L15" s="405"/>
      <c r="M15" s="406"/>
      <c r="N15" s="105"/>
      <c r="O15" s="405"/>
      <c r="P15" s="406"/>
      <c r="Q15" s="105"/>
      <c r="R15" s="405"/>
      <c r="S15" s="405"/>
      <c r="T15" s="631"/>
      <c r="U15" s="633"/>
      <c r="V15" s="485" t="s">
        <v>226</v>
      </c>
      <c r="W15" s="105"/>
      <c r="X15" s="405"/>
      <c r="Y15" s="406"/>
      <c r="Z15" s="105"/>
      <c r="AA15" s="405"/>
      <c r="AB15" s="406"/>
      <c r="AC15" s="405"/>
      <c r="AD15" s="122"/>
      <c r="AE15" s="405"/>
      <c r="AF15" s="406"/>
      <c r="AG15" s="105"/>
      <c r="AH15" s="405"/>
      <c r="AI15" s="406"/>
      <c r="AJ15" s="105"/>
      <c r="AK15" s="405"/>
      <c r="AL15" s="405"/>
      <c r="AM15" s="631"/>
      <c r="AN15" s="633"/>
      <c r="AO15" s="485" t="s">
        <v>226</v>
      </c>
      <c r="AP15" s="105"/>
      <c r="AQ15" s="405"/>
      <c r="AR15" s="406"/>
      <c r="AS15" s="105"/>
      <c r="AT15" s="405"/>
      <c r="AU15" s="406"/>
      <c r="AV15" s="405"/>
      <c r="AW15" s="122"/>
      <c r="AX15" s="405"/>
      <c r="AY15" s="406"/>
      <c r="AZ15" s="105"/>
      <c r="BA15" s="405"/>
      <c r="BB15" s="406"/>
      <c r="BC15" s="105"/>
      <c r="BD15" s="405"/>
      <c r="BE15" s="405"/>
      <c r="BF15" s="631"/>
      <c r="BG15" s="633"/>
      <c r="BH15" s="485" t="s">
        <v>226</v>
      </c>
      <c r="BI15" s="105"/>
      <c r="BJ15" s="405"/>
      <c r="BK15" s="405"/>
      <c r="BL15" s="105"/>
      <c r="BM15" s="405"/>
      <c r="BN15" s="406"/>
      <c r="BO15" s="405"/>
      <c r="BP15" s="122"/>
      <c r="BQ15" s="405"/>
      <c r="BR15" s="405"/>
      <c r="BS15" s="105"/>
      <c r="BT15" s="405"/>
      <c r="BU15" s="405"/>
      <c r="BV15" s="105"/>
      <c r="BW15" s="405"/>
      <c r="BX15" s="405"/>
    </row>
    <row r="16" spans="1:77" ht="21.2" customHeight="1" x14ac:dyDescent="0.25">
      <c r="A16" s="631"/>
      <c r="B16" s="633"/>
      <c r="C16" s="416" t="s">
        <v>252</v>
      </c>
      <c r="D16" s="105">
        <v>7772.9129684999998</v>
      </c>
      <c r="E16" s="405">
        <v>1.8922229502270542</v>
      </c>
      <c r="F16" s="406">
        <v>7.5568656246550239</v>
      </c>
      <c r="G16" s="105">
        <v>8020.9386015000009</v>
      </c>
      <c r="H16" s="405">
        <v>1.7991925572306309</v>
      </c>
      <c r="I16" s="406">
        <v>3.1908968234320101</v>
      </c>
      <c r="J16" s="405"/>
      <c r="K16" s="122">
        <v>8594.060598</v>
      </c>
      <c r="L16" s="405">
        <v>1.7554636820259337</v>
      </c>
      <c r="M16" s="414">
        <v>7.1453233215476697</v>
      </c>
      <c r="N16" s="105">
        <v>10846.989764666667</v>
      </c>
      <c r="O16" s="405">
        <v>2.0514668377344072</v>
      </c>
      <c r="P16" s="414">
        <v>26.214955561181007</v>
      </c>
      <c r="Q16" s="105">
        <v>12824.973333333333</v>
      </c>
      <c r="R16" s="405">
        <v>2.3411475559613089</v>
      </c>
      <c r="S16" s="415">
        <v>18.23532253261466</v>
      </c>
      <c r="T16" s="631"/>
      <c r="U16" s="633"/>
      <c r="V16" s="416" t="s">
        <v>252</v>
      </c>
      <c r="W16" s="105">
        <v>13813.281999999999</v>
      </c>
      <c r="X16" s="405">
        <v>2.4097399233472045</v>
      </c>
      <c r="Y16" s="414">
        <v>7.7061264844735078</v>
      </c>
      <c r="Z16" s="105">
        <v>14756.835999999999</v>
      </c>
      <c r="AA16" s="405">
        <v>2.3913450015801194</v>
      </c>
      <c r="AB16" s="414">
        <v>6.8307734541291465</v>
      </c>
      <c r="AC16" s="405"/>
      <c r="AD16" s="122">
        <v>15062.739</v>
      </c>
      <c r="AE16" s="405">
        <v>2.3003684316224922</v>
      </c>
      <c r="AF16" s="414">
        <v>2.0729579159109779</v>
      </c>
      <c r="AG16" s="105">
        <v>14412.968999999999</v>
      </c>
      <c r="AH16" s="405">
        <v>2.0301610906584746</v>
      </c>
      <c r="AI16" s="406">
        <v>-4.3137572788056744</v>
      </c>
      <c r="AJ16" s="105">
        <v>14690.808000000001</v>
      </c>
      <c r="AK16" s="405">
        <v>1.9702802430112176</v>
      </c>
      <c r="AL16" s="415">
        <v>1.9277013639591001</v>
      </c>
      <c r="AM16" s="631"/>
      <c r="AN16" s="633"/>
      <c r="AO16" s="416" t="s">
        <v>252</v>
      </c>
      <c r="AP16" s="105">
        <v>14399.037</v>
      </c>
      <c r="AQ16" s="405">
        <v>1.8449406098611596</v>
      </c>
      <c r="AR16" s="414">
        <v>-1.9860786418282816</v>
      </c>
      <c r="AS16" s="105">
        <v>14419.781999999999</v>
      </c>
      <c r="AT16" s="405">
        <v>1.6530197104831963</v>
      </c>
      <c r="AU16" s="414">
        <v>0.14407213482401371</v>
      </c>
      <c r="AV16" s="405"/>
      <c r="AW16" s="122">
        <v>14833.994000000001</v>
      </c>
      <c r="AX16" s="405">
        <v>1.6492527686830671</v>
      </c>
      <c r="AY16" s="414">
        <v>2.8725260895067661</v>
      </c>
      <c r="AZ16" s="105">
        <v>15289.897999999999</v>
      </c>
      <c r="BA16" s="405">
        <v>1.625783767483775</v>
      </c>
      <c r="BB16" s="414">
        <v>3.0733732263879654</v>
      </c>
      <c r="BC16" s="105">
        <v>15742.329</v>
      </c>
      <c r="BD16" s="405">
        <v>1.6429134191115988</v>
      </c>
      <c r="BE16" s="415">
        <v>2.9590190856734422</v>
      </c>
      <c r="BF16" s="631"/>
      <c r="BG16" s="633"/>
      <c r="BH16" s="416" t="s">
        <v>252</v>
      </c>
      <c r="BI16" s="105">
        <v>16882.536</v>
      </c>
      <c r="BJ16" s="405">
        <v>1.703848820708084</v>
      </c>
      <c r="BK16" s="415">
        <v>7.2429371791175257</v>
      </c>
      <c r="BL16" s="105">
        <v>17783.108999999997</v>
      </c>
      <c r="BM16" s="405">
        <v>1.7633617334387106</v>
      </c>
      <c r="BN16" s="414">
        <v>5.3343466881989654</v>
      </c>
      <c r="BO16" s="405"/>
      <c r="BP16" s="122">
        <v>18301.903749999998</v>
      </c>
      <c r="BQ16" s="405">
        <v>1.7334134398022025</v>
      </c>
      <c r="BR16" s="405">
        <v>2.917345611501343</v>
      </c>
      <c r="BS16" s="105">
        <v>18768.068898999998</v>
      </c>
      <c r="BT16" s="405">
        <v>1.7011372338361535</v>
      </c>
      <c r="BU16" s="415">
        <v>2.5470855675328252</v>
      </c>
      <c r="BV16" s="105">
        <v>20188.110127000004</v>
      </c>
      <c r="BW16" s="405">
        <v>1.7617692892477494</v>
      </c>
      <c r="BX16" s="415">
        <v>7.5662618015840177</v>
      </c>
    </row>
    <row r="17" spans="1:76" ht="21.2" customHeight="1" x14ac:dyDescent="0.25">
      <c r="A17" s="631"/>
      <c r="B17" s="633"/>
      <c r="C17" s="485" t="s">
        <v>227</v>
      </c>
      <c r="D17" s="105"/>
      <c r="E17" s="405"/>
      <c r="F17" s="406"/>
      <c r="G17" s="105"/>
      <c r="H17" s="405"/>
      <c r="I17" s="406"/>
      <c r="J17" s="405"/>
      <c r="K17" s="122"/>
      <c r="L17" s="405"/>
      <c r="M17" s="406"/>
      <c r="N17" s="105"/>
      <c r="O17" s="405"/>
      <c r="P17" s="406"/>
      <c r="Q17" s="105"/>
      <c r="R17" s="405"/>
      <c r="S17" s="405"/>
      <c r="T17" s="631"/>
      <c r="U17" s="633"/>
      <c r="V17" s="485" t="s">
        <v>227</v>
      </c>
      <c r="W17" s="105"/>
      <c r="X17" s="405"/>
      <c r="Y17" s="406"/>
      <c r="Z17" s="105"/>
      <c r="AA17" s="405"/>
      <c r="AB17" s="406"/>
      <c r="AC17" s="405"/>
      <c r="AD17" s="122"/>
      <c r="AE17" s="405"/>
      <c r="AF17" s="406"/>
      <c r="AG17" s="105"/>
      <c r="AH17" s="405"/>
      <c r="AI17" s="406"/>
      <c r="AJ17" s="105"/>
      <c r="AK17" s="405"/>
      <c r="AL17" s="405"/>
      <c r="AM17" s="631"/>
      <c r="AN17" s="633"/>
      <c r="AO17" s="485" t="s">
        <v>227</v>
      </c>
      <c r="AP17" s="105"/>
      <c r="AQ17" s="405"/>
      <c r="AR17" s="406"/>
      <c r="AS17" s="105"/>
      <c r="AT17" s="405"/>
      <c r="AU17" s="406"/>
      <c r="AV17" s="405"/>
      <c r="AW17" s="122"/>
      <c r="AX17" s="405"/>
      <c r="AY17" s="406"/>
      <c r="AZ17" s="105"/>
      <c r="BA17" s="405"/>
      <c r="BB17" s="406"/>
      <c r="BC17" s="105"/>
      <c r="BD17" s="405"/>
      <c r="BE17" s="405"/>
      <c r="BF17" s="631"/>
      <c r="BG17" s="633"/>
      <c r="BH17" s="485" t="s">
        <v>227</v>
      </c>
      <c r="BI17" s="105"/>
      <c r="BJ17" s="405"/>
      <c r="BK17" s="405"/>
      <c r="BL17" s="105"/>
      <c r="BM17" s="405"/>
      <c r="BN17" s="406"/>
      <c r="BO17" s="405"/>
      <c r="BP17" s="122"/>
      <c r="BQ17" s="405"/>
      <c r="BR17" s="405"/>
      <c r="BS17" s="105"/>
      <c r="BT17" s="405"/>
      <c r="BU17" s="405"/>
      <c r="BV17" s="105"/>
      <c r="BW17" s="405"/>
      <c r="BX17" s="405"/>
    </row>
    <row r="18" spans="1:76" ht="21.2" customHeight="1" x14ac:dyDescent="0.25">
      <c r="A18" s="631"/>
      <c r="B18" s="633"/>
      <c r="C18" s="416" t="s">
        <v>253</v>
      </c>
      <c r="D18" s="105">
        <v>21638.167456499999</v>
      </c>
      <c r="E18" s="405">
        <v>5.2675537765537079</v>
      </c>
      <c r="F18" s="406">
        <v>-9.1156331616806945</v>
      </c>
      <c r="G18" s="105">
        <v>18895.388104999998</v>
      </c>
      <c r="H18" s="405">
        <v>4.2384617728082965</v>
      </c>
      <c r="I18" s="406">
        <v>-12.675654521178426</v>
      </c>
      <c r="J18" s="405"/>
      <c r="K18" s="122">
        <v>13750.488279000001</v>
      </c>
      <c r="L18" s="405">
        <v>2.8087401186728038</v>
      </c>
      <c r="M18" s="414">
        <v>-27.228336340117732</v>
      </c>
      <c r="N18" s="105">
        <v>10359.969365999998</v>
      </c>
      <c r="O18" s="405">
        <v>1.9593577624203156</v>
      </c>
      <c r="P18" s="414">
        <v>-24.657443751856189</v>
      </c>
      <c r="Q18" s="105">
        <v>11147.188</v>
      </c>
      <c r="R18" s="405">
        <v>2.0348745579230236</v>
      </c>
      <c r="S18" s="415">
        <v>7.5986579321706049</v>
      </c>
      <c r="T18" s="631"/>
      <c r="U18" s="633"/>
      <c r="V18" s="416" t="s">
        <v>253</v>
      </c>
      <c r="W18" s="105">
        <v>8491.4169999999995</v>
      </c>
      <c r="X18" s="405">
        <v>1.4813356123974846</v>
      </c>
      <c r="Y18" s="414">
        <v>-23.824582486632508</v>
      </c>
      <c r="Z18" s="105">
        <v>4394.4150000000009</v>
      </c>
      <c r="AA18" s="405">
        <v>0.71211486968606974</v>
      </c>
      <c r="AB18" s="414">
        <v>-48.248743407607932</v>
      </c>
      <c r="AC18" s="405"/>
      <c r="AD18" s="122">
        <v>2821.8330000000001</v>
      </c>
      <c r="AE18" s="405">
        <v>0.43094788753297741</v>
      </c>
      <c r="AF18" s="414">
        <v>-35.785923723635584</v>
      </c>
      <c r="AG18" s="105">
        <v>3012.1754999999998</v>
      </c>
      <c r="AH18" s="405">
        <v>0.42428464935536431</v>
      </c>
      <c r="AI18" s="406">
        <v>6.7453495653357232</v>
      </c>
      <c r="AJ18" s="105">
        <v>2312.5349999999999</v>
      </c>
      <c r="AK18" s="405">
        <v>0.31014917775604622</v>
      </c>
      <c r="AL18" s="415">
        <v>-23.227082884114825</v>
      </c>
      <c r="AM18" s="631"/>
      <c r="AN18" s="633"/>
      <c r="AO18" s="416" t="s">
        <v>253</v>
      </c>
      <c r="AP18" s="105">
        <v>4813.3519999999999</v>
      </c>
      <c r="AQ18" s="405">
        <v>0.61673211717953302</v>
      </c>
      <c r="AR18" s="414">
        <v>108.1418010970645</v>
      </c>
      <c r="AS18" s="105">
        <v>10279</v>
      </c>
      <c r="AT18" s="405">
        <v>1.178338868372405</v>
      </c>
      <c r="AU18" s="414">
        <v>113.5518034002084</v>
      </c>
      <c r="AV18" s="405"/>
      <c r="AW18" s="122">
        <v>10786</v>
      </c>
      <c r="AX18" s="405">
        <v>1.199194253618787</v>
      </c>
      <c r="AY18" s="414">
        <v>4.9323864189123379</v>
      </c>
      <c r="AZ18" s="105">
        <v>11496</v>
      </c>
      <c r="BA18" s="405">
        <v>1.2223763815163107</v>
      </c>
      <c r="BB18" s="414">
        <v>6.5826070832560646</v>
      </c>
      <c r="BC18" s="105">
        <v>10869</v>
      </c>
      <c r="BD18" s="405">
        <v>1.1343191945946478</v>
      </c>
      <c r="BE18" s="415">
        <v>-5.4540709812108563</v>
      </c>
      <c r="BF18" s="631"/>
      <c r="BG18" s="633"/>
      <c r="BH18" s="416" t="s">
        <v>253</v>
      </c>
      <c r="BI18" s="105">
        <v>12916.727000000001</v>
      </c>
      <c r="BJ18" s="405">
        <v>1.3036045097939235</v>
      </c>
      <c r="BK18" s="415">
        <v>18.840068083540352</v>
      </c>
      <c r="BL18" s="105">
        <v>9687.9097949999996</v>
      </c>
      <c r="BM18" s="405">
        <v>0.96064694927692706</v>
      </c>
      <c r="BN18" s="414">
        <v>-24.997177729311769</v>
      </c>
      <c r="BO18" s="405"/>
      <c r="BP18" s="122">
        <v>11374.575000000001</v>
      </c>
      <c r="BQ18" s="405">
        <v>1.0773109424224867</v>
      </c>
      <c r="BR18" s="405">
        <v>17.41000113224116</v>
      </c>
      <c r="BS18" s="105">
        <v>12304.355</v>
      </c>
      <c r="BT18" s="405">
        <v>1.1152663889652126</v>
      </c>
      <c r="BU18" s="415">
        <v>8.1741955193930238</v>
      </c>
      <c r="BV18" s="105">
        <v>12442.351934</v>
      </c>
      <c r="BW18" s="405">
        <v>1.0858150359511132</v>
      </c>
      <c r="BX18" s="415">
        <v>1.1215291984017162</v>
      </c>
    </row>
    <row r="19" spans="1:76" ht="21.2" customHeight="1" x14ac:dyDescent="0.25">
      <c r="A19" s="631"/>
      <c r="B19" s="633"/>
      <c r="C19" s="485" t="s">
        <v>239</v>
      </c>
      <c r="D19" s="105"/>
      <c r="E19" s="405"/>
      <c r="F19" s="406"/>
      <c r="G19" s="105"/>
      <c r="H19" s="405"/>
      <c r="I19" s="406"/>
      <c r="J19" s="405"/>
      <c r="K19" s="122"/>
      <c r="L19" s="405"/>
      <c r="M19" s="406"/>
      <c r="N19" s="105"/>
      <c r="O19" s="405"/>
      <c r="P19" s="406"/>
      <c r="Q19" s="105"/>
      <c r="R19" s="405"/>
      <c r="S19" s="405"/>
      <c r="T19" s="631"/>
      <c r="U19" s="633"/>
      <c r="V19" s="485" t="s">
        <v>239</v>
      </c>
      <c r="W19" s="105"/>
      <c r="X19" s="405"/>
      <c r="Y19" s="406"/>
      <c r="Z19" s="105"/>
      <c r="AA19" s="405"/>
      <c r="AB19" s="406"/>
      <c r="AC19" s="405"/>
      <c r="AD19" s="122"/>
      <c r="AE19" s="405"/>
      <c r="AF19" s="406"/>
      <c r="AG19" s="105"/>
      <c r="AH19" s="405"/>
      <c r="AI19" s="406"/>
      <c r="AJ19" s="105"/>
      <c r="AK19" s="405"/>
      <c r="AL19" s="405"/>
      <c r="AM19" s="631"/>
      <c r="AN19" s="633"/>
      <c r="AO19" s="485" t="s">
        <v>239</v>
      </c>
      <c r="AP19" s="105"/>
      <c r="AQ19" s="405"/>
      <c r="AR19" s="406"/>
      <c r="AS19" s="105"/>
      <c r="AT19" s="405"/>
      <c r="AU19" s="406"/>
      <c r="AV19" s="405"/>
      <c r="AW19" s="122"/>
      <c r="AX19" s="405"/>
      <c r="AY19" s="406"/>
      <c r="AZ19" s="105"/>
      <c r="BA19" s="405"/>
      <c r="BB19" s="406"/>
      <c r="BC19" s="105"/>
      <c r="BD19" s="405"/>
      <c r="BE19" s="405"/>
      <c r="BF19" s="631"/>
      <c r="BG19" s="633"/>
      <c r="BH19" s="485" t="s">
        <v>239</v>
      </c>
      <c r="BI19" s="105"/>
      <c r="BJ19" s="405"/>
      <c r="BK19" s="405"/>
      <c r="BL19" s="105"/>
      <c r="BM19" s="405"/>
      <c r="BN19" s="406"/>
      <c r="BO19" s="405"/>
      <c r="BP19" s="122"/>
      <c r="BQ19" s="405"/>
      <c r="BR19" s="405"/>
      <c r="BS19" s="105"/>
      <c r="BT19" s="405"/>
      <c r="BU19" s="405"/>
      <c r="BV19" s="105"/>
      <c r="BW19" s="405"/>
      <c r="BX19" s="405"/>
    </row>
    <row r="20" spans="1:76" s="2" customFormat="1" ht="21.2" customHeight="1" x14ac:dyDescent="0.25">
      <c r="A20" s="631"/>
      <c r="B20" s="633"/>
      <c r="C20" s="486" t="s">
        <v>414</v>
      </c>
      <c r="D20" s="105">
        <v>228405.73526673004</v>
      </c>
      <c r="E20" s="405">
        <v>55.602651925561887</v>
      </c>
      <c r="F20" s="406">
        <v>1.5432362622484284</v>
      </c>
      <c r="G20" s="105">
        <v>243132.74688376009</v>
      </c>
      <c r="H20" s="405">
        <v>54.537585979088988</v>
      </c>
      <c r="I20" s="406">
        <v>6.4477416032622692</v>
      </c>
      <c r="J20" s="405"/>
      <c r="K20" s="122">
        <v>267594.26410180004</v>
      </c>
      <c r="L20" s="405">
        <v>54.660076781223324</v>
      </c>
      <c r="M20" s="414">
        <v>10.060971848327283</v>
      </c>
      <c r="N20" s="105">
        <v>289825.31858962995</v>
      </c>
      <c r="O20" s="405">
        <v>54.814012248743602</v>
      </c>
      <c r="P20" s="414">
        <v>8.3077470148510422</v>
      </c>
      <c r="Q20" s="105">
        <v>294997.99640029995</v>
      </c>
      <c r="R20" s="405">
        <v>53.850703649497802</v>
      </c>
      <c r="S20" s="415">
        <v>1.7847570515376887</v>
      </c>
      <c r="T20" s="631"/>
      <c r="U20" s="633"/>
      <c r="V20" s="486" t="s">
        <v>414</v>
      </c>
      <c r="W20" s="105">
        <v>309815.77673466998</v>
      </c>
      <c r="X20" s="405">
        <v>54.047651099887659</v>
      </c>
      <c r="Y20" s="414">
        <v>5.0230105001333403</v>
      </c>
      <c r="Z20" s="105">
        <v>330591.78728852991</v>
      </c>
      <c r="AA20" s="405">
        <v>53.572393031667772</v>
      </c>
      <c r="AB20" s="414">
        <v>6.7059240083995997</v>
      </c>
      <c r="AC20" s="405"/>
      <c r="AD20" s="122">
        <v>343281.86807009997</v>
      </c>
      <c r="AE20" s="405">
        <v>52.425709059743731</v>
      </c>
      <c r="AF20" s="414">
        <v>3.8385952916896171</v>
      </c>
      <c r="AG20" s="105">
        <v>362063.77411887987</v>
      </c>
      <c r="AH20" s="405">
        <v>50.999054154151636</v>
      </c>
      <c r="AI20" s="406">
        <v>5.4712782106349112</v>
      </c>
      <c r="AJ20" s="105">
        <v>373643.29565800016</v>
      </c>
      <c r="AK20" s="405">
        <v>50.111743572481295</v>
      </c>
      <c r="AL20" s="415">
        <v>3.1981994242037182</v>
      </c>
      <c r="AM20" s="631"/>
      <c r="AN20" s="633"/>
      <c r="AO20" s="486" t="s">
        <v>414</v>
      </c>
      <c r="AP20" s="105">
        <v>388319.68568475998</v>
      </c>
      <c r="AQ20" s="405">
        <v>49.755185553612712</v>
      </c>
      <c r="AR20" s="414">
        <v>3.9279147243667545</v>
      </c>
      <c r="AS20" s="105">
        <v>407332.12220295001</v>
      </c>
      <c r="AT20" s="405">
        <v>46.694743839707591</v>
      </c>
      <c r="AU20" s="414">
        <v>4.8960784680960989</v>
      </c>
      <c r="AV20" s="405"/>
      <c r="AW20" s="122">
        <v>422102.25856182986</v>
      </c>
      <c r="AX20" s="405">
        <v>46.929594187544751</v>
      </c>
      <c r="AY20" s="414">
        <v>3.6260671706909386</v>
      </c>
      <c r="AZ20" s="105">
        <v>440957.68859670986</v>
      </c>
      <c r="BA20" s="405">
        <v>46.887288081823449</v>
      </c>
      <c r="BB20" s="414">
        <v>4.4670289372825245</v>
      </c>
      <c r="BC20" s="105">
        <v>447423.223199</v>
      </c>
      <c r="BD20" s="405">
        <v>46.694337122277211</v>
      </c>
      <c r="BE20" s="415">
        <v>1.4662482976237179</v>
      </c>
      <c r="BF20" s="631"/>
      <c r="BG20" s="633"/>
      <c r="BH20" s="486" t="s">
        <v>414</v>
      </c>
      <c r="BI20" s="105">
        <v>463640.64058200008</v>
      </c>
      <c r="BJ20" s="405">
        <v>46.792351497901819</v>
      </c>
      <c r="BK20" s="415">
        <v>3.62462575524094</v>
      </c>
      <c r="BL20" s="105">
        <v>485953.80827799992</v>
      </c>
      <c r="BM20" s="405">
        <v>48.186869334053839</v>
      </c>
      <c r="BN20" s="414">
        <v>4.8125996176673569</v>
      </c>
      <c r="BO20" s="405"/>
      <c r="BP20" s="122">
        <v>507579.6898910001</v>
      </c>
      <c r="BQ20" s="405">
        <v>48.073985539766255</v>
      </c>
      <c r="BR20" s="405">
        <v>4.4501928464420359</v>
      </c>
      <c r="BS20" s="105">
        <v>523853.20514899993</v>
      </c>
      <c r="BT20" s="405">
        <v>47.482039688742553</v>
      </c>
      <c r="BU20" s="415">
        <v>3.2061005556574651</v>
      </c>
      <c r="BV20" s="105">
        <v>543648.24308699998</v>
      </c>
      <c r="BW20" s="405">
        <v>47.44291430940892</v>
      </c>
      <c r="BX20" s="415">
        <v>3.7787375820998781</v>
      </c>
    </row>
    <row r="21" spans="1:76" s="2" customFormat="1" ht="21.2" customHeight="1" x14ac:dyDescent="0.25">
      <c r="A21" s="631"/>
      <c r="B21" s="633"/>
      <c r="C21" s="485" t="s">
        <v>441</v>
      </c>
      <c r="D21" s="105"/>
      <c r="E21" s="405"/>
      <c r="F21" s="406"/>
      <c r="G21" s="105"/>
      <c r="H21" s="405"/>
      <c r="I21" s="406"/>
      <c r="J21" s="405"/>
      <c r="K21" s="122"/>
      <c r="L21" s="405"/>
      <c r="M21" s="406"/>
      <c r="N21" s="105"/>
      <c r="O21" s="405"/>
      <c r="P21" s="406"/>
      <c r="Q21" s="105"/>
      <c r="R21" s="405"/>
      <c r="S21" s="405"/>
      <c r="T21" s="631"/>
      <c r="U21" s="633"/>
      <c r="V21" s="485" t="s">
        <v>441</v>
      </c>
      <c r="W21" s="105"/>
      <c r="X21" s="405"/>
      <c r="Y21" s="406"/>
      <c r="Z21" s="105"/>
      <c r="AA21" s="405"/>
      <c r="AB21" s="406"/>
      <c r="AC21" s="405"/>
      <c r="AD21" s="122"/>
      <c r="AE21" s="405"/>
      <c r="AF21" s="406"/>
      <c r="AG21" s="105"/>
      <c r="AH21" s="405"/>
      <c r="AI21" s="406"/>
      <c r="AJ21" s="105"/>
      <c r="AK21" s="405"/>
      <c r="AL21" s="405"/>
      <c r="AM21" s="631"/>
      <c r="AN21" s="633"/>
      <c r="AO21" s="485" t="s">
        <v>441</v>
      </c>
      <c r="AP21" s="105"/>
      <c r="AQ21" s="405"/>
      <c r="AR21" s="406"/>
      <c r="AS21" s="105"/>
      <c r="AT21" s="405"/>
      <c r="AU21" s="406"/>
      <c r="AV21" s="405"/>
      <c r="AW21" s="122"/>
      <c r="AX21" s="405"/>
      <c r="AY21" s="406"/>
      <c r="AZ21" s="105"/>
      <c r="BA21" s="405"/>
      <c r="BB21" s="406"/>
      <c r="BC21" s="105"/>
      <c r="BD21" s="405"/>
      <c r="BE21" s="405"/>
      <c r="BF21" s="631"/>
      <c r="BG21" s="633"/>
      <c r="BH21" s="485" t="s">
        <v>441</v>
      </c>
      <c r="BI21" s="105"/>
      <c r="BJ21" s="405"/>
      <c r="BK21" s="405"/>
      <c r="BL21" s="105"/>
      <c r="BM21" s="405"/>
      <c r="BN21" s="406"/>
      <c r="BO21" s="405"/>
      <c r="BP21" s="122"/>
      <c r="BQ21" s="405"/>
      <c r="BR21" s="405"/>
      <c r="BS21" s="105"/>
      <c r="BT21" s="405"/>
      <c r="BU21" s="405"/>
      <c r="BV21" s="105"/>
      <c r="BW21" s="405"/>
      <c r="BX21" s="405"/>
    </row>
    <row r="22" spans="1:76" s="2" customFormat="1" ht="21.2" customHeight="1" x14ac:dyDescent="0.25">
      <c r="A22" s="631"/>
      <c r="B22" s="633"/>
      <c r="C22" s="404" t="s">
        <v>262</v>
      </c>
      <c r="D22" s="105">
        <v>135551.41978455984</v>
      </c>
      <c r="E22" s="405">
        <v>32.998376347664589</v>
      </c>
      <c r="F22" s="406">
        <v>-15.389878247055991</v>
      </c>
      <c r="G22" s="105">
        <v>158225.54866296033</v>
      </c>
      <c r="H22" s="405">
        <v>35.491884885503723</v>
      </c>
      <c r="I22" s="406">
        <v>16.72732673286481</v>
      </c>
      <c r="J22" s="405"/>
      <c r="K22" s="122">
        <v>178845.69010752067</v>
      </c>
      <c r="L22" s="405">
        <v>36.531871062636107</v>
      </c>
      <c r="M22" s="414">
        <v>13.032118781577907</v>
      </c>
      <c r="N22" s="105">
        <v>194606.99596325608</v>
      </c>
      <c r="O22" s="405">
        <v>36.805584523569614</v>
      </c>
      <c r="P22" s="414">
        <v>8.81279601776248</v>
      </c>
      <c r="Q22" s="105">
        <v>208165.3357784918</v>
      </c>
      <c r="R22" s="405">
        <v>37.999748960648752</v>
      </c>
      <c r="S22" s="415">
        <v>6.9670361787999013</v>
      </c>
      <c r="T22" s="631"/>
      <c r="U22" s="633"/>
      <c r="V22" s="404" t="s">
        <v>262</v>
      </c>
      <c r="W22" s="105">
        <v>213639.11996889504</v>
      </c>
      <c r="X22" s="405">
        <v>37.269543659342467</v>
      </c>
      <c r="Y22" s="414">
        <v>2.6295368390383045</v>
      </c>
      <c r="Z22" s="105">
        <v>240748.35503466849</v>
      </c>
      <c r="AA22" s="405">
        <v>39.013266492274532</v>
      </c>
      <c r="AB22" s="414">
        <v>12.689265463048361</v>
      </c>
      <c r="AC22" s="415"/>
      <c r="AD22" s="122">
        <v>256259.6717985085</v>
      </c>
      <c r="AE22" s="405">
        <v>39.135754745749068</v>
      </c>
      <c r="AF22" s="414">
        <v>6.4429585662615807</v>
      </c>
      <c r="AG22" s="105">
        <v>290205.55906267476</v>
      </c>
      <c r="AH22" s="405">
        <v>40.877353881898458</v>
      </c>
      <c r="AI22" s="406">
        <v>13.246675540448361</v>
      </c>
      <c r="AJ22" s="105">
        <v>317734.84159073693</v>
      </c>
      <c r="AK22" s="405">
        <v>42.613495520636299</v>
      </c>
      <c r="AL22" s="415">
        <v>9.486132042741735</v>
      </c>
      <c r="AM22" s="631"/>
      <c r="AN22" s="633"/>
      <c r="AO22" s="404" t="s">
        <v>262</v>
      </c>
      <c r="AP22" s="105">
        <v>336750.73685139412</v>
      </c>
      <c r="AQ22" s="405">
        <v>43.147684794323808</v>
      </c>
      <c r="AR22" s="414">
        <v>5.9848316179158312</v>
      </c>
      <c r="AS22" s="105">
        <v>393349.22091786237</v>
      </c>
      <c r="AT22" s="405">
        <v>45.091806192384581</v>
      </c>
      <c r="AU22" s="414">
        <v>16.807233918969811</v>
      </c>
      <c r="AV22" s="415"/>
      <c r="AW22" s="122">
        <v>406866.44704618515</v>
      </c>
      <c r="AX22" s="405">
        <v>45.235667095130502</v>
      </c>
      <c r="AY22" s="414">
        <v>3.4364441085661612</v>
      </c>
      <c r="AZ22" s="105">
        <v>419264.64712425065</v>
      </c>
      <c r="BA22" s="405">
        <v>44.580654336243427</v>
      </c>
      <c r="BB22" s="414">
        <v>3.0472407267975399</v>
      </c>
      <c r="BC22" s="105">
        <v>423697.26712987217</v>
      </c>
      <c r="BD22" s="405">
        <v>44.218230085813772</v>
      </c>
      <c r="BE22" s="415">
        <v>1.0572367682381456</v>
      </c>
      <c r="BF22" s="631"/>
      <c r="BG22" s="633"/>
      <c r="BH22" s="404" t="s">
        <v>262</v>
      </c>
      <c r="BI22" s="105">
        <v>441917.56908453972</v>
      </c>
      <c r="BJ22" s="405">
        <v>44.599977689067337</v>
      </c>
      <c r="BK22" s="415">
        <v>4.3003114176525026</v>
      </c>
      <c r="BL22" s="105">
        <v>439991.48761463416</v>
      </c>
      <c r="BM22" s="405">
        <v>43.629274965272849</v>
      </c>
      <c r="BN22" s="414">
        <v>-0.43584632172365412</v>
      </c>
      <c r="BO22" s="415"/>
      <c r="BP22" s="122">
        <v>460962.6272656059</v>
      </c>
      <c r="BQ22" s="405">
        <v>43.658781308405395</v>
      </c>
      <c r="BR22" s="405">
        <v>4.7662603121402469</v>
      </c>
      <c r="BS22" s="105">
        <v>479730.57570710115</v>
      </c>
      <c r="BT22" s="405">
        <v>43.482765804876507</v>
      </c>
      <c r="BU22" s="415">
        <v>4.0714685597887268</v>
      </c>
      <c r="BV22" s="105">
        <v>496399.91880244785</v>
      </c>
      <c r="BW22" s="405">
        <v>43.319663238888225</v>
      </c>
      <c r="BX22" s="415">
        <v>3.4747301797007246</v>
      </c>
    </row>
    <row r="23" spans="1:76" s="2" customFormat="1" ht="21.2" customHeight="1" x14ac:dyDescent="0.25">
      <c r="A23" s="631"/>
      <c r="B23" s="633"/>
      <c r="C23" s="404" t="s">
        <v>230</v>
      </c>
      <c r="D23" s="105"/>
      <c r="E23" s="405"/>
      <c r="F23" s="406"/>
      <c r="G23" s="105"/>
      <c r="H23" s="405"/>
      <c r="I23" s="406"/>
      <c r="J23" s="405"/>
      <c r="K23" s="122"/>
      <c r="L23" s="405"/>
      <c r="M23" s="406"/>
      <c r="N23" s="105"/>
      <c r="O23" s="405"/>
      <c r="P23" s="406"/>
      <c r="Q23" s="105"/>
      <c r="R23" s="405"/>
      <c r="S23" s="405"/>
      <c r="T23" s="631"/>
      <c r="U23" s="633"/>
      <c r="V23" s="404" t="s">
        <v>230</v>
      </c>
      <c r="W23" s="105"/>
      <c r="X23" s="405"/>
      <c r="Y23" s="406"/>
      <c r="Z23" s="105"/>
      <c r="AA23" s="405"/>
      <c r="AB23" s="406"/>
      <c r="AC23" s="405"/>
      <c r="AD23" s="122"/>
      <c r="AE23" s="405"/>
      <c r="AF23" s="406"/>
      <c r="AG23" s="105"/>
      <c r="AH23" s="405"/>
      <c r="AI23" s="406"/>
      <c r="AJ23" s="105"/>
      <c r="AK23" s="405"/>
      <c r="AL23" s="405"/>
      <c r="AM23" s="631"/>
      <c r="AN23" s="633"/>
      <c r="AO23" s="404" t="s">
        <v>230</v>
      </c>
      <c r="AP23" s="105"/>
      <c r="AQ23" s="405"/>
      <c r="AR23" s="406"/>
      <c r="AS23" s="105"/>
      <c r="AT23" s="405"/>
      <c r="AU23" s="406"/>
      <c r="AV23" s="405"/>
      <c r="AW23" s="122"/>
      <c r="AX23" s="405"/>
      <c r="AY23" s="406"/>
      <c r="AZ23" s="105"/>
      <c r="BA23" s="405"/>
      <c r="BB23" s="406"/>
      <c r="BC23" s="105"/>
      <c r="BD23" s="405"/>
      <c r="BE23" s="405"/>
      <c r="BF23" s="631"/>
      <c r="BG23" s="633"/>
      <c r="BH23" s="404" t="s">
        <v>230</v>
      </c>
      <c r="BI23" s="105"/>
      <c r="BJ23" s="405"/>
      <c r="BK23" s="405"/>
      <c r="BL23" s="105"/>
      <c r="BM23" s="405"/>
      <c r="BN23" s="406"/>
      <c r="BO23" s="405"/>
      <c r="BP23" s="122"/>
      <c r="BQ23" s="405"/>
      <c r="BR23" s="405"/>
      <c r="BS23" s="105"/>
      <c r="BT23" s="405"/>
      <c r="BU23" s="405"/>
      <c r="BV23" s="105"/>
      <c r="BW23" s="405"/>
      <c r="BX23" s="405"/>
    </row>
    <row r="24" spans="1:76" s="2" customFormat="1" ht="21.2" customHeight="1" x14ac:dyDescent="0.25">
      <c r="A24" s="631"/>
      <c r="B24" s="633"/>
      <c r="C24" s="486" t="s">
        <v>421</v>
      </c>
      <c r="D24" s="105">
        <v>108308</v>
      </c>
      <c r="E24" s="405">
        <v>26.366290748877542</v>
      </c>
      <c r="F24" s="406">
        <v>28.474668754374104</v>
      </c>
      <c r="G24" s="105">
        <v>127726</v>
      </c>
      <c r="H24" s="405">
        <v>28.650470971298027</v>
      </c>
      <c r="I24" s="406">
        <v>17.928500203124422</v>
      </c>
      <c r="J24" s="405"/>
      <c r="K24" s="122">
        <v>142195</v>
      </c>
      <c r="L24" s="405">
        <v>29.045426829288186</v>
      </c>
      <c r="M24" s="414">
        <v>11.328155583044964</v>
      </c>
      <c r="N24" s="105">
        <v>155099</v>
      </c>
      <c r="O24" s="405">
        <v>29.333525887727863</v>
      </c>
      <c r="P24" s="414">
        <v>9.0748619853018742</v>
      </c>
      <c r="Q24" s="105">
        <v>169167</v>
      </c>
      <c r="R24" s="405">
        <v>30.88075883713131</v>
      </c>
      <c r="S24" s="415">
        <v>9.0703357210555779</v>
      </c>
      <c r="T24" s="631"/>
      <c r="U24" s="633"/>
      <c r="V24" s="486" t="s">
        <v>421</v>
      </c>
      <c r="W24" s="105">
        <v>184810</v>
      </c>
      <c r="X24" s="405">
        <v>32.240276802703143</v>
      </c>
      <c r="Y24" s="414">
        <v>9.2470753752209376</v>
      </c>
      <c r="Z24" s="105">
        <v>201264</v>
      </c>
      <c r="AA24" s="405">
        <v>32.614827487275811</v>
      </c>
      <c r="AB24" s="414">
        <v>8.9031978789026578</v>
      </c>
      <c r="AC24" s="405"/>
      <c r="AD24" s="122">
        <v>219182</v>
      </c>
      <c r="AE24" s="405">
        <v>33.473284877330819</v>
      </c>
      <c r="AF24" s="414">
        <v>8.902734716591155</v>
      </c>
      <c r="AG24" s="105">
        <v>248092</v>
      </c>
      <c r="AH24" s="405">
        <v>34.945383238085249</v>
      </c>
      <c r="AI24" s="406">
        <v>13.189951729612837</v>
      </c>
      <c r="AJ24" s="105">
        <v>269545</v>
      </c>
      <c r="AK24" s="405">
        <v>36.150441017434751</v>
      </c>
      <c r="AL24" s="415">
        <v>8.6471953952566025</v>
      </c>
      <c r="AM24" s="631"/>
      <c r="AN24" s="633"/>
      <c r="AO24" s="486" t="s">
        <v>421</v>
      </c>
      <c r="AP24" s="105">
        <v>276343</v>
      </c>
      <c r="AQ24" s="405">
        <v>35.407675037633588</v>
      </c>
      <c r="AR24" s="414">
        <v>2.5220278617670511</v>
      </c>
      <c r="AS24" s="105">
        <v>338174.37779437815</v>
      </c>
      <c r="AT24" s="405">
        <v>38.766807436790515</v>
      </c>
      <c r="AU24" s="414">
        <v>22.374866667286007</v>
      </c>
      <c r="AV24" s="405"/>
      <c r="AW24" s="122">
        <v>349928.78224387811</v>
      </c>
      <c r="AX24" s="405">
        <v>38.905301765499573</v>
      </c>
      <c r="AY24" s="414">
        <v>3.4758412290617269</v>
      </c>
      <c r="AZ24" s="105">
        <v>357695.90400229604</v>
      </c>
      <c r="BA24" s="405">
        <v>38.034013988998986</v>
      </c>
      <c r="BB24" s="414">
        <v>2.2196292938843509</v>
      </c>
      <c r="BC24" s="105">
        <v>366161.95469762146</v>
      </c>
      <c r="BD24" s="405">
        <v>38.2136841976086</v>
      </c>
      <c r="BE24" s="415">
        <v>2.3668290859911734</v>
      </c>
      <c r="BF24" s="631"/>
      <c r="BG24" s="633"/>
      <c r="BH24" s="486" t="s">
        <v>421</v>
      </c>
      <c r="BI24" s="105">
        <v>377992.50383090891</v>
      </c>
      <c r="BJ24" s="405">
        <v>38.148420467682698</v>
      </c>
      <c r="BK24" s="415">
        <v>3.230960776101699</v>
      </c>
      <c r="BL24" s="105">
        <v>386112.12386786775</v>
      </c>
      <c r="BM24" s="405">
        <v>38.286631659590313</v>
      </c>
      <c r="BN24" s="414">
        <v>2.1480902278927294</v>
      </c>
      <c r="BO24" s="405"/>
      <c r="BP24" s="122">
        <v>399539.5917817938</v>
      </c>
      <c r="BQ24" s="405">
        <v>37.841270918477385</v>
      </c>
      <c r="BR24" s="405">
        <v>3.4776084675655294</v>
      </c>
      <c r="BS24" s="105">
        <v>414697.12337577046</v>
      </c>
      <c r="BT24" s="405">
        <v>37.588135526125242</v>
      </c>
      <c r="BU24" s="415">
        <v>3.7937495822078171</v>
      </c>
      <c r="BV24" s="105">
        <v>428166.47483047273</v>
      </c>
      <c r="BW24" s="405">
        <v>37.365089713520973</v>
      </c>
      <c r="BX24" s="415">
        <v>3.2479973203231705</v>
      </c>
    </row>
    <row r="25" spans="1:76" s="2" customFormat="1" ht="21.2" customHeight="1" x14ac:dyDescent="0.25">
      <c r="A25" s="631"/>
      <c r="B25" s="633"/>
      <c r="C25" s="164" t="s">
        <v>71</v>
      </c>
      <c r="D25" s="105"/>
      <c r="E25" s="405"/>
      <c r="F25" s="406"/>
      <c r="G25" s="105"/>
      <c r="H25" s="405"/>
      <c r="I25" s="406"/>
      <c r="J25" s="405"/>
      <c r="K25" s="122"/>
      <c r="L25" s="405"/>
      <c r="M25" s="406"/>
      <c r="N25" s="105"/>
      <c r="O25" s="405"/>
      <c r="P25" s="406"/>
      <c r="Q25" s="105"/>
      <c r="R25" s="405"/>
      <c r="S25" s="405"/>
      <c r="T25" s="631"/>
      <c r="U25" s="633"/>
      <c r="V25" s="164" t="s">
        <v>71</v>
      </c>
      <c r="W25" s="105"/>
      <c r="X25" s="405"/>
      <c r="Y25" s="406"/>
      <c r="Z25" s="105"/>
      <c r="AA25" s="405"/>
      <c r="AB25" s="406"/>
      <c r="AC25" s="405"/>
      <c r="AD25" s="122"/>
      <c r="AE25" s="405"/>
      <c r="AF25" s="406"/>
      <c r="AG25" s="105"/>
      <c r="AH25" s="405"/>
      <c r="AI25" s="406"/>
      <c r="AJ25" s="105"/>
      <c r="AK25" s="405"/>
      <c r="AL25" s="405"/>
      <c r="AM25" s="631"/>
      <c r="AN25" s="633"/>
      <c r="AO25" s="164" t="s">
        <v>71</v>
      </c>
      <c r="AP25" s="105"/>
      <c r="AQ25" s="405"/>
      <c r="AR25" s="406"/>
      <c r="AS25" s="105"/>
      <c r="AT25" s="405"/>
      <c r="AU25" s="406"/>
      <c r="AV25" s="405"/>
      <c r="AW25" s="122"/>
      <c r="AX25" s="405"/>
      <c r="AY25" s="406"/>
      <c r="AZ25" s="105"/>
      <c r="BA25" s="405"/>
      <c r="BB25" s="406"/>
      <c r="BC25" s="105"/>
      <c r="BD25" s="405"/>
      <c r="BE25" s="405"/>
      <c r="BF25" s="631"/>
      <c r="BG25" s="633"/>
      <c r="BH25" s="164" t="s">
        <v>71</v>
      </c>
      <c r="BI25" s="105"/>
      <c r="BJ25" s="405"/>
      <c r="BK25" s="405"/>
      <c r="BL25" s="105"/>
      <c r="BM25" s="405"/>
      <c r="BN25" s="406"/>
      <c r="BO25" s="405"/>
      <c r="BP25" s="122"/>
      <c r="BQ25" s="405"/>
      <c r="BR25" s="405"/>
      <c r="BS25" s="105"/>
      <c r="BT25" s="405"/>
      <c r="BU25" s="405"/>
      <c r="BV25" s="105"/>
      <c r="BW25" s="405"/>
      <c r="BX25" s="405"/>
    </row>
    <row r="26" spans="1:76" ht="21.2" customHeight="1" x14ac:dyDescent="0.25">
      <c r="A26" s="631"/>
      <c r="B26" s="633"/>
      <c r="C26" s="416" t="s">
        <v>247</v>
      </c>
      <c r="D26" s="105">
        <v>21684</v>
      </c>
      <c r="E26" s="405">
        <v>5.2787111625979666</v>
      </c>
      <c r="F26" s="406">
        <v>22.612383375742155</v>
      </c>
      <c r="G26" s="105">
        <v>23588</v>
      </c>
      <c r="H26" s="405">
        <v>5.2910708021152928</v>
      </c>
      <c r="I26" s="406">
        <v>8.7806677734735281</v>
      </c>
      <c r="J26" s="405"/>
      <c r="K26" s="122">
        <v>28839</v>
      </c>
      <c r="L26" s="405">
        <v>5.8907912678353105</v>
      </c>
      <c r="M26" s="414">
        <v>22.26131931490589</v>
      </c>
      <c r="N26" s="105">
        <v>31590</v>
      </c>
      <c r="O26" s="405">
        <v>5.9745458242369267</v>
      </c>
      <c r="P26" s="414">
        <v>9.5391657130968532</v>
      </c>
      <c r="Q26" s="105">
        <v>28723</v>
      </c>
      <c r="R26" s="405">
        <v>5.2432686994444699</v>
      </c>
      <c r="S26" s="415">
        <v>-9.0756568534346336</v>
      </c>
      <c r="T26" s="631"/>
      <c r="U26" s="633"/>
      <c r="V26" s="416" t="s">
        <v>247</v>
      </c>
      <c r="W26" s="105">
        <v>18029</v>
      </c>
      <c r="X26" s="405">
        <v>3.1451758588600995</v>
      </c>
      <c r="Y26" s="414">
        <v>-37.231486961668345</v>
      </c>
      <c r="Z26" s="105">
        <v>28977.000000005097</v>
      </c>
      <c r="AA26" s="405">
        <v>4.6957223154610723</v>
      </c>
      <c r="AB26" s="414">
        <v>60.724388485246529</v>
      </c>
      <c r="AC26" s="405"/>
      <c r="AD26" s="122">
        <v>28508</v>
      </c>
      <c r="AE26" s="405">
        <v>4.3537170264115979</v>
      </c>
      <c r="AF26" s="414">
        <v>-1.6185250371156923</v>
      </c>
      <c r="AG26" s="105">
        <v>34310.999999995569</v>
      </c>
      <c r="AH26" s="405">
        <v>4.8329290919569683</v>
      </c>
      <c r="AI26" s="406">
        <v>20.355689630965234</v>
      </c>
      <c r="AJ26" s="105">
        <v>39698</v>
      </c>
      <c r="AK26" s="405">
        <v>5.3241581461727163</v>
      </c>
      <c r="AL26" s="415">
        <v>15.700504211492316</v>
      </c>
      <c r="AM26" s="631"/>
      <c r="AN26" s="633"/>
      <c r="AO26" s="416" t="s">
        <v>247</v>
      </c>
      <c r="AP26" s="105">
        <v>52926</v>
      </c>
      <c r="AQ26" s="405">
        <v>6.7813789712125701</v>
      </c>
      <c r="AR26" s="414">
        <v>33.321577913244994</v>
      </c>
      <c r="AS26" s="105">
        <v>49326.948913034816</v>
      </c>
      <c r="AT26" s="405">
        <v>5.6546221580356919</v>
      </c>
      <c r="AU26" s="414">
        <v>-6.8001569870483003</v>
      </c>
      <c r="AV26" s="405"/>
      <c r="AW26" s="122">
        <v>51887.419649815376</v>
      </c>
      <c r="AX26" s="405">
        <v>5.7688759020179052</v>
      </c>
      <c r="AY26" s="414">
        <v>5.1908151491282473</v>
      </c>
      <c r="AZ26" s="105">
        <v>55253.248745809396</v>
      </c>
      <c r="BA26" s="405">
        <v>5.8751101486537163</v>
      </c>
      <c r="BB26" s="414">
        <v>6.4867922103464926</v>
      </c>
      <c r="BC26" s="105">
        <v>52378.94591897646</v>
      </c>
      <c r="BD26" s="405">
        <v>5.466413078344833</v>
      </c>
      <c r="BE26" s="415">
        <v>-5.202052172635252</v>
      </c>
      <c r="BF26" s="631"/>
      <c r="BG26" s="633"/>
      <c r="BH26" s="416" t="s">
        <v>247</v>
      </c>
      <c r="BI26" s="105">
        <v>57003.859049451319</v>
      </c>
      <c r="BJ26" s="405">
        <v>5.753043145722744</v>
      </c>
      <c r="BK26" s="415">
        <v>8.8297178366838693</v>
      </c>
      <c r="BL26" s="105">
        <v>46110.727063812024</v>
      </c>
      <c r="BM26" s="405">
        <v>4.5723102526876964</v>
      </c>
      <c r="BN26" s="414">
        <v>-19.109464108718342</v>
      </c>
      <c r="BO26" s="405"/>
      <c r="BP26" s="122">
        <v>53995.65088989745</v>
      </c>
      <c r="BQ26" s="405">
        <v>5.114046506960567</v>
      </c>
      <c r="BR26" s="405">
        <v>17.099977224765041</v>
      </c>
      <c r="BS26" s="105">
        <v>57128.134139995716</v>
      </c>
      <c r="BT26" s="405">
        <v>5.1780924616230033</v>
      </c>
      <c r="BU26" s="415">
        <v>5.8013621439358509</v>
      </c>
      <c r="BV26" s="105">
        <v>59527.668499277912</v>
      </c>
      <c r="BW26" s="405">
        <v>5.194840802967871</v>
      </c>
      <c r="BX26" s="415">
        <v>4.2002673383345623</v>
      </c>
    </row>
    <row r="27" spans="1:76" ht="28.15" customHeight="1" x14ac:dyDescent="0.25">
      <c r="A27" s="631"/>
      <c r="B27" s="633"/>
      <c r="C27" s="487" t="s">
        <v>221</v>
      </c>
      <c r="D27" s="105"/>
      <c r="E27" s="405"/>
      <c r="F27" s="406"/>
      <c r="G27" s="105"/>
      <c r="H27" s="405"/>
      <c r="I27" s="406"/>
      <c r="J27" s="405"/>
      <c r="K27" s="122"/>
      <c r="L27" s="405"/>
      <c r="M27" s="406"/>
      <c r="N27" s="105"/>
      <c r="O27" s="405"/>
      <c r="P27" s="406"/>
      <c r="Q27" s="105"/>
      <c r="R27" s="405"/>
      <c r="S27" s="405"/>
      <c r="T27" s="631"/>
      <c r="U27" s="633"/>
      <c r="V27" s="487" t="s">
        <v>221</v>
      </c>
      <c r="W27" s="105"/>
      <c r="X27" s="405"/>
      <c r="Y27" s="406"/>
      <c r="Z27" s="105"/>
      <c r="AA27" s="405"/>
      <c r="AB27" s="406"/>
      <c r="AC27" s="405"/>
      <c r="AD27" s="122"/>
      <c r="AE27" s="405"/>
      <c r="AF27" s="406"/>
      <c r="AG27" s="105"/>
      <c r="AH27" s="405"/>
      <c r="AI27" s="406"/>
      <c r="AJ27" s="105"/>
      <c r="AK27" s="405"/>
      <c r="AL27" s="405"/>
      <c r="AM27" s="631"/>
      <c r="AN27" s="633"/>
      <c r="AO27" s="487" t="s">
        <v>221</v>
      </c>
      <c r="AP27" s="105"/>
      <c r="AQ27" s="405"/>
      <c r="AR27" s="406"/>
      <c r="AS27" s="105"/>
      <c r="AT27" s="405"/>
      <c r="AU27" s="406"/>
      <c r="AV27" s="405"/>
      <c r="AW27" s="122"/>
      <c r="AX27" s="405"/>
      <c r="AY27" s="406"/>
      <c r="AZ27" s="105"/>
      <c r="BA27" s="405"/>
      <c r="BB27" s="406"/>
      <c r="BC27" s="105"/>
      <c r="BD27" s="405"/>
      <c r="BE27" s="405"/>
      <c r="BF27" s="631"/>
      <c r="BG27" s="633"/>
      <c r="BH27" s="487" t="s">
        <v>221</v>
      </c>
      <c r="BI27" s="105"/>
      <c r="BJ27" s="405"/>
      <c r="BK27" s="405"/>
      <c r="BL27" s="105"/>
      <c r="BM27" s="405"/>
      <c r="BN27" s="406"/>
      <c r="BO27" s="405"/>
      <c r="BP27" s="122"/>
      <c r="BQ27" s="405"/>
      <c r="BR27" s="405"/>
      <c r="BS27" s="105"/>
      <c r="BT27" s="405"/>
      <c r="BU27" s="405"/>
      <c r="BV27" s="105"/>
      <c r="BW27" s="405"/>
      <c r="BX27" s="405"/>
    </row>
    <row r="28" spans="1:76" s="2" customFormat="1" ht="21.2" customHeight="1" x14ac:dyDescent="0.25">
      <c r="A28" s="631"/>
      <c r="B28" s="633"/>
      <c r="C28" s="416" t="s">
        <v>248</v>
      </c>
      <c r="D28" s="105">
        <v>5559.4197845598337</v>
      </c>
      <c r="E28" s="405">
        <v>1.3533744361890785</v>
      </c>
      <c r="F28" s="406">
        <v>9.9481624658986263</v>
      </c>
      <c r="G28" s="105">
        <v>6911.5486629603274</v>
      </c>
      <c r="H28" s="405">
        <v>1.550343112090401</v>
      </c>
      <c r="I28" s="406">
        <v>24.321402786595804</v>
      </c>
      <c r="J28" s="405"/>
      <c r="K28" s="122">
        <v>7811.6901075206752</v>
      </c>
      <c r="L28" s="405">
        <v>1.5956529655126137</v>
      </c>
      <c r="M28" s="414">
        <v>13.023730113980015</v>
      </c>
      <c r="N28" s="105">
        <v>7917.9959632560649</v>
      </c>
      <c r="O28" s="405">
        <v>1.4975128116048233</v>
      </c>
      <c r="P28" s="414">
        <v>1.3608560282370119</v>
      </c>
      <c r="Q28" s="105">
        <v>10275.335778491819</v>
      </c>
      <c r="R28" s="405">
        <v>1.875721424072974</v>
      </c>
      <c r="S28" s="415">
        <v>29.771924943825812</v>
      </c>
      <c r="T28" s="631"/>
      <c r="U28" s="633"/>
      <c r="V28" s="416" t="s">
        <v>248</v>
      </c>
      <c r="W28" s="105">
        <v>10800.119968895053</v>
      </c>
      <c r="X28" s="405">
        <v>1.8840909977792228</v>
      </c>
      <c r="Y28" s="414">
        <v>5.1072218146068327</v>
      </c>
      <c r="Z28" s="105">
        <v>10507.355034663397</v>
      </c>
      <c r="AA28" s="405">
        <v>1.7027166895376502</v>
      </c>
      <c r="AB28" s="414">
        <v>-2.7107563163634829</v>
      </c>
      <c r="AC28" s="405"/>
      <c r="AD28" s="122">
        <v>8569.6717985085124</v>
      </c>
      <c r="AE28" s="405">
        <v>1.3087528420066581</v>
      </c>
      <c r="AF28" s="414">
        <v>-18.441208370351379</v>
      </c>
      <c r="AG28" s="105">
        <v>7802.5590626791691</v>
      </c>
      <c r="AH28" s="405">
        <v>1.099041551856242</v>
      </c>
      <c r="AI28" s="406">
        <v>-8.9514832524024257</v>
      </c>
      <c r="AJ28" s="105">
        <v>8491.8415907369199</v>
      </c>
      <c r="AK28" s="405">
        <v>1.138896357028824</v>
      </c>
      <c r="AL28" s="415">
        <v>8.8340571666377201</v>
      </c>
      <c r="AM28" s="631"/>
      <c r="AN28" s="633"/>
      <c r="AO28" s="416" t="s">
        <v>248</v>
      </c>
      <c r="AP28" s="105">
        <v>7481.7368513941237</v>
      </c>
      <c r="AQ28" s="405">
        <v>0.95863078547765301</v>
      </c>
      <c r="AR28" s="414">
        <v>-11.895002144701328</v>
      </c>
      <c r="AS28" s="105">
        <v>5847.8942104494399</v>
      </c>
      <c r="AT28" s="405">
        <v>0.67037659755837464</v>
      </c>
      <c r="AU28" s="414">
        <v>-21.837745344388026</v>
      </c>
      <c r="AV28" s="405"/>
      <c r="AW28" s="122">
        <v>5050.245152491666</v>
      </c>
      <c r="AX28" s="405">
        <v>0.56148942761302978</v>
      </c>
      <c r="AY28" s="414">
        <v>-13.639936518216711</v>
      </c>
      <c r="AZ28" s="105">
        <v>6315.4943761452087</v>
      </c>
      <c r="BA28" s="405">
        <v>0.67153019859072638</v>
      </c>
      <c r="BB28" s="414">
        <v>25.053223862396056</v>
      </c>
      <c r="BC28" s="105">
        <v>5156.3665132742844</v>
      </c>
      <c r="BD28" s="405">
        <v>0.53813280986034584</v>
      </c>
      <c r="BE28" s="415">
        <v>-18.353715383694503</v>
      </c>
      <c r="BF28" s="631"/>
      <c r="BG28" s="633"/>
      <c r="BH28" s="416" t="s">
        <v>248</v>
      </c>
      <c r="BI28" s="105">
        <v>6921.2062041795243</v>
      </c>
      <c r="BJ28" s="405">
        <v>0.69851407566190038</v>
      </c>
      <c r="BK28" s="415">
        <v>34.226420607649352</v>
      </c>
      <c r="BL28" s="105">
        <v>7768.6366829543667</v>
      </c>
      <c r="BM28" s="405">
        <v>0.77033305299483734</v>
      </c>
      <c r="BN28" s="414">
        <v>12.243970975219653</v>
      </c>
      <c r="BO28" s="405"/>
      <c r="BP28" s="122">
        <v>7427.3845939146768</v>
      </c>
      <c r="BQ28" s="405">
        <v>0.70346388296744955</v>
      </c>
      <c r="BR28" s="405">
        <v>-4.3926895151172651</v>
      </c>
      <c r="BS28" s="105">
        <v>7905.3181913349454</v>
      </c>
      <c r="BT28" s="405">
        <v>0.71653781712825504</v>
      </c>
      <c r="BU28" s="415">
        <v>6.4347495592438353</v>
      </c>
      <c r="BV28" s="105">
        <v>8705.7754726972289</v>
      </c>
      <c r="BW28" s="405">
        <v>0.75973272239938405</v>
      </c>
      <c r="BX28" s="415">
        <v>10.125554240684064</v>
      </c>
    </row>
    <row r="29" spans="1:76" s="2" customFormat="1" ht="30.2" customHeight="1" x14ac:dyDescent="0.25">
      <c r="A29" s="631"/>
      <c r="B29" s="633"/>
      <c r="C29" s="487" t="s">
        <v>222</v>
      </c>
      <c r="D29" s="105"/>
      <c r="E29" s="405"/>
      <c r="F29" s="406"/>
      <c r="G29" s="105"/>
      <c r="H29" s="405"/>
      <c r="I29" s="406"/>
      <c r="J29" s="405"/>
      <c r="K29" s="122"/>
      <c r="L29" s="405"/>
      <c r="M29" s="406"/>
      <c r="N29" s="105"/>
      <c r="O29" s="405"/>
      <c r="P29" s="406"/>
      <c r="Q29" s="105"/>
      <c r="R29" s="405"/>
      <c r="S29" s="405"/>
      <c r="T29" s="631"/>
      <c r="U29" s="633"/>
      <c r="V29" s="487" t="s">
        <v>222</v>
      </c>
      <c r="W29" s="105"/>
      <c r="X29" s="405"/>
      <c r="Y29" s="406"/>
      <c r="Z29" s="105"/>
      <c r="AA29" s="405"/>
      <c r="AB29" s="406"/>
      <c r="AC29" s="405"/>
      <c r="AD29" s="122"/>
      <c r="AE29" s="405"/>
      <c r="AF29" s="406"/>
      <c r="AG29" s="105"/>
      <c r="AH29" s="405"/>
      <c r="AI29" s="406"/>
      <c r="AJ29" s="105"/>
      <c r="AK29" s="405"/>
      <c r="AL29" s="405"/>
      <c r="AM29" s="631"/>
      <c r="AN29" s="633"/>
      <c r="AO29" s="487" t="s">
        <v>312</v>
      </c>
      <c r="AP29" s="105"/>
      <c r="AQ29" s="405"/>
      <c r="AR29" s="406"/>
      <c r="AS29" s="105"/>
      <c r="AT29" s="405"/>
      <c r="AU29" s="406"/>
      <c r="AV29" s="405"/>
      <c r="AW29" s="122"/>
      <c r="AX29" s="405"/>
      <c r="AY29" s="406"/>
      <c r="AZ29" s="105"/>
      <c r="BA29" s="405"/>
      <c r="BB29" s="406"/>
      <c r="BC29" s="105"/>
      <c r="BD29" s="405"/>
      <c r="BE29" s="405"/>
      <c r="BF29" s="631"/>
      <c r="BG29" s="633"/>
      <c r="BH29" s="487" t="s">
        <v>222</v>
      </c>
      <c r="BI29" s="105"/>
      <c r="BJ29" s="405"/>
      <c r="BK29" s="406"/>
      <c r="BL29" s="105"/>
      <c r="BM29" s="405"/>
      <c r="BN29" s="406"/>
      <c r="BO29" s="405"/>
      <c r="BP29" s="122"/>
      <c r="BQ29" s="405"/>
      <c r="BR29" s="406"/>
      <c r="BS29" s="105"/>
      <c r="BT29" s="405"/>
      <c r="BU29" s="406"/>
      <c r="BV29" s="105"/>
      <c r="BW29" s="405"/>
      <c r="BX29" s="405"/>
    </row>
    <row r="30" spans="1:76" s="6" customFormat="1" ht="4.1500000000000004" customHeight="1" x14ac:dyDescent="0.25">
      <c r="A30" s="488"/>
      <c r="B30" s="489"/>
      <c r="C30" s="490"/>
      <c r="D30" s="112"/>
      <c r="E30" s="429"/>
      <c r="F30" s="430"/>
      <c r="G30" s="112"/>
      <c r="H30" s="429"/>
      <c r="I30" s="430"/>
      <c r="J30" s="405"/>
      <c r="K30" s="123"/>
      <c r="L30" s="429"/>
      <c r="M30" s="430"/>
      <c r="N30" s="112"/>
      <c r="O30" s="429"/>
      <c r="P30" s="430"/>
      <c r="Q30" s="112"/>
      <c r="R30" s="429"/>
      <c r="S30" s="429"/>
      <c r="T30" s="488"/>
      <c r="U30" s="489"/>
      <c r="V30" s="490"/>
      <c r="W30" s="112"/>
      <c r="X30" s="429"/>
      <c r="Y30" s="430"/>
      <c r="Z30" s="112"/>
      <c r="AA30" s="429"/>
      <c r="AB30" s="430"/>
      <c r="AC30" s="405"/>
      <c r="AD30" s="123"/>
      <c r="AE30" s="429"/>
      <c r="AF30" s="430"/>
      <c r="AG30" s="112"/>
      <c r="AH30" s="429"/>
      <c r="AI30" s="430"/>
      <c r="AJ30" s="112"/>
      <c r="AK30" s="429"/>
      <c r="AL30" s="429"/>
      <c r="AM30" s="488"/>
      <c r="AN30" s="489"/>
      <c r="AO30" s="490"/>
      <c r="AP30" s="112"/>
      <c r="AQ30" s="429"/>
      <c r="AR30" s="430"/>
      <c r="AS30" s="112"/>
      <c r="AT30" s="429"/>
      <c r="AU30" s="430"/>
      <c r="AV30" s="405"/>
      <c r="AW30" s="123"/>
      <c r="AX30" s="429"/>
      <c r="AY30" s="430"/>
      <c r="AZ30" s="112"/>
      <c r="BA30" s="429"/>
      <c r="BB30" s="430"/>
      <c r="BC30" s="112"/>
      <c r="BD30" s="429"/>
      <c r="BE30" s="429"/>
      <c r="BF30" s="488"/>
      <c r="BG30" s="489"/>
      <c r="BH30" s="490"/>
      <c r="BI30" s="112"/>
      <c r="BJ30" s="429"/>
      <c r="BK30" s="430"/>
      <c r="BL30" s="112"/>
      <c r="BM30" s="429"/>
      <c r="BN30" s="430"/>
      <c r="BO30" s="405"/>
      <c r="BP30" s="123"/>
      <c r="BQ30" s="429"/>
      <c r="BR30" s="430"/>
      <c r="BS30" s="112"/>
      <c r="BT30" s="429"/>
      <c r="BU30" s="430"/>
      <c r="BV30" s="112"/>
      <c r="BW30" s="429"/>
      <c r="BX30" s="429"/>
    </row>
    <row r="31" spans="1:76" ht="4.1500000000000004" customHeight="1" x14ac:dyDescent="0.25">
      <c r="A31" s="491"/>
      <c r="B31" s="492"/>
      <c r="C31" s="437"/>
      <c r="D31" s="105"/>
      <c r="E31" s="405"/>
      <c r="F31" s="406"/>
      <c r="G31" s="105"/>
      <c r="H31" s="405"/>
      <c r="I31" s="406"/>
      <c r="J31" s="405"/>
      <c r="K31" s="122"/>
      <c r="L31" s="405"/>
      <c r="M31" s="406"/>
      <c r="N31" s="105"/>
      <c r="O31" s="405"/>
      <c r="P31" s="406"/>
      <c r="Q31" s="105"/>
      <c r="R31" s="405"/>
      <c r="S31" s="405"/>
      <c r="T31" s="402"/>
      <c r="U31" s="403"/>
      <c r="V31" s="437"/>
      <c r="W31" s="105"/>
      <c r="X31" s="405"/>
      <c r="Y31" s="406"/>
      <c r="Z31" s="105"/>
      <c r="AA31" s="405"/>
      <c r="AB31" s="406"/>
      <c r="AC31" s="405"/>
      <c r="AD31" s="122"/>
      <c r="AE31" s="405"/>
      <c r="AF31" s="406"/>
      <c r="AG31" s="105"/>
      <c r="AH31" s="405"/>
      <c r="AI31" s="406"/>
      <c r="AJ31" s="105"/>
      <c r="AK31" s="405"/>
      <c r="AL31" s="405"/>
      <c r="AM31" s="402"/>
      <c r="AN31" s="403"/>
      <c r="AO31" s="437"/>
      <c r="AP31" s="105"/>
      <c r="AQ31" s="405"/>
      <c r="AR31" s="406"/>
      <c r="AS31" s="105"/>
      <c r="AT31" s="405"/>
      <c r="AU31" s="406"/>
      <c r="AV31" s="405"/>
      <c r="AW31" s="122"/>
      <c r="AX31" s="405"/>
      <c r="AY31" s="406"/>
      <c r="AZ31" s="105"/>
      <c r="BA31" s="405"/>
      <c r="BB31" s="406"/>
      <c r="BC31" s="105"/>
      <c r="BD31" s="405"/>
      <c r="BE31" s="405"/>
      <c r="BF31" s="402"/>
      <c r="BG31" s="403"/>
      <c r="BH31" s="437"/>
      <c r="BI31" s="105"/>
      <c r="BJ31" s="405"/>
      <c r="BK31" s="406"/>
      <c r="BL31" s="105"/>
      <c r="BM31" s="405"/>
      <c r="BN31" s="406"/>
      <c r="BO31" s="405"/>
      <c r="BP31" s="122"/>
      <c r="BQ31" s="405"/>
      <c r="BR31" s="406"/>
      <c r="BS31" s="105"/>
      <c r="BT31" s="405"/>
      <c r="BU31" s="406"/>
      <c r="BV31" s="105"/>
      <c r="BW31" s="405"/>
      <c r="BX31" s="405"/>
    </row>
    <row r="32" spans="1:76" ht="21.2" customHeight="1" x14ac:dyDescent="0.25">
      <c r="A32" s="630" t="s">
        <v>295</v>
      </c>
      <c r="B32" s="633" t="s">
        <v>231</v>
      </c>
      <c r="C32" s="407" t="s">
        <v>246</v>
      </c>
      <c r="D32" s="124">
        <v>410782.08938478981</v>
      </c>
      <c r="E32" s="411">
        <v>100</v>
      </c>
      <c r="F32" s="254" t="s">
        <v>55</v>
      </c>
      <c r="G32" s="124">
        <v>445807.68018772028</v>
      </c>
      <c r="H32" s="411">
        <v>100</v>
      </c>
      <c r="I32" s="410">
        <v>8.5265623083486322</v>
      </c>
      <c r="J32" s="411"/>
      <c r="K32" s="153">
        <v>489560.7175468207</v>
      </c>
      <c r="L32" s="411">
        <v>100</v>
      </c>
      <c r="M32" s="410">
        <v>9.8143301032133241</v>
      </c>
      <c r="N32" s="124">
        <v>528743.12005188607</v>
      </c>
      <c r="O32" s="411">
        <v>100</v>
      </c>
      <c r="P32" s="410">
        <v>8.0035838458215416</v>
      </c>
      <c r="Q32" s="124">
        <v>547807.13418412511</v>
      </c>
      <c r="R32" s="411">
        <v>100</v>
      </c>
      <c r="S32" s="411">
        <v>3.6055342205432899</v>
      </c>
      <c r="T32" s="630" t="s">
        <v>294</v>
      </c>
      <c r="U32" s="633" t="s">
        <v>231</v>
      </c>
      <c r="V32" s="407" t="s">
        <v>246</v>
      </c>
      <c r="W32" s="124">
        <v>573227.08837445464</v>
      </c>
      <c r="X32" s="411">
        <v>100</v>
      </c>
      <c r="Y32" s="410">
        <v>4.6403109058060483</v>
      </c>
      <c r="Z32" s="124">
        <v>617093.55991081113</v>
      </c>
      <c r="AA32" s="411">
        <v>100</v>
      </c>
      <c r="AB32" s="410">
        <v>7.6525468572589812</v>
      </c>
      <c r="AC32" s="411"/>
      <c r="AD32" s="153">
        <v>654796.80528288113</v>
      </c>
      <c r="AE32" s="411">
        <v>100</v>
      </c>
      <c r="AF32" s="410">
        <v>6.1098102170308293</v>
      </c>
      <c r="AG32" s="124">
        <v>709942.1354452821</v>
      </c>
      <c r="AH32" s="411">
        <v>100</v>
      </c>
      <c r="AI32" s="410">
        <v>8.4217469782213481</v>
      </c>
      <c r="AJ32" s="124">
        <v>745620.03694373695</v>
      </c>
      <c r="AK32" s="411">
        <v>100</v>
      </c>
      <c r="AL32" s="411">
        <v>5.0254661214152829</v>
      </c>
      <c r="AM32" s="630" t="s">
        <v>294</v>
      </c>
      <c r="AN32" s="633" t="s">
        <v>231</v>
      </c>
      <c r="AO32" s="407" t="s">
        <v>246</v>
      </c>
      <c r="AP32" s="124">
        <v>780460.7326131541</v>
      </c>
      <c r="AQ32" s="411">
        <v>100</v>
      </c>
      <c r="AR32" s="410">
        <v>4.6727145118346876</v>
      </c>
      <c r="AS32" s="124">
        <v>872329.70717481233</v>
      </c>
      <c r="AT32" s="411">
        <v>100</v>
      </c>
      <c r="AU32" s="410">
        <v>11.771120662798843</v>
      </c>
      <c r="AV32" s="411"/>
      <c r="AW32" s="153">
        <v>899437.26526801521</v>
      </c>
      <c r="AX32" s="411">
        <v>100</v>
      </c>
      <c r="AY32" s="410">
        <v>3.107489962825559</v>
      </c>
      <c r="AZ32" s="124">
        <v>940463.19724696071</v>
      </c>
      <c r="BA32" s="411">
        <v>100</v>
      </c>
      <c r="BB32" s="410">
        <v>4.5612888817454715</v>
      </c>
      <c r="BC32" s="124">
        <v>958195.89863187214</v>
      </c>
      <c r="BD32" s="411">
        <v>100</v>
      </c>
      <c r="BE32" s="411">
        <v>1.8855284754173018</v>
      </c>
      <c r="BF32" s="630" t="s">
        <v>294</v>
      </c>
      <c r="BG32" s="633" t="s">
        <v>231</v>
      </c>
      <c r="BH32" s="407" t="s">
        <v>246</v>
      </c>
      <c r="BI32" s="124">
        <v>990847.06312053977</v>
      </c>
      <c r="BJ32" s="411">
        <v>100</v>
      </c>
      <c r="BK32" s="410">
        <v>3.4075667131624638</v>
      </c>
      <c r="BL32" s="124">
        <v>1008477.6516796341</v>
      </c>
      <c r="BM32" s="411">
        <v>100</v>
      </c>
      <c r="BN32" s="410">
        <v>1.7793450891976388</v>
      </c>
      <c r="BO32" s="411"/>
      <c r="BP32" s="153">
        <v>1055830.2670186062</v>
      </c>
      <c r="BQ32" s="411">
        <v>100</v>
      </c>
      <c r="BR32" s="411">
        <v>4.6954551010729499</v>
      </c>
      <c r="BS32" s="124">
        <v>1103266.0108601011</v>
      </c>
      <c r="BT32" s="411">
        <v>100</v>
      </c>
      <c r="BU32" s="410">
        <v>4.4927433246861987</v>
      </c>
      <c r="BV32" s="124">
        <v>1145899.7639589766</v>
      </c>
      <c r="BW32" s="411">
        <v>100</v>
      </c>
      <c r="BX32" s="411">
        <v>3.8643221742722265</v>
      </c>
    </row>
    <row r="33" spans="1:76" ht="21.2" customHeight="1" x14ac:dyDescent="0.25">
      <c r="A33" s="631"/>
      <c r="B33" s="633"/>
      <c r="C33" s="483" t="s">
        <v>14</v>
      </c>
      <c r="D33" s="105"/>
      <c r="E33" s="405"/>
      <c r="F33" s="434"/>
      <c r="G33" s="105"/>
      <c r="H33" s="405"/>
      <c r="I33" s="406"/>
      <c r="J33" s="405"/>
      <c r="K33" s="122"/>
      <c r="L33" s="405"/>
      <c r="M33" s="406"/>
      <c r="N33" s="105"/>
      <c r="O33" s="405"/>
      <c r="P33" s="406"/>
      <c r="Q33" s="105"/>
      <c r="R33" s="405"/>
      <c r="S33" s="405"/>
      <c r="T33" s="631"/>
      <c r="U33" s="633"/>
      <c r="V33" s="483" t="s">
        <v>14</v>
      </c>
      <c r="W33" s="105"/>
      <c r="X33" s="405"/>
      <c r="Y33" s="406"/>
      <c r="Z33" s="105"/>
      <c r="AA33" s="405"/>
      <c r="AB33" s="406"/>
      <c r="AC33" s="405"/>
      <c r="AD33" s="122"/>
      <c r="AE33" s="405"/>
      <c r="AF33" s="406"/>
      <c r="AG33" s="105"/>
      <c r="AH33" s="405"/>
      <c r="AI33" s="406"/>
      <c r="AJ33" s="105"/>
      <c r="AK33" s="405"/>
      <c r="AL33" s="405"/>
      <c r="AM33" s="631"/>
      <c r="AN33" s="633"/>
      <c r="AO33" s="483" t="s">
        <v>14</v>
      </c>
      <c r="AP33" s="105"/>
      <c r="AQ33" s="405"/>
      <c r="AR33" s="406"/>
      <c r="AS33" s="105"/>
      <c r="AT33" s="405"/>
      <c r="AU33" s="406"/>
      <c r="AV33" s="405"/>
      <c r="AW33" s="122"/>
      <c r="AX33" s="405"/>
      <c r="AY33" s="406"/>
      <c r="AZ33" s="105"/>
      <c r="BA33" s="405"/>
      <c r="BB33" s="406"/>
      <c r="BC33" s="105"/>
      <c r="BD33" s="405"/>
      <c r="BE33" s="405"/>
      <c r="BF33" s="631"/>
      <c r="BG33" s="633"/>
      <c r="BH33" s="483" t="s">
        <v>14</v>
      </c>
      <c r="BI33" s="105"/>
      <c r="BJ33" s="405"/>
      <c r="BK33" s="406"/>
      <c r="BL33" s="105"/>
      <c r="BM33" s="405"/>
      <c r="BN33" s="406"/>
      <c r="BO33" s="405"/>
      <c r="BP33" s="122"/>
      <c r="BQ33" s="405"/>
      <c r="BR33" s="406"/>
      <c r="BS33" s="105"/>
      <c r="BT33" s="405"/>
      <c r="BU33" s="406"/>
      <c r="BV33" s="105"/>
      <c r="BW33" s="405"/>
      <c r="BX33" s="405"/>
    </row>
    <row r="34" spans="1:76" ht="21.2" customHeight="1" x14ac:dyDescent="0.25">
      <c r="A34" s="631"/>
      <c r="B34" s="633"/>
      <c r="C34" s="435" t="s">
        <v>437</v>
      </c>
      <c r="D34" s="105">
        <v>31686.307595289829</v>
      </c>
      <c r="E34" s="405">
        <v>7.7136536434591934</v>
      </c>
      <c r="F34" s="418" t="s">
        <v>55</v>
      </c>
      <c r="G34" s="105">
        <v>32001.619483720326</v>
      </c>
      <c r="H34" s="405">
        <v>7.1783463825129932</v>
      </c>
      <c r="I34" s="406">
        <v>0.99510454944067295</v>
      </c>
      <c r="J34" s="405"/>
      <c r="K34" s="122">
        <v>35557.605477320678</v>
      </c>
      <c r="L34" s="405">
        <v>7.2631655692268673</v>
      </c>
      <c r="M34" s="414">
        <v>11.111893869650347</v>
      </c>
      <c r="N34" s="105">
        <v>40885.738906932733</v>
      </c>
      <c r="O34" s="405">
        <v>7.7326280676560994</v>
      </c>
      <c r="P34" s="414">
        <v>14.984511353022455</v>
      </c>
      <c r="Q34" s="105">
        <v>44713.079315458483</v>
      </c>
      <c r="R34" s="405">
        <v>8.1621936855663222</v>
      </c>
      <c r="S34" s="415">
        <v>9.361064544382657</v>
      </c>
      <c r="T34" s="631"/>
      <c r="U34" s="633"/>
      <c r="V34" s="435" t="s">
        <v>437</v>
      </c>
      <c r="W34" s="105">
        <v>48756.71549889505</v>
      </c>
      <c r="X34" s="405">
        <v>8.5056544758131221</v>
      </c>
      <c r="Y34" s="414">
        <v>9.0435198052632781</v>
      </c>
      <c r="Z34" s="105">
        <v>47616.362634080142</v>
      </c>
      <c r="AA34" s="405">
        <v>7.7162306864719463</v>
      </c>
      <c r="AB34" s="414">
        <v>-2.3388631763777257</v>
      </c>
      <c r="AC34" s="405"/>
      <c r="AD34" s="122">
        <v>52239.03796531984</v>
      </c>
      <c r="AE34" s="405">
        <v>7.9779005553870794</v>
      </c>
      <c r="AF34" s="414">
        <v>9.7081655874553086</v>
      </c>
      <c r="AG34" s="105">
        <v>52801.625544599454</v>
      </c>
      <c r="AH34" s="405">
        <v>7.4374548161565048</v>
      </c>
      <c r="AI34" s="406">
        <v>1.0769485832666126</v>
      </c>
      <c r="AJ34" s="105">
        <v>52130.519136488394</v>
      </c>
      <c r="AK34" s="405">
        <v>6.9915645152085082</v>
      </c>
      <c r="AL34" s="415">
        <v>-1.2709957339177014</v>
      </c>
      <c r="AM34" s="631"/>
      <c r="AN34" s="633"/>
      <c r="AO34" s="435" t="s">
        <v>437</v>
      </c>
      <c r="AP34" s="105">
        <v>53381.034095703704</v>
      </c>
      <c r="AQ34" s="405">
        <v>6.8396822370514743</v>
      </c>
      <c r="AR34" s="414">
        <v>2.3988154730268496</v>
      </c>
      <c r="AS34" s="105">
        <v>53993.553375908654</v>
      </c>
      <c r="AT34" s="405">
        <v>6.1895809499341627</v>
      </c>
      <c r="AU34" s="414">
        <v>1.147447385726541</v>
      </c>
      <c r="AV34" s="405"/>
      <c r="AW34" s="122">
        <v>50051.819914435546</v>
      </c>
      <c r="AX34" s="405">
        <v>5.5647927706799054</v>
      </c>
      <c r="AY34" s="414">
        <v>-7.3003779433265965</v>
      </c>
      <c r="AZ34" s="105">
        <v>57981.382626267987</v>
      </c>
      <c r="BA34" s="405">
        <v>6.1651942145102776</v>
      </c>
      <c r="BB34" s="414">
        <v>15.842706070205171</v>
      </c>
      <c r="BC34" s="105">
        <v>60782.978998599836</v>
      </c>
      <c r="BD34" s="405">
        <v>6.3434814410484099</v>
      </c>
      <c r="BE34" s="415">
        <v>4.831889557360447</v>
      </c>
      <c r="BF34" s="631"/>
      <c r="BG34" s="633"/>
      <c r="BH34" s="435" t="s">
        <v>437</v>
      </c>
      <c r="BI34" s="105">
        <v>59597.375273477606</v>
      </c>
      <c r="BJ34" s="405">
        <v>6.0147905253696443</v>
      </c>
      <c r="BK34" s="415">
        <v>-1.9505521852582142</v>
      </c>
      <c r="BL34" s="105">
        <v>59824.405410971762</v>
      </c>
      <c r="BM34" s="405">
        <v>5.9321498410334979</v>
      </c>
      <c r="BN34" s="414">
        <v>0.38093982570939211</v>
      </c>
      <c r="BO34" s="405"/>
      <c r="BP34" s="122">
        <v>60929.965585577142</v>
      </c>
      <c r="BQ34" s="405">
        <v>5.7708106585756198</v>
      </c>
      <c r="BR34" s="405">
        <v>1.8480086296062348</v>
      </c>
      <c r="BS34" s="105">
        <v>70094.327961449046</v>
      </c>
      <c r="BT34" s="405">
        <v>6.3533479026335478</v>
      </c>
      <c r="BU34" s="415">
        <v>15.04081331377154</v>
      </c>
      <c r="BV34" s="105">
        <v>75179.79009455425</v>
      </c>
      <c r="BW34" s="405">
        <v>6.5607649516205662</v>
      </c>
      <c r="BX34" s="415">
        <v>7.2551692569221116</v>
      </c>
    </row>
    <row r="35" spans="1:76" ht="21.2" customHeight="1" x14ac:dyDescent="0.25">
      <c r="A35" s="631"/>
      <c r="B35" s="633"/>
      <c r="C35" s="437" t="s">
        <v>440</v>
      </c>
      <c r="D35" s="105"/>
      <c r="E35" s="405"/>
      <c r="F35" s="434"/>
      <c r="G35" s="105"/>
      <c r="H35" s="405"/>
      <c r="I35" s="406"/>
      <c r="J35" s="405"/>
      <c r="K35" s="122"/>
      <c r="L35" s="405"/>
      <c r="M35" s="406"/>
      <c r="N35" s="105"/>
      <c r="O35" s="405"/>
      <c r="P35" s="406"/>
      <c r="Q35" s="105"/>
      <c r="R35" s="405"/>
      <c r="S35" s="405"/>
      <c r="T35" s="631"/>
      <c r="U35" s="633"/>
      <c r="V35" s="437" t="s">
        <v>440</v>
      </c>
      <c r="W35" s="105"/>
      <c r="X35" s="405"/>
      <c r="Y35" s="406"/>
      <c r="Z35" s="105"/>
      <c r="AA35" s="405"/>
      <c r="AB35" s="406"/>
      <c r="AC35" s="405"/>
      <c r="AD35" s="122"/>
      <c r="AE35" s="405"/>
      <c r="AF35" s="406"/>
      <c r="AG35" s="105"/>
      <c r="AH35" s="405"/>
      <c r="AI35" s="406"/>
      <c r="AJ35" s="105"/>
      <c r="AK35" s="405"/>
      <c r="AL35" s="405"/>
      <c r="AM35" s="631"/>
      <c r="AN35" s="633"/>
      <c r="AO35" s="437" t="s">
        <v>440</v>
      </c>
      <c r="AP35" s="105"/>
      <c r="AQ35" s="405"/>
      <c r="AR35" s="406"/>
      <c r="AS35" s="105"/>
      <c r="AT35" s="405"/>
      <c r="AU35" s="406"/>
      <c r="AV35" s="405"/>
      <c r="AW35" s="122"/>
      <c r="AX35" s="405"/>
      <c r="AY35" s="406"/>
      <c r="AZ35" s="105"/>
      <c r="BA35" s="405"/>
      <c r="BB35" s="406"/>
      <c r="BC35" s="105"/>
      <c r="BD35" s="405"/>
      <c r="BE35" s="405"/>
      <c r="BF35" s="631"/>
      <c r="BG35" s="633"/>
      <c r="BH35" s="437" t="s">
        <v>440</v>
      </c>
      <c r="BI35" s="105"/>
      <c r="BJ35" s="405"/>
      <c r="BK35" s="406"/>
      <c r="BL35" s="105"/>
      <c r="BM35" s="405"/>
      <c r="BN35" s="406"/>
      <c r="BO35" s="405"/>
      <c r="BP35" s="122"/>
      <c r="BQ35" s="405"/>
      <c r="BR35" s="406"/>
      <c r="BS35" s="105"/>
      <c r="BT35" s="405"/>
      <c r="BU35" s="406"/>
      <c r="BV35" s="105"/>
      <c r="BW35" s="405"/>
      <c r="BX35" s="405"/>
    </row>
    <row r="36" spans="1:76" ht="21.2" customHeight="1" x14ac:dyDescent="0.25">
      <c r="A36" s="631"/>
      <c r="B36" s="633"/>
      <c r="C36" s="404" t="s">
        <v>263</v>
      </c>
      <c r="D36" s="105">
        <v>345534.0283605</v>
      </c>
      <c r="E36" s="405">
        <v>84.116137823464939</v>
      </c>
      <c r="F36" s="418" t="s">
        <v>55</v>
      </c>
      <c r="G36" s="105">
        <v>381827.51393149997</v>
      </c>
      <c r="H36" s="405">
        <v>85.648482720333632</v>
      </c>
      <c r="I36" s="406">
        <v>10.503592292546804</v>
      </c>
      <c r="J36" s="405"/>
      <c r="K36" s="122">
        <v>418336.71277600003</v>
      </c>
      <c r="L36" s="405">
        <v>85.451446119344951</v>
      </c>
      <c r="M36" s="414">
        <v>9.5616993308266007</v>
      </c>
      <c r="N36" s="105">
        <v>450131.66369495337</v>
      </c>
      <c r="O36" s="405">
        <v>85.13239163296943</v>
      </c>
      <c r="P36" s="414">
        <v>7.6003252757732565</v>
      </c>
      <c r="Q36" s="105">
        <v>468695.55886866665</v>
      </c>
      <c r="R36" s="405">
        <v>85.558498533743446</v>
      </c>
      <c r="S36" s="415">
        <v>4.1241033837365659</v>
      </c>
      <c r="T36" s="631"/>
      <c r="U36" s="633"/>
      <c r="V36" s="404" t="s">
        <v>263</v>
      </c>
      <c r="W36" s="105">
        <v>498911.78087555966</v>
      </c>
      <c r="X36" s="405">
        <v>87.035625320911322</v>
      </c>
      <c r="Y36" s="414">
        <v>6.4468761086255322</v>
      </c>
      <c r="Z36" s="105">
        <v>536857.70027673105</v>
      </c>
      <c r="AA36" s="405">
        <v>86.997780426411111</v>
      </c>
      <c r="AB36" s="414">
        <v>7.6057372978001414</v>
      </c>
      <c r="AC36" s="405"/>
      <c r="AD36" s="122">
        <v>565079.63142701588</v>
      </c>
      <c r="AE36" s="405">
        <v>86.29847104750209</v>
      </c>
      <c r="AF36" s="414">
        <v>5.2568736810028938</v>
      </c>
      <c r="AG36" s="105">
        <v>614019.91244422807</v>
      </c>
      <c r="AH36" s="405">
        <v>86.488726586020917</v>
      </c>
      <c r="AI36" s="406">
        <v>8.6607759854343982</v>
      </c>
      <c r="AJ36" s="105">
        <v>646593.51780724851</v>
      </c>
      <c r="AK36" s="405">
        <v>86.718881180309722</v>
      </c>
      <c r="AL36" s="415">
        <v>5.3049754092427959</v>
      </c>
      <c r="AM36" s="631"/>
      <c r="AN36" s="633"/>
      <c r="AO36" s="404" t="s">
        <v>263</v>
      </c>
      <c r="AP36" s="105">
        <v>670697.45127545041</v>
      </c>
      <c r="AQ36" s="405">
        <v>85.936091753112024</v>
      </c>
      <c r="AR36" s="414">
        <v>3.7278340726248027</v>
      </c>
      <c r="AS36" s="105">
        <v>755610.6868858689</v>
      </c>
      <c r="AT36" s="405">
        <v>86.619850346842156</v>
      </c>
      <c r="AU36" s="414">
        <v>12.660438093053861</v>
      </c>
      <c r="AV36" s="405"/>
      <c r="AW36" s="122">
        <v>783812.6399417643</v>
      </c>
      <c r="AX36" s="405">
        <v>87.144781543847117</v>
      </c>
      <c r="AY36" s="414">
        <v>3.7323390927840538</v>
      </c>
      <c r="AZ36" s="105">
        <v>813208.82754488336</v>
      </c>
      <c r="BA36" s="405">
        <v>86.468968687494439</v>
      </c>
      <c r="BB36" s="414">
        <v>3.7504099966164217</v>
      </c>
      <c r="BC36" s="105">
        <v>831194.79348120501</v>
      </c>
      <c r="BD36" s="405">
        <v>86.745809981862649</v>
      </c>
      <c r="BE36" s="415">
        <v>2.2117278277244079</v>
      </c>
      <c r="BF36" s="631"/>
      <c r="BG36" s="633"/>
      <c r="BH36" s="404" t="s">
        <v>263</v>
      </c>
      <c r="BI36" s="105">
        <v>859767.38237612299</v>
      </c>
      <c r="BJ36" s="405">
        <v>86.770947240677188</v>
      </c>
      <c r="BK36" s="415">
        <v>3.4375322269826203</v>
      </c>
      <c r="BL36" s="105">
        <v>890917.48033764772</v>
      </c>
      <c r="BM36" s="405">
        <v>88.34280847511215</v>
      </c>
      <c r="BN36" s="414">
        <v>3.6230844063234624</v>
      </c>
      <c r="BO36" s="405"/>
      <c r="BP36" s="122">
        <v>927966.31306577427</v>
      </c>
      <c r="BQ36" s="405">
        <v>87.889724518516914</v>
      </c>
      <c r="BR36" s="405">
        <v>4.1585032896745311</v>
      </c>
      <c r="BS36" s="105">
        <v>962305.87046682579</v>
      </c>
      <c r="BT36" s="405">
        <v>87.22337686417228</v>
      </c>
      <c r="BU36" s="415">
        <v>3.700517671552328</v>
      </c>
      <c r="BV36" s="105">
        <v>997520.10253804794</v>
      </c>
      <c r="BW36" s="405">
        <v>87.051252990165466</v>
      </c>
      <c r="BX36" s="415">
        <v>3.6593595811838187</v>
      </c>
    </row>
    <row r="37" spans="1:76" ht="21.2" customHeight="1" x14ac:dyDescent="0.25">
      <c r="A37" s="631"/>
      <c r="B37" s="633"/>
      <c r="C37" s="437" t="s">
        <v>232</v>
      </c>
      <c r="D37" s="105"/>
      <c r="E37" s="405"/>
      <c r="F37" s="283"/>
      <c r="G37" s="105"/>
      <c r="H37" s="405"/>
      <c r="I37" s="406"/>
      <c r="J37" s="405"/>
      <c r="K37" s="122"/>
      <c r="L37" s="405"/>
      <c r="M37" s="406"/>
      <c r="N37" s="105"/>
      <c r="O37" s="405"/>
      <c r="P37" s="406"/>
      <c r="Q37" s="105"/>
      <c r="R37" s="405"/>
      <c r="S37" s="405"/>
      <c r="T37" s="631"/>
      <c r="U37" s="633"/>
      <c r="V37" s="437" t="s">
        <v>232</v>
      </c>
      <c r="W37" s="105"/>
      <c r="X37" s="405"/>
      <c r="Y37" s="406"/>
      <c r="Z37" s="105"/>
      <c r="AA37" s="405"/>
      <c r="AB37" s="406"/>
      <c r="AC37" s="405"/>
      <c r="AD37" s="122"/>
      <c r="AE37" s="405"/>
      <c r="AF37" s="406"/>
      <c r="AG37" s="105"/>
      <c r="AH37" s="405"/>
      <c r="AI37" s="406"/>
      <c r="AJ37" s="105"/>
      <c r="AK37" s="405"/>
      <c r="AL37" s="405"/>
      <c r="AM37" s="631"/>
      <c r="AN37" s="633"/>
      <c r="AO37" s="437" t="s">
        <v>232</v>
      </c>
      <c r="AP37" s="105"/>
      <c r="AQ37" s="405"/>
      <c r="AR37" s="406"/>
      <c r="AS37" s="105"/>
      <c r="AT37" s="405"/>
      <c r="AU37" s="406"/>
      <c r="AV37" s="405"/>
      <c r="AW37" s="122"/>
      <c r="AX37" s="405"/>
      <c r="AY37" s="406"/>
      <c r="AZ37" s="105"/>
      <c r="BA37" s="405"/>
      <c r="BB37" s="406"/>
      <c r="BC37" s="105"/>
      <c r="BD37" s="405"/>
      <c r="BE37" s="405"/>
      <c r="BF37" s="631"/>
      <c r="BG37" s="633"/>
      <c r="BH37" s="437" t="s">
        <v>232</v>
      </c>
      <c r="BI37" s="105"/>
      <c r="BJ37" s="405"/>
      <c r="BK37" s="406"/>
      <c r="BL37" s="105"/>
      <c r="BM37" s="405"/>
      <c r="BN37" s="406"/>
      <c r="BO37" s="405"/>
      <c r="BP37" s="122"/>
      <c r="BQ37" s="405"/>
      <c r="BR37" s="406"/>
      <c r="BS37" s="105"/>
      <c r="BT37" s="405"/>
      <c r="BU37" s="406"/>
      <c r="BV37" s="105"/>
      <c r="BW37" s="405"/>
      <c r="BX37" s="405"/>
    </row>
    <row r="38" spans="1:76" ht="21.2" customHeight="1" x14ac:dyDescent="0.25">
      <c r="A38" s="631"/>
      <c r="B38" s="633"/>
      <c r="C38" s="404" t="s">
        <v>264</v>
      </c>
      <c r="D38" s="105">
        <v>33561.753429000004</v>
      </c>
      <c r="E38" s="405">
        <v>8.1702085621667084</v>
      </c>
      <c r="F38" s="418" t="s">
        <v>55</v>
      </c>
      <c r="G38" s="105">
        <v>31978.546772499998</v>
      </c>
      <c r="H38" s="405">
        <v>7.1731708971533399</v>
      </c>
      <c r="I38" s="406">
        <v>-4.7172942255513721</v>
      </c>
      <c r="J38" s="405"/>
      <c r="K38" s="122">
        <v>35666.399293499999</v>
      </c>
      <c r="L38" s="405">
        <v>7.2853883114281786</v>
      </c>
      <c r="M38" s="414">
        <v>11.53227051634309</v>
      </c>
      <c r="N38" s="105">
        <v>37725.717449999996</v>
      </c>
      <c r="O38" s="405">
        <v>7.1349802993744742</v>
      </c>
      <c r="P38" s="414">
        <v>5.7738325070433971</v>
      </c>
      <c r="Q38" s="105">
        <v>34398.495999999999</v>
      </c>
      <c r="R38" s="405">
        <v>6.2793077806902406</v>
      </c>
      <c r="S38" s="415">
        <v>-8.8195047699483826</v>
      </c>
      <c r="T38" s="631"/>
      <c r="U38" s="633"/>
      <c r="V38" s="404" t="s">
        <v>264</v>
      </c>
      <c r="W38" s="105">
        <v>25558.592000000001</v>
      </c>
      <c r="X38" s="405">
        <v>4.4587202032755489</v>
      </c>
      <c r="Y38" s="414">
        <v>-25.69851891198963</v>
      </c>
      <c r="Z38" s="105">
        <v>32619.496999999999</v>
      </c>
      <c r="AA38" s="405">
        <v>5.2859888871169742</v>
      </c>
      <c r="AB38" s="414">
        <v>27.626345770533824</v>
      </c>
      <c r="AC38" s="405"/>
      <c r="AD38" s="122">
        <v>37478.135890545454</v>
      </c>
      <c r="AE38" s="405">
        <v>5.7236283971108231</v>
      </c>
      <c r="AF38" s="414">
        <v>14.894892127078041</v>
      </c>
      <c r="AG38" s="105">
        <v>43120.597456454547</v>
      </c>
      <c r="AH38" s="405">
        <v>6.0738185978226147</v>
      </c>
      <c r="AI38" s="406">
        <v>15.055342086350954</v>
      </c>
      <c r="AJ38" s="105">
        <v>46896</v>
      </c>
      <c r="AK38" s="405">
        <v>6.2895289541769293</v>
      </c>
      <c r="AL38" s="415">
        <v>8.7554504488442042</v>
      </c>
      <c r="AM38" s="631"/>
      <c r="AN38" s="633"/>
      <c r="AO38" s="404" t="s">
        <v>264</v>
      </c>
      <c r="AP38" s="105">
        <v>56382.247241999998</v>
      </c>
      <c r="AQ38" s="405">
        <v>7.224226009836503</v>
      </c>
      <c r="AR38" s="414">
        <v>20.2282651867963</v>
      </c>
      <c r="AS38" s="105">
        <v>62725.466913034819</v>
      </c>
      <c r="AT38" s="405">
        <v>7.1905687032236782</v>
      </c>
      <c r="AU38" s="414">
        <v>11.250384618067621</v>
      </c>
      <c r="AV38" s="405"/>
      <c r="AW38" s="122">
        <v>65572.805411815381</v>
      </c>
      <c r="AX38" s="405">
        <v>7.2904256854730107</v>
      </c>
      <c r="AY38" s="414">
        <v>4.5393659687352095</v>
      </c>
      <c r="AZ38" s="105">
        <v>69272.987075809389</v>
      </c>
      <c r="BA38" s="405">
        <v>7.3658370979953061</v>
      </c>
      <c r="BB38" s="414">
        <v>5.6428600862138634</v>
      </c>
      <c r="BC38" s="105">
        <v>66218.126152067343</v>
      </c>
      <c r="BD38" s="405">
        <v>6.9107085770889514</v>
      </c>
      <c r="BE38" s="415">
        <v>-4.4098876816138111</v>
      </c>
      <c r="BF38" s="631"/>
      <c r="BG38" s="633"/>
      <c r="BH38" s="404" t="s">
        <v>264</v>
      </c>
      <c r="BI38" s="105">
        <v>71482.3054709391</v>
      </c>
      <c r="BJ38" s="405">
        <v>7.214262233953157</v>
      </c>
      <c r="BK38" s="415">
        <v>7.9497557916132777</v>
      </c>
      <c r="BL38" s="105">
        <v>57735.765931014619</v>
      </c>
      <c r="BM38" s="405">
        <v>5.725041683854359</v>
      </c>
      <c r="BN38" s="414">
        <v>-19.230688559021214</v>
      </c>
      <c r="BO38" s="405"/>
      <c r="BP38" s="122">
        <v>66933.988367254628</v>
      </c>
      <c r="BQ38" s="405">
        <v>6.3394648229074786</v>
      </c>
      <c r="BR38" s="405">
        <v>15.931584673580801</v>
      </c>
      <c r="BS38" s="105">
        <v>70865.812431826227</v>
      </c>
      <c r="BT38" s="405">
        <v>6.4232752331941745</v>
      </c>
      <c r="BU38" s="415">
        <v>5.8741816534200852</v>
      </c>
      <c r="BV38" s="105">
        <v>73199.871326374283</v>
      </c>
      <c r="BW38" s="405">
        <v>6.3879820581728257</v>
      </c>
      <c r="BX38" s="415">
        <v>3.2936317449171248</v>
      </c>
    </row>
    <row r="39" spans="1:76" ht="21.2" customHeight="1" x14ac:dyDescent="0.25">
      <c r="A39" s="631"/>
      <c r="B39" s="633"/>
      <c r="C39" s="437" t="s">
        <v>40</v>
      </c>
      <c r="D39" s="105"/>
      <c r="E39" s="405"/>
      <c r="F39" s="434"/>
      <c r="G39" s="105"/>
      <c r="H39" s="405"/>
      <c r="I39" s="406"/>
      <c r="J39" s="405"/>
      <c r="K39" s="122"/>
      <c r="L39" s="405"/>
      <c r="M39" s="406"/>
      <c r="N39" s="105"/>
      <c r="O39" s="405"/>
      <c r="P39" s="406"/>
      <c r="Q39" s="105"/>
      <c r="R39" s="405"/>
      <c r="S39" s="405"/>
      <c r="T39" s="631"/>
      <c r="U39" s="633"/>
      <c r="V39" s="437" t="s">
        <v>40</v>
      </c>
      <c r="W39" s="105"/>
      <c r="X39" s="405"/>
      <c r="Y39" s="406"/>
      <c r="Z39" s="105"/>
      <c r="AA39" s="405"/>
      <c r="AB39" s="406"/>
      <c r="AC39" s="405"/>
      <c r="AD39" s="122"/>
      <c r="AE39" s="405"/>
      <c r="AF39" s="406"/>
      <c r="AG39" s="105"/>
      <c r="AH39" s="405"/>
      <c r="AI39" s="406"/>
      <c r="AJ39" s="105"/>
      <c r="AK39" s="405"/>
      <c r="AL39" s="405"/>
      <c r="AM39" s="631"/>
      <c r="AN39" s="633"/>
      <c r="AO39" s="437" t="s">
        <v>40</v>
      </c>
      <c r="AP39" s="105"/>
      <c r="AQ39" s="405"/>
      <c r="AR39" s="406"/>
      <c r="AS39" s="105"/>
      <c r="AT39" s="405"/>
      <c r="AU39" s="406"/>
      <c r="AV39" s="405"/>
      <c r="AW39" s="122"/>
      <c r="AX39" s="405"/>
      <c r="AY39" s="406"/>
      <c r="AZ39" s="105"/>
      <c r="BA39" s="405"/>
      <c r="BB39" s="406"/>
      <c r="BC39" s="105"/>
      <c r="BD39" s="405"/>
      <c r="BE39" s="405"/>
      <c r="BF39" s="631"/>
      <c r="BG39" s="633"/>
      <c r="BH39" s="437" t="s">
        <v>40</v>
      </c>
      <c r="BI39" s="105"/>
      <c r="BJ39" s="405"/>
      <c r="BK39" s="406"/>
      <c r="BL39" s="105"/>
      <c r="BM39" s="405"/>
      <c r="BN39" s="406"/>
      <c r="BO39" s="405"/>
      <c r="BP39" s="122"/>
      <c r="BQ39" s="405"/>
      <c r="BR39" s="406"/>
      <c r="BS39" s="105"/>
      <c r="BT39" s="405"/>
      <c r="BU39" s="406"/>
      <c r="BV39" s="105"/>
      <c r="BW39" s="405"/>
      <c r="BX39" s="405"/>
    </row>
    <row r="40" spans="1:76" ht="4.9000000000000004" customHeight="1" x14ac:dyDescent="0.25">
      <c r="A40" s="438"/>
      <c r="B40" s="439"/>
      <c r="C40" s="439"/>
      <c r="D40" s="441"/>
      <c r="E40" s="442"/>
      <c r="F40" s="443"/>
      <c r="G40" s="441"/>
      <c r="H40" s="442"/>
      <c r="I40" s="493"/>
      <c r="J40" s="494"/>
      <c r="K40" s="442"/>
      <c r="L40" s="442"/>
      <c r="M40" s="493"/>
      <c r="N40" s="441"/>
      <c r="O40" s="442"/>
      <c r="P40" s="493"/>
      <c r="Q40" s="441"/>
      <c r="R40" s="442"/>
      <c r="S40" s="495"/>
      <c r="T40" s="438"/>
      <c r="U40" s="439"/>
      <c r="V40" s="439"/>
      <c r="W40" s="441"/>
      <c r="X40" s="108"/>
      <c r="Y40" s="493"/>
      <c r="Z40" s="441"/>
      <c r="AA40" s="108"/>
      <c r="AB40" s="493"/>
      <c r="AC40" s="494"/>
      <c r="AD40" s="442"/>
      <c r="AE40" s="108"/>
      <c r="AF40" s="493"/>
      <c r="AG40" s="441"/>
      <c r="AH40" s="108"/>
      <c r="AI40" s="493"/>
      <c r="AJ40" s="441"/>
      <c r="AK40" s="108"/>
      <c r="AL40" s="495"/>
      <c r="AM40" s="438"/>
      <c r="AN40" s="439"/>
      <c r="AO40" s="439"/>
      <c r="AP40" s="441"/>
      <c r="AQ40" s="108"/>
      <c r="AR40" s="493"/>
      <c r="AS40" s="441"/>
      <c r="AT40" s="108"/>
      <c r="AU40" s="493"/>
      <c r="AV40" s="494"/>
      <c r="AW40" s="442"/>
      <c r="AX40" s="108"/>
      <c r="AY40" s="493"/>
      <c r="AZ40" s="441"/>
      <c r="BA40" s="108"/>
      <c r="BB40" s="493"/>
      <c r="BC40" s="441"/>
      <c r="BD40" s="108"/>
      <c r="BE40" s="495"/>
      <c r="BF40" s="438"/>
      <c r="BG40" s="439"/>
      <c r="BH40" s="439"/>
      <c r="BI40" s="441"/>
      <c r="BJ40" s="108"/>
      <c r="BK40" s="493"/>
      <c r="BL40" s="441"/>
      <c r="BM40" s="108"/>
      <c r="BN40" s="493"/>
      <c r="BO40" s="494"/>
      <c r="BP40" s="442"/>
      <c r="BQ40" s="108"/>
      <c r="BR40" s="493"/>
      <c r="BS40" s="441"/>
      <c r="BT40" s="108"/>
      <c r="BU40" s="493"/>
      <c r="BV40" s="441"/>
      <c r="BW40" s="108"/>
      <c r="BX40" s="495"/>
    </row>
    <row r="41" spans="1:76" s="5" customFormat="1" ht="13.15" customHeight="1" x14ac:dyDescent="0.25">
      <c r="A41" s="496" t="s">
        <v>459</v>
      </c>
      <c r="B41" s="496"/>
      <c r="C41" s="496"/>
      <c r="D41" s="497"/>
      <c r="E41" s="496"/>
      <c r="F41" s="498"/>
      <c r="G41" s="496"/>
      <c r="H41" s="497"/>
      <c r="I41" s="498"/>
      <c r="J41" s="498"/>
      <c r="K41" s="496" t="s">
        <v>297</v>
      </c>
      <c r="L41" s="496"/>
      <c r="M41" s="498"/>
      <c r="N41" s="496"/>
      <c r="O41" s="496"/>
      <c r="P41" s="498"/>
      <c r="Q41" s="496"/>
      <c r="R41" s="496"/>
      <c r="S41" s="499"/>
      <c r="T41" s="496" t="s">
        <v>459</v>
      </c>
      <c r="U41" s="496"/>
      <c r="V41" s="496"/>
      <c r="W41" s="497"/>
      <c r="X41" s="496"/>
      <c r="Y41" s="498"/>
      <c r="Z41" s="496"/>
      <c r="AA41" s="497"/>
      <c r="AB41" s="498"/>
      <c r="AC41" s="498"/>
      <c r="AD41" s="496" t="s">
        <v>297</v>
      </c>
      <c r="AE41" s="496"/>
      <c r="AF41" s="498"/>
      <c r="AG41" s="496"/>
      <c r="AH41" s="496"/>
      <c r="AI41" s="498"/>
      <c r="AJ41" s="496"/>
      <c r="AK41" s="496"/>
      <c r="AL41" s="499"/>
      <c r="AM41" s="496" t="s">
        <v>459</v>
      </c>
      <c r="AN41" s="496"/>
      <c r="AO41" s="496"/>
      <c r="AP41" s="497"/>
      <c r="AQ41" s="496"/>
      <c r="AR41" s="498"/>
      <c r="AS41" s="496"/>
      <c r="AT41" s="497"/>
      <c r="AU41" s="498"/>
      <c r="AV41" s="498"/>
      <c r="AW41" s="496" t="s">
        <v>297</v>
      </c>
      <c r="AX41" s="496"/>
      <c r="AY41" s="498"/>
      <c r="AZ41" s="496"/>
      <c r="BA41" s="496"/>
      <c r="BB41" s="498"/>
      <c r="BC41" s="496"/>
      <c r="BD41" s="496"/>
      <c r="BE41" s="499"/>
      <c r="BF41" s="496" t="s">
        <v>459</v>
      </c>
      <c r="BG41" s="496"/>
      <c r="BH41" s="496"/>
      <c r="BI41" s="497"/>
      <c r="BJ41" s="496"/>
      <c r="BK41" s="498"/>
      <c r="BL41" s="496"/>
      <c r="BM41" s="497"/>
      <c r="BN41" s="498"/>
      <c r="BO41" s="498"/>
      <c r="BP41" s="496" t="s">
        <v>297</v>
      </c>
      <c r="BQ41" s="496"/>
      <c r="BR41" s="498"/>
      <c r="BS41" s="496"/>
      <c r="BT41" s="496"/>
      <c r="BU41" s="498"/>
      <c r="BV41" s="496"/>
      <c r="BW41" s="496"/>
      <c r="BX41" s="499"/>
    </row>
    <row r="42" spans="1:76" s="5" customFormat="1" ht="14.25" x14ac:dyDescent="0.25">
      <c r="A42" s="496" t="s">
        <v>460</v>
      </c>
      <c r="B42" s="496"/>
      <c r="C42" s="496"/>
      <c r="D42" s="497"/>
      <c r="E42" s="496"/>
      <c r="F42" s="499"/>
      <c r="G42" s="496"/>
      <c r="H42" s="497"/>
      <c r="I42" s="498"/>
      <c r="J42" s="498"/>
      <c r="K42" s="496" t="s">
        <v>505</v>
      </c>
      <c r="L42" s="496"/>
      <c r="M42" s="498"/>
      <c r="N42" s="496"/>
      <c r="O42" s="496"/>
      <c r="P42" s="498"/>
      <c r="Q42" s="496"/>
      <c r="R42" s="496"/>
      <c r="S42" s="499"/>
      <c r="T42" s="496" t="s">
        <v>460</v>
      </c>
      <c r="U42" s="496"/>
      <c r="V42" s="496"/>
      <c r="W42" s="497"/>
      <c r="X42" s="496"/>
      <c r="Y42" s="499"/>
      <c r="Z42" s="496"/>
      <c r="AA42" s="497"/>
      <c r="AB42" s="498"/>
      <c r="AC42" s="498"/>
      <c r="AD42" s="496" t="s">
        <v>505</v>
      </c>
      <c r="AE42" s="496"/>
      <c r="AF42" s="498"/>
      <c r="AG42" s="496"/>
      <c r="AH42" s="496"/>
      <c r="AI42" s="498"/>
      <c r="AJ42" s="496"/>
      <c r="AK42" s="496"/>
      <c r="AL42" s="499"/>
      <c r="AM42" s="496" t="s">
        <v>460</v>
      </c>
      <c r="AN42" s="496"/>
      <c r="AO42" s="496"/>
      <c r="AP42" s="497"/>
      <c r="AQ42" s="496"/>
      <c r="AR42" s="499"/>
      <c r="AS42" s="496"/>
      <c r="AT42" s="497"/>
      <c r="AU42" s="498"/>
      <c r="AV42" s="498"/>
      <c r="AW42" s="496" t="s">
        <v>505</v>
      </c>
      <c r="AX42" s="496"/>
      <c r="AY42" s="498"/>
      <c r="AZ42" s="496"/>
      <c r="BA42" s="496"/>
      <c r="BB42" s="498"/>
      <c r="BC42" s="496"/>
      <c r="BD42" s="496"/>
      <c r="BE42" s="499"/>
      <c r="BF42" s="496" t="s">
        <v>460</v>
      </c>
      <c r="BG42" s="496"/>
      <c r="BH42" s="496"/>
      <c r="BI42" s="497"/>
      <c r="BJ42" s="496"/>
      <c r="BK42" s="499"/>
      <c r="BL42" s="496"/>
      <c r="BM42" s="497"/>
      <c r="BN42" s="498"/>
      <c r="BO42" s="498"/>
      <c r="BP42" s="496" t="s">
        <v>505</v>
      </c>
      <c r="BQ42" s="496"/>
      <c r="BR42" s="498"/>
      <c r="BS42" s="496"/>
      <c r="BT42" s="496"/>
      <c r="BU42" s="498"/>
      <c r="BV42" s="496"/>
      <c r="BW42" s="496"/>
      <c r="BX42" s="499"/>
    </row>
    <row r="43" spans="1:76" s="5" customFormat="1" ht="14.25" x14ac:dyDescent="0.25">
      <c r="A43" s="496" t="s">
        <v>461</v>
      </c>
      <c r="B43" s="496"/>
      <c r="C43" s="496"/>
      <c r="D43" s="497"/>
      <c r="E43" s="496"/>
      <c r="F43" s="499"/>
      <c r="G43" s="496"/>
      <c r="H43" s="497"/>
      <c r="I43" s="498"/>
      <c r="J43" s="498"/>
      <c r="K43" s="496" t="s">
        <v>240</v>
      </c>
      <c r="L43" s="497"/>
      <c r="M43" s="498"/>
      <c r="N43" s="496"/>
      <c r="O43" s="497"/>
      <c r="P43" s="498"/>
      <c r="Q43" s="496"/>
      <c r="R43" s="496"/>
      <c r="S43" s="499"/>
      <c r="T43" s="496" t="s">
        <v>461</v>
      </c>
      <c r="U43" s="496"/>
      <c r="V43" s="496"/>
      <c r="W43" s="497"/>
      <c r="X43" s="496"/>
      <c r="Y43" s="499"/>
      <c r="Z43" s="496"/>
      <c r="AA43" s="497"/>
      <c r="AB43" s="498"/>
      <c r="AC43" s="498"/>
      <c r="AD43" s="496" t="s">
        <v>240</v>
      </c>
      <c r="AE43" s="497"/>
      <c r="AF43" s="498"/>
      <c r="AG43" s="496"/>
      <c r="AH43" s="497"/>
      <c r="AI43" s="498"/>
      <c r="AJ43" s="496"/>
      <c r="AK43" s="496"/>
      <c r="AL43" s="499"/>
      <c r="AM43" s="496" t="s">
        <v>461</v>
      </c>
      <c r="AN43" s="496"/>
      <c r="AO43" s="496"/>
      <c r="AP43" s="497"/>
      <c r="AQ43" s="496"/>
      <c r="AR43" s="499"/>
      <c r="AS43" s="496"/>
      <c r="AT43" s="497"/>
      <c r="AU43" s="498"/>
      <c r="AV43" s="498"/>
      <c r="AW43" s="496" t="s">
        <v>240</v>
      </c>
      <c r="AX43" s="497"/>
      <c r="AY43" s="498"/>
      <c r="AZ43" s="496"/>
      <c r="BA43" s="497"/>
      <c r="BB43" s="498"/>
      <c r="BC43" s="496"/>
      <c r="BD43" s="496"/>
      <c r="BE43" s="499"/>
      <c r="BF43" s="496" t="s">
        <v>461</v>
      </c>
      <c r="BG43" s="496"/>
      <c r="BH43" s="496"/>
      <c r="BI43" s="497"/>
      <c r="BJ43" s="496"/>
      <c r="BK43" s="499"/>
      <c r="BL43" s="496"/>
      <c r="BM43" s="497"/>
      <c r="BN43" s="498"/>
      <c r="BO43" s="498"/>
      <c r="BP43" s="496" t="s">
        <v>240</v>
      </c>
      <c r="BQ43" s="497"/>
      <c r="BR43" s="498"/>
      <c r="BS43" s="496"/>
      <c r="BT43" s="497"/>
      <c r="BU43" s="498"/>
      <c r="BV43" s="496"/>
      <c r="BW43" s="496"/>
      <c r="BX43" s="499"/>
    </row>
    <row r="44" spans="1:76" s="5" customFormat="1" ht="14.25" x14ac:dyDescent="0.25">
      <c r="A44" s="496" t="s">
        <v>504</v>
      </c>
      <c r="B44" s="496"/>
      <c r="C44" s="496"/>
      <c r="D44" s="497"/>
      <c r="E44" s="496"/>
      <c r="F44" s="499"/>
      <c r="G44" s="496"/>
      <c r="H44" s="497"/>
      <c r="I44" s="498"/>
      <c r="J44" s="498"/>
      <c r="K44" s="496" t="s">
        <v>241</v>
      </c>
      <c r="L44" s="497"/>
      <c r="M44" s="498"/>
      <c r="N44" s="496"/>
      <c r="O44" s="497"/>
      <c r="P44" s="498"/>
      <c r="Q44" s="496"/>
      <c r="R44" s="496"/>
      <c r="S44" s="499"/>
      <c r="T44" s="496" t="s">
        <v>504</v>
      </c>
      <c r="U44" s="496"/>
      <c r="V44" s="496"/>
      <c r="W44" s="497"/>
      <c r="X44" s="496"/>
      <c r="Y44" s="499"/>
      <c r="Z44" s="496"/>
      <c r="AA44" s="497"/>
      <c r="AB44" s="498"/>
      <c r="AC44" s="498"/>
      <c r="AD44" s="496" t="s">
        <v>241</v>
      </c>
      <c r="AE44" s="497"/>
      <c r="AF44" s="498"/>
      <c r="AG44" s="496"/>
      <c r="AH44" s="497"/>
      <c r="AI44" s="498"/>
      <c r="AJ44" s="496"/>
      <c r="AK44" s="496"/>
      <c r="AL44" s="499"/>
      <c r="AM44" s="496" t="s">
        <v>504</v>
      </c>
      <c r="AN44" s="496"/>
      <c r="AO44" s="496"/>
      <c r="AP44" s="497"/>
      <c r="AQ44" s="496"/>
      <c r="AR44" s="499"/>
      <c r="AS44" s="496"/>
      <c r="AT44" s="497"/>
      <c r="AU44" s="498"/>
      <c r="AV44" s="498"/>
      <c r="AW44" s="496" t="s">
        <v>241</v>
      </c>
      <c r="AX44" s="497"/>
      <c r="AY44" s="498"/>
      <c r="AZ44" s="496"/>
      <c r="BA44" s="497"/>
      <c r="BB44" s="498"/>
      <c r="BC44" s="496"/>
      <c r="BD44" s="496"/>
      <c r="BE44" s="499"/>
      <c r="BF44" s="496" t="s">
        <v>504</v>
      </c>
      <c r="BG44" s="496"/>
      <c r="BH44" s="496"/>
      <c r="BI44" s="497"/>
      <c r="BJ44" s="496"/>
      <c r="BK44" s="499"/>
      <c r="BL44" s="496"/>
      <c r="BM44" s="497"/>
      <c r="BN44" s="498"/>
      <c r="BO44" s="498"/>
      <c r="BP44" s="496" t="s">
        <v>241</v>
      </c>
      <c r="BQ44" s="497"/>
      <c r="BR44" s="498"/>
      <c r="BS44" s="496"/>
      <c r="BT44" s="497"/>
      <c r="BU44" s="498"/>
      <c r="BV44" s="496"/>
      <c r="BW44" s="496"/>
      <c r="BX44" s="499"/>
    </row>
    <row r="45" spans="1:76" s="5" customFormat="1" ht="14.25" x14ac:dyDescent="0.25">
      <c r="A45" s="496" t="s">
        <v>569</v>
      </c>
      <c r="B45" s="496"/>
      <c r="C45" s="496"/>
      <c r="D45" s="497"/>
      <c r="E45" s="496"/>
      <c r="F45" s="499"/>
      <c r="G45" s="496"/>
      <c r="H45" s="497"/>
      <c r="I45" s="498"/>
      <c r="J45" s="498"/>
      <c r="K45" s="500" t="s">
        <v>506</v>
      </c>
      <c r="L45" s="497"/>
      <c r="M45" s="498"/>
      <c r="N45" s="496"/>
      <c r="O45" s="497"/>
      <c r="P45" s="498"/>
      <c r="Q45" s="496"/>
      <c r="R45" s="496"/>
      <c r="S45" s="499"/>
      <c r="T45" s="496" t="s">
        <v>569</v>
      </c>
      <c r="U45" s="496"/>
      <c r="V45" s="496"/>
      <c r="W45" s="497"/>
      <c r="X45" s="496"/>
      <c r="Y45" s="499"/>
      <c r="Z45" s="496"/>
      <c r="AA45" s="497"/>
      <c r="AB45" s="498"/>
      <c r="AC45" s="498"/>
      <c r="AD45" s="500" t="s">
        <v>506</v>
      </c>
      <c r="AE45" s="497"/>
      <c r="AF45" s="498"/>
      <c r="AG45" s="496"/>
      <c r="AH45" s="497"/>
      <c r="AI45" s="498"/>
      <c r="AJ45" s="496"/>
      <c r="AK45" s="496"/>
      <c r="AL45" s="499"/>
      <c r="AM45" s="496" t="s">
        <v>569</v>
      </c>
      <c r="AN45" s="496"/>
      <c r="AO45" s="496"/>
      <c r="AP45" s="497"/>
      <c r="AQ45" s="496"/>
      <c r="AR45" s="499"/>
      <c r="AS45" s="496"/>
      <c r="AT45" s="497"/>
      <c r="AU45" s="498"/>
      <c r="AV45" s="498"/>
      <c r="AW45" s="500" t="s">
        <v>506</v>
      </c>
      <c r="AX45" s="497"/>
      <c r="AY45" s="498"/>
      <c r="AZ45" s="496"/>
      <c r="BA45" s="497"/>
      <c r="BB45" s="498"/>
      <c r="BC45" s="496"/>
      <c r="BD45" s="496"/>
      <c r="BE45" s="499"/>
      <c r="BF45" s="496" t="s">
        <v>569</v>
      </c>
      <c r="BG45" s="496"/>
      <c r="BH45" s="496"/>
      <c r="BI45" s="497"/>
      <c r="BJ45" s="496"/>
      <c r="BK45" s="499"/>
      <c r="BL45" s="496"/>
      <c r="BM45" s="497"/>
      <c r="BN45" s="498"/>
      <c r="BO45" s="498"/>
      <c r="BP45" s="500" t="s">
        <v>506</v>
      </c>
      <c r="BQ45" s="497"/>
      <c r="BR45" s="498"/>
      <c r="BS45" s="496"/>
      <c r="BT45" s="497"/>
      <c r="BU45" s="498"/>
      <c r="BV45" s="496"/>
      <c r="BW45" s="496"/>
      <c r="BX45" s="499"/>
    </row>
    <row r="46" spans="1:76" s="5" customFormat="1" ht="14.25" x14ac:dyDescent="0.25">
      <c r="A46" s="496" t="s">
        <v>568</v>
      </c>
      <c r="B46" s="496"/>
      <c r="C46" s="496"/>
      <c r="D46" s="497"/>
      <c r="E46" s="496"/>
      <c r="F46" s="499"/>
      <c r="G46" s="496"/>
      <c r="H46" s="497"/>
      <c r="I46" s="498"/>
      <c r="J46" s="498"/>
      <c r="K46" s="500" t="s">
        <v>395</v>
      </c>
      <c r="L46" s="497"/>
      <c r="M46" s="498"/>
      <c r="N46" s="496"/>
      <c r="O46" s="497"/>
      <c r="P46" s="498"/>
      <c r="Q46" s="496"/>
      <c r="R46" s="496"/>
      <c r="S46" s="499"/>
      <c r="T46" s="496" t="s">
        <v>568</v>
      </c>
      <c r="U46" s="496"/>
      <c r="V46" s="496"/>
      <c r="W46" s="497"/>
      <c r="X46" s="496"/>
      <c r="Y46" s="499"/>
      <c r="Z46" s="496"/>
      <c r="AA46" s="497"/>
      <c r="AB46" s="498"/>
      <c r="AC46" s="498"/>
      <c r="AD46" s="500" t="s">
        <v>395</v>
      </c>
      <c r="AE46" s="497"/>
      <c r="AF46" s="498"/>
      <c r="AG46" s="496"/>
      <c r="AH46" s="497"/>
      <c r="AI46" s="498"/>
      <c r="AJ46" s="496"/>
      <c r="AK46" s="496"/>
      <c r="AL46" s="499"/>
      <c r="AM46" s="496" t="s">
        <v>568</v>
      </c>
      <c r="AN46" s="496"/>
      <c r="AO46" s="496"/>
      <c r="AP46" s="497"/>
      <c r="AQ46" s="496"/>
      <c r="AR46" s="499"/>
      <c r="AS46" s="496"/>
      <c r="AT46" s="497"/>
      <c r="AU46" s="498"/>
      <c r="AV46" s="498"/>
      <c r="AW46" s="500" t="s">
        <v>395</v>
      </c>
      <c r="AX46" s="497"/>
      <c r="AY46" s="498"/>
      <c r="AZ46" s="496"/>
      <c r="BA46" s="497"/>
      <c r="BB46" s="498"/>
      <c r="BC46" s="496"/>
      <c r="BD46" s="496"/>
      <c r="BE46" s="499"/>
      <c r="BF46" s="496" t="s">
        <v>568</v>
      </c>
      <c r="BG46" s="496"/>
      <c r="BH46" s="496"/>
      <c r="BI46" s="497"/>
      <c r="BJ46" s="496"/>
      <c r="BK46" s="499"/>
      <c r="BL46" s="496"/>
      <c r="BM46" s="497"/>
      <c r="BN46" s="498"/>
      <c r="BO46" s="498"/>
      <c r="BP46" s="500" t="s">
        <v>395</v>
      </c>
      <c r="BQ46" s="497"/>
      <c r="BR46" s="498"/>
      <c r="BS46" s="496"/>
      <c r="BT46" s="497"/>
      <c r="BU46" s="498"/>
      <c r="BV46" s="496"/>
      <c r="BW46" s="496"/>
      <c r="BX46" s="499"/>
    </row>
    <row r="47" spans="1:76" s="5" customFormat="1" ht="14.25" x14ac:dyDescent="0.25">
      <c r="A47" s="447" t="s">
        <v>462</v>
      </c>
      <c r="B47" s="496"/>
      <c r="C47" s="496"/>
      <c r="D47" s="497"/>
      <c r="E47" s="496"/>
      <c r="F47" s="499"/>
      <c r="G47" s="496"/>
      <c r="H47" s="497"/>
      <c r="I47" s="498"/>
      <c r="J47" s="498"/>
      <c r="K47" s="496" t="s">
        <v>296</v>
      </c>
      <c r="L47" s="497"/>
      <c r="M47" s="498"/>
      <c r="N47" s="496"/>
      <c r="O47" s="497"/>
      <c r="P47" s="498"/>
      <c r="Q47" s="496"/>
      <c r="R47" s="496"/>
      <c r="S47" s="499"/>
      <c r="T47" s="447" t="s">
        <v>462</v>
      </c>
      <c r="U47" s="496"/>
      <c r="V47" s="496"/>
      <c r="W47" s="497"/>
      <c r="X47" s="496"/>
      <c r="Y47" s="499"/>
      <c r="Z47" s="496"/>
      <c r="AA47" s="497"/>
      <c r="AB47" s="498"/>
      <c r="AC47" s="498"/>
      <c r="AD47" s="496" t="s">
        <v>296</v>
      </c>
      <c r="AE47" s="497"/>
      <c r="AF47" s="498"/>
      <c r="AG47" s="496"/>
      <c r="AH47" s="497"/>
      <c r="AI47" s="498"/>
      <c r="AJ47" s="496"/>
      <c r="AK47" s="496"/>
      <c r="AL47" s="499"/>
      <c r="AM47" s="447" t="s">
        <v>462</v>
      </c>
      <c r="AN47" s="496"/>
      <c r="AO47" s="496"/>
      <c r="AP47" s="497"/>
      <c r="AQ47" s="496"/>
      <c r="AR47" s="499"/>
      <c r="AS47" s="496"/>
      <c r="AT47" s="497"/>
      <c r="AU47" s="498"/>
      <c r="AV47" s="498"/>
      <c r="AW47" s="496" t="s">
        <v>296</v>
      </c>
      <c r="AX47" s="497"/>
      <c r="AY47" s="498"/>
      <c r="AZ47" s="496"/>
      <c r="BA47" s="497"/>
      <c r="BB47" s="498"/>
      <c r="BC47" s="496"/>
      <c r="BD47" s="496"/>
      <c r="BE47" s="499"/>
      <c r="BF47" s="447" t="s">
        <v>462</v>
      </c>
      <c r="BG47" s="496"/>
      <c r="BH47" s="496"/>
      <c r="BI47" s="497"/>
      <c r="BJ47" s="496"/>
      <c r="BK47" s="499"/>
      <c r="BL47" s="496"/>
      <c r="BM47" s="497"/>
      <c r="BN47" s="498"/>
      <c r="BO47" s="498"/>
      <c r="BP47" s="496" t="s">
        <v>296</v>
      </c>
      <c r="BQ47" s="497"/>
      <c r="BR47" s="498"/>
      <c r="BS47" s="496"/>
      <c r="BT47" s="497"/>
      <c r="BU47" s="498"/>
      <c r="BV47" s="496"/>
      <c r="BW47" s="496"/>
      <c r="BX47" s="499"/>
    </row>
    <row r="48" spans="1:76" s="5" customFormat="1" ht="12.75" x14ac:dyDescent="0.25">
      <c r="A48" s="496"/>
      <c r="B48" s="496"/>
      <c r="C48" s="496"/>
      <c r="D48" s="497"/>
      <c r="E48" s="496"/>
      <c r="F48" s="499"/>
      <c r="G48" s="496"/>
      <c r="H48" s="497"/>
      <c r="I48" s="498"/>
      <c r="J48" s="498"/>
      <c r="K48" s="496" t="s">
        <v>242</v>
      </c>
      <c r="L48" s="497"/>
      <c r="M48" s="498"/>
      <c r="N48" s="496"/>
      <c r="O48" s="497"/>
      <c r="P48" s="498"/>
      <c r="Q48" s="496"/>
      <c r="R48" s="496"/>
      <c r="S48" s="499"/>
      <c r="T48" s="496"/>
      <c r="U48" s="496"/>
      <c r="V48" s="496"/>
      <c r="W48" s="497"/>
      <c r="X48" s="496"/>
      <c r="Y48" s="499"/>
      <c r="Z48" s="496"/>
      <c r="AA48" s="497"/>
      <c r="AB48" s="498"/>
      <c r="AC48" s="498"/>
      <c r="AD48" s="496" t="s">
        <v>242</v>
      </c>
      <c r="AE48" s="497"/>
      <c r="AF48" s="498"/>
      <c r="AG48" s="496"/>
      <c r="AH48" s="497"/>
      <c r="AI48" s="498"/>
      <c r="AJ48" s="496"/>
      <c r="AK48" s="496"/>
      <c r="AL48" s="499"/>
      <c r="AM48" s="496"/>
      <c r="AN48" s="496"/>
      <c r="AO48" s="496"/>
      <c r="AP48" s="497"/>
      <c r="AQ48" s="496"/>
      <c r="AR48" s="499"/>
      <c r="AS48" s="496"/>
      <c r="AT48" s="497"/>
      <c r="AU48" s="498"/>
      <c r="AV48" s="498"/>
      <c r="AW48" s="496" t="s">
        <v>242</v>
      </c>
      <c r="AX48" s="497"/>
      <c r="AY48" s="498"/>
      <c r="AZ48" s="496"/>
      <c r="BA48" s="497"/>
      <c r="BB48" s="498"/>
      <c r="BC48" s="496"/>
      <c r="BD48" s="496"/>
      <c r="BE48" s="499"/>
      <c r="BF48" s="496"/>
      <c r="BG48" s="496"/>
      <c r="BH48" s="496"/>
      <c r="BI48" s="497"/>
      <c r="BJ48" s="496"/>
      <c r="BK48" s="499"/>
      <c r="BL48" s="496"/>
      <c r="BM48" s="497"/>
      <c r="BN48" s="498"/>
      <c r="BO48" s="498"/>
      <c r="BP48" s="496" t="s">
        <v>242</v>
      </c>
      <c r="BQ48" s="497"/>
      <c r="BR48" s="498"/>
      <c r="BS48" s="496"/>
      <c r="BT48" s="497"/>
      <c r="BU48" s="498"/>
      <c r="BV48" s="496"/>
      <c r="BW48" s="496"/>
      <c r="BX48" s="499"/>
    </row>
    <row r="49" spans="1:85" s="43" customFormat="1" ht="12.75" x14ac:dyDescent="0.25">
      <c r="A49" s="497"/>
      <c r="B49" s="496"/>
      <c r="C49" s="496"/>
      <c r="D49" s="497"/>
      <c r="E49" s="496"/>
      <c r="F49" s="499"/>
      <c r="G49" s="497"/>
      <c r="H49" s="497"/>
      <c r="I49" s="498"/>
      <c r="J49" s="498"/>
      <c r="K49" s="501" t="s">
        <v>507</v>
      </c>
      <c r="L49" s="497"/>
      <c r="M49" s="498"/>
      <c r="N49" s="496"/>
      <c r="O49" s="497"/>
      <c r="P49" s="498"/>
      <c r="Q49" s="496"/>
      <c r="R49" s="497"/>
      <c r="S49" s="498"/>
      <c r="T49" s="497"/>
      <c r="U49" s="496"/>
      <c r="V49" s="496"/>
      <c r="W49" s="497"/>
      <c r="X49" s="496"/>
      <c r="Y49" s="499"/>
      <c r="Z49" s="497"/>
      <c r="AA49" s="497"/>
      <c r="AB49" s="498"/>
      <c r="AC49" s="498"/>
      <c r="AD49" s="501" t="s">
        <v>507</v>
      </c>
      <c r="AE49" s="497"/>
      <c r="AF49" s="498"/>
      <c r="AG49" s="496"/>
      <c r="AH49" s="497"/>
      <c r="AI49" s="498"/>
      <c r="AJ49" s="496"/>
      <c r="AK49" s="497"/>
      <c r="AL49" s="498"/>
      <c r="AM49" s="497"/>
      <c r="AN49" s="496"/>
      <c r="AO49" s="496"/>
      <c r="AP49" s="497"/>
      <c r="AQ49" s="496"/>
      <c r="AR49" s="499"/>
      <c r="AS49" s="497"/>
      <c r="AT49" s="497"/>
      <c r="AU49" s="498"/>
      <c r="AV49" s="498"/>
      <c r="AW49" s="501" t="s">
        <v>507</v>
      </c>
      <c r="AX49" s="497"/>
      <c r="AY49" s="498"/>
      <c r="AZ49" s="496"/>
      <c r="BA49" s="497"/>
      <c r="BB49" s="498"/>
      <c r="BC49" s="496"/>
      <c r="BD49" s="497"/>
      <c r="BE49" s="498"/>
      <c r="BF49" s="497"/>
      <c r="BG49" s="496"/>
      <c r="BH49" s="496"/>
      <c r="BI49" s="497"/>
      <c r="BJ49" s="496"/>
      <c r="BK49" s="499"/>
      <c r="BL49" s="497"/>
      <c r="BM49" s="497"/>
      <c r="BN49" s="498"/>
      <c r="BO49" s="498"/>
      <c r="BP49" s="501" t="s">
        <v>507</v>
      </c>
      <c r="BQ49" s="497"/>
      <c r="BR49" s="498"/>
      <c r="BS49" s="496"/>
      <c r="BT49" s="497"/>
      <c r="BU49" s="498"/>
      <c r="BV49" s="496"/>
      <c r="BW49" s="497"/>
      <c r="BX49" s="498"/>
      <c r="BY49" s="5"/>
      <c r="BZ49" s="5"/>
      <c r="CA49" s="5"/>
      <c r="CB49" s="5"/>
      <c r="CC49" s="5"/>
      <c r="CD49" s="5"/>
      <c r="CE49" s="5"/>
      <c r="CF49" s="5"/>
      <c r="CG49" s="5"/>
    </row>
    <row r="50" spans="1:85" s="3" customFormat="1" x14ac:dyDescent="0.25">
      <c r="B50" s="4"/>
      <c r="C50" s="4"/>
      <c r="E50" s="4"/>
      <c r="F50" s="38"/>
      <c r="I50" s="37"/>
      <c r="J50" s="37"/>
      <c r="K50" s="4"/>
      <c r="M50" s="37"/>
      <c r="N50" s="4"/>
      <c r="P50" s="37"/>
      <c r="Q50" s="4"/>
      <c r="S50" s="37"/>
      <c r="U50" s="4"/>
      <c r="V50" s="4"/>
      <c r="W50" s="4"/>
      <c r="Y50" s="37"/>
      <c r="AB50" s="37"/>
      <c r="AC50" s="37"/>
      <c r="AD50" s="4"/>
      <c r="AF50" s="37"/>
      <c r="AG50" s="4"/>
      <c r="AI50" s="37"/>
      <c r="AJ50" s="4"/>
      <c r="AL50" s="37"/>
      <c r="AN50" s="4"/>
      <c r="AO50" s="4"/>
      <c r="AP50" s="4"/>
      <c r="AR50" s="37"/>
      <c r="AU50" s="37"/>
      <c r="AV50" s="37"/>
      <c r="AW50" s="4"/>
      <c r="AY50" s="37"/>
      <c r="AZ50" s="4"/>
      <c r="BB50" s="37"/>
      <c r="BE50" s="37"/>
      <c r="BG50" s="4"/>
      <c r="BH50" s="4"/>
      <c r="BI50" s="4"/>
      <c r="BK50" s="37"/>
      <c r="BN50" s="37"/>
      <c r="BO50" s="37"/>
      <c r="BP50" s="4"/>
      <c r="BR50" s="37"/>
      <c r="BS50" s="4"/>
      <c r="BU50" s="37"/>
      <c r="BV50" s="4"/>
      <c r="BX50" s="37"/>
      <c r="BY50" s="4"/>
      <c r="BZ50" s="4"/>
      <c r="CA50" s="4"/>
      <c r="CB50" s="4"/>
      <c r="CC50" s="4"/>
      <c r="CD50" s="4"/>
      <c r="CE50" s="4"/>
      <c r="CF50" s="4"/>
      <c r="CG50" s="4"/>
    </row>
  </sheetData>
  <mergeCells count="84">
    <mergeCell ref="AM1:AU1"/>
    <mergeCell ref="AW1:BE1"/>
    <mergeCell ref="BF1:BN1"/>
    <mergeCell ref="A32:A39"/>
    <mergeCell ref="B32:B39"/>
    <mergeCell ref="T32:T39"/>
    <mergeCell ref="U32:U39"/>
    <mergeCell ref="AM32:AM39"/>
    <mergeCell ref="D5:F5"/>
    <mergeCell ref="A1:I1"/>
    <mergeCell ref="K1:S1"/>
    <mergeCell ref="T1:AB1"/>
    <mergeCell ref="AD1:AL1"/>
    <mergeCell ref="BF10:BF29"/>
    <mergeCell ref="BG10:BG29"/>
    <mergeCell ref="BN7:BN8"/>
    <mergeCell ref="BP1:BX1"/>
    <mergeCell ref="BF32:BF39"/>
    <mergeCell ref="BG32:BG39"/>
    <mergeCell ref="AN32:AN39"/>
    <mergeCell ref="A10:A29"/>
    <mergeCell ref="B10:B29"/>
    <mergeCell ref="T10:T29"/>
    <mergeCell ref="U10:U29"/>
    <mergeCell ref="AM10:AM29"/>
    <mergeCell ref="AN10:AN29"/>
    <mergeCell ref="BX7:BX8"/>
    <mergeCell ref="AU7:AU8"/>
    <mergeCell ref="AY7:AY8"/>
    <mergeCell ref="BB7:BB8"/>
    <mergeCell ref="BE7:BE8"/>
    <mergeCell ref="BK7:BK8"/>
    <mergeCell ref="BS5:BU5"/>
    <mergeCell ref="Y7:Y8"/>
    <mergeCell ref="AB7:AB8"/>
    <mergeCell ref="AF7:AF8"/>
    <mergeCell ref="AI7:AI8"/>
    <mergeCell ref="AL7:AL8"/>
    <mergeCell ref="BR7:BR8"/>
    <mergeCell ref="BU7:BU8"/>
    <mergeCell ref="BV5:BX5"/>
    <mergeCell ref="F7:F8"/>
    <mergeCell ref="I7:I8"/>
    <mergeCell ref="M7:M8"/>
    <mergeCell ref="P7:P8"/>
    <mergeCell ref="S7:S8"/>
    <mergeCell ref="AJ5:AL5"/>
    <mergeCell ref="AP5:AR5"/>
    <mergeCell ref="AS5:AU5"/>
    <mergeCell ref="AW5:AY5"/>
    <mergeCell ref="AZ5:BB5"/>
    <mergeCell ref="BC5:BE5"/>
    <mergeCell ref="AR7:AR8"/>
    <mergeCell ref="BI5:BK5"/>
    <mergeCell ref="BL5:BN5"/>
    <mergeCell ref="BP5:BR5"/>
    <mergeCell ref="BS4:BU4"/>
    <mergeCell ref="BV4:BX4"/>
    <mergeCell ref="G5:I5"/>
    <mergeCell ref="K5:M5"/>
    <mergeCell ref="N5:P5"/>
    <mergeCell ref="Q5:S5"/>
    <mergeCell ref="W5:Y5"/>
    <mergeCell ref="Z5:AB5"/>
    <mergeCell ref="AD5:AF5"/>
    <mergeCell ref="AG5:AI5"/>
    <mergeCell ref="AW4:AY4"/>
    <mergeCell ref="AZ4:BB4"/>
    <mergeCell ref="BC4:BE4"/>
    <mergeCell ref="BI4:BK4"/>
    <mergeCell ref="BL4:BN4"/>
    <mergeCell ref="BP4:BR4"/>
    <mergeCell ref="AS4:AU4"/>
    <mergeCell ref="D4:F4"/>
    <mergeCell ref="G4:I4"/>
    <mergeCell ref="K4:M4"/>
    <mergeCell ref="N4:P4"/>
    <mergeCell ref="Q4:S4"/>
    <mergeCell ref="W4:Y4"/>
    <mergeCell ref="Z4:AB4"/>
    <mergeCell ref="AD4:AF4"/>
    <mergeCell ref="AG4:AI4"/>
    <mergeCell ref="AJ4:AL4"/>
    <mergeCell ref="AP4:AR4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4" firstPageNumber="4" fitToWidth="0" fitToHeight="0" orientation="portrait" r:id="rId1"/>
  <headerFooter alignWithMargins="0"/>
  <colBreaks count="3" manualBreakCount="3">
    <brk id="19" max="48" man="1"/>
    <brk id="38" max="48" man="1"/>
    <brk id="57" max="4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M53"/>
  <sheetViews>
    <sheetView view="pageBreakPreview" topLeftCell="B1" zoomScale="70" zoomScaleNormal="55" zoomScaleSheetLayoutView="70" workbookViewId="0">
      <pane xSplit="2" ySplit="9" topLeftCell="W10" activePane="bottomRight" state="frozen"/>
      <selection activeCell="I7" sqref="I7"/>
      <selection pane="topRight" activeCell="I7" sqref="I7"/>
      <selection pane="bottomLeft" activeCell="I7" sqref="I7"/>
      <selection pane="bottomRight" activeCell="AG10" sqref="AG10"/>
    </sheetView>
  </sheetViews>
  <sheetFormatPr defaultColWidth="8.875" defaultRowHeight="11.25" x14ac:dyDescent="0.25"/>
  <cols>
    <col min="1" max="1" width="2.5" style="3" customWidth="1"/>
    <col min="2" max="2" width="3.375" style="4" customWidth="1"/>
    <col min="3" max="3" width="40.375" style="4" customWidth="1"/>
    <col min="4" max="4" width="12.625" style="4" customWidth="1"/>
    <col min="5" max="5" width="9.25" style="3" customWidth="1"/>
    <col min="6" max="6" width="12" style="37" customWidth="1"/>
    <col min="7" max="7" width="12.625" style="4" customWidth="1"/>
    <col min="8" max="8" width="9.75" style="3" customWidth="1"/>
    <col min="9" max="9" width="12" style="37" customWidth="1"/>
    <col min="10" max="10" width="1" style="37" customWidth="1"/>
    <col min="11" max="11" width="12.375" style="37" customWidth="1"/>
    <col min="12" max="12" width="11.25" style="37" customWidth="1"/>
    <col min="13" max="13" width="12.375" style="37" customWidth="1"/>
    <col min="14" max="14" width="12.375" style="4" customWidth="1"/>
    <col min="15" max="15" width="11.25" style="4" customWidth="1"/>
    <col min="16" max="17" width="12.375" style="4" customWidth="1"/>
    <col min="18" max="18" width="11.25" style="4" customWidth="1"/>
    <col min="19" max="19" width="12.375" style="4" customWidth="1"/>
    <col min="20" max="20" width="2.5" style="4" customWidth="1"/>
    <col min="21" max="21" width="3.375" style="4" customWidth="1"/>
    <col min="22" max="22" width="40.375" style="4" customWidth="1"/>
    <col min="23" max="23" width="12.625" style="4" customWidth="1"/>
    <col min="24" max="24" width="9.75" style="4" customWidth="1"/>
    <col min="25" max="27" width="12" style="4" customWidth="1"/>
    <col min="28" max="28" width="9.625" style="4" customWidth="1"/>
    <col min="29" max="29" width="0.5" style="4" customWidth="1"/>
    <col min="30" max="30" width="19.875" style="4" customWidth="1"/>
    <col min="31" max="35" width="18.625" style="4" customWidth="1"/>
    <col min="36" max="36" width="8.875" style="4"/>
    <col min="37" max="37" width="35.25" style="4" customWidth="1"/>
    <col min="38" max="38" width="32.125" style="4" bestFit="1" customWidth="1"/>
    <col min="39" max="39" width="10.875" style="4" customWidth="1"/>
    <col min="40" max="16384" width="8.875" style="4"/>
  </cols>
  <sheetData>
    <row r="1" spans="1:39" s="10" customFormat="1" ht="39.6" customHeight="1" x14ac:dyDescent="0.25">
      <c r="A1" s="651" t="s">
        <v>678</v>
      </c>
      <c r="B1" s="650"/>
      <c r="C1" s="650"/>
      <c r="D1" s="650"/>
      <c r="E1" s="650"/>
      <c r="F1" s="650"/>
      <c r="G1" s="650"/>
      <c r="H1" s="650"/>
      <c r="I1" s="650"/>
      <c r="J1" s="502"/>
      <c r="K1" s="652" t="s">
        <v>398</v>
      </c>
      <c r="L1" s="652"/>
      <c r="M1" s="652"/>
      <c r="N1" s="652"/>
      <c r="O1" s="652"/>
      <c r="P1" s="652"/>
      <c r="Q1" s="652"/>
      <c r="R1" s="652"/>
      <c r="S1" s="652"/>
      <c r="T1" s="651" t="s">
        <v>677</v>
      </c>
      <c r="U1" s="650"/>
      <c r="V1" s="650"/>
      <c r="W1" s="650"/>
      <c r="X1" s="650"/>
      <c r="Y1" s="650"/>
      <c r="Z1" s="650"/>
      <c r="AA1" s="650"/>
      <c r="AB1" s="650"/>
      <c r="AC1" s="502"/>
      <c r="AD1" s="650" t="s">
        <v>542</v>
      </c>
      <c r="AE1" s="650"/>
      <c r="AF1" s="650"/>
      <c r="AG1" s="650"/>
      <c r="AH1" s="650"/>
      <c r="AI1" s="650"/>
    </row>
    <row r="2" spans="1:39" s="10" customFormat="1" ht="20.25" customHeight="1" x14ac:dyDescent="0.25">
      <c r="A2" s="503"/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256"/>
      <c r="O2" s="256"/>
      <c r="P2" s="256"/>
      <c r="Q2" s="256"/>
      <c r="R2" s="256"/>
      <c r="S2" s="256"/>
      <c r="T2" s="503"/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331"/>
      <c r="AH2" s="331"/>
      <c r="AI2" s="331"/>
    </row>
    <row r="3" spans="1:39" s="12" customFormat="1" ht="15" customHeight="1" x14ac:dyDescent="0.25">
      <c r="A3" s="332" t="s">
        <v>387</v>
      </c>
      <c r="B3" s="332"/>
      <c r="C3" s="333"/>
      <c r="D3" s="332"/>
      <c r="E3" s="391"/>
      <c r="F3" s="390"/>
      <c r="G3" s="332"/>
      <c r="H3" s="391"/>
      <c r="I3" s="390"/>
      <c r="J3" s="390"/>
      <c r="K3" s="390"/>
      <c r="L3" s="390"/>
      <c r="M3" s="390"/>
      <c r="N3" s="504"/>
      <c r="O3" s="334"/>
      <c r="P3" s="390"/>
      <c r="Q3" s="504"/>
      <c r="R3" s="334"/>
      <c r="S3" s="390" t="s">
        <v>386</v>
      </c>
      <c r="T3" s="332" t="s">
        <v>387</v>
      </c>
      <c r="U3" s="332"/>
      <c r="V3" s="333"/>
      <c r="W3" s="332"/>
      <c r="X3" s="391"/>
      <c r="Y3" s="390"/>
      <c r="Z3" s="390"/>
      <c r="AA3" s="390"/>
      <c r="AB3" s="390"/>
      <c r="AC3" s="390"/>
      <c r="AD3" s="332"/>
      <c r="AE3" s="391"/>
      <c r="AF3" s="390"/>
      <c r="AG3" s="334"/>
      <c r="AH3" s="334"/>
      <c r="AI3" s="390" t="s">
        <v>386</v>
      </c>
    </row>
    <row r="4" spans="1:39" s="41" customFormat="1" ht="15" customHeight="1" x14ac:dyDescent="0.25">
      <c r="A4" s="58"/>
      <c r="B4" s="59"/>
      <c r="C4" s="60"/>
      <c r="D4" s="614" t="s">
        <v>298</v>
      </c>
      <c r="E4" s="623"/>
      <c r="F4" s="622"/>
      <c r="G4" s="614" t="s">
        <v>299</v>
      </c>
      <c r="H4" s="623"/>
      <c r="I4" s="622"/>
      <c r="J4" s="61"/>
      <c r="K4" s="623" t="s">
        <v>372</v>
      </c>
      <c r="L4" s="623"/>
      <c r="M4" s="622"/>
      <c r="N4" s="614" t="s">
        <v>380</v>
      </c>
      <c r="O4" s="623"/>
      <c r="P4" s="623"/>
      <c r="Q4" s="614" t="s">
        <v>388</v>
      </c>
      <c r="R4" s="623"/>
      <c r="S4" s="623"/>
      <c r="T4" s="58"/>
      <c r="U4" s="59"/>
      <c r="V4" s="60"/>
      <c r="W4" s="614" t="s">
        <v>397</v>
      </c>
      <c r="X4" s="623"/>
      <c r="Y4" s="622"/>
      <c r="Z4" s="614" t="s">
        <v>407</v>
      </c>
      <c r="AA4" s="623"/>
      <c r="AB4" s="622"/>
      <c r="AC4" s="61"/>
      <c r="AD4" s="623" t="s">
        <v>543</v>
      </c>
      <c r="AE4" s="623"/>
      <c r="AF4" s="622"/>
      <c r="AG4" s="623" t="s">
        <v>573</v>
      </c>
      <c r="AH4" s="623"/>
      <c r="AI4" s="623"/>
    </row>
    <row r="5" spans="1:39" s="10" customFormat="1" ht="16.5" customHeight="1" x14ac:dyDescent="0.25">
      <c r="A5" s="62"/>
      <c r="B5" s="63"/>
      <c r="C5" s="64"/>
      <c r="D5" s="616">
        <v>2016</v>
      </c>
      <c r="E5" s="624"/>
      <c r="F5" s="625"/>
      <c r="G5" s="616">
        <v>2017</v>
      </c>
      <c r="H5" s="624"/>
      <c r="I5" s="625"/>
      <c r="J5" s="61"/>
      <c r="K5" s="624">
        <v>2018</v>
      </c>
      <c r="L5" s="624"/>
      <c r="M5" s="625"/>
      <c r="N5" s="616">
        <v>2019</v>
      </c>
      <c r="O5" s="624"/>
      <c r="P5" s="624"/>
      <c r="Q5" s="616">
        <v>2020</v>
      </c>
      <c r="R5" s="624"/>
      <c r="S5" s="624"/>
      <c r="T5" s="62"/>
      <c r="U5" s="63"/>
      <c r="V5" s="64"/>
      <c r="W5" s="616">
        <v>2021</v>
      </c>
      <c r="X5" s="624"/>
      <c r="Y5" s="625"/>
      <c r="Z5" s="616">
        <v>2022</v>
      </c>
      <c r="AA5" s="624"/>
      <c r="AB5" s="625"/>
      <c r="AC5" s="61"/>
      <c r="AD5" s="624">
        <v>2023</v>
      </c>
      <c r="AE5" s="624"/>
      <c r="AF5" s="625"/>
      <c r="AG5" s="624">
        <v>2024</v>
      </c>
      <c r="AH5" s="624"/>
      <c r="AI5" s="624"/>
    </row>
    <row r="6" spans="1:39" s="41" customFormat="1" ht="16.149999999999999" customHeight="1" x14ac:dyDescent="0.25">
      <c r="A6" s="65"/>
      <c r="B6" s="63"/>
      <c r="C6" s="64"/>
      <c r="D6" s="66" t="s">
        <v>243</v>
      </c>
      <c r="E6" s="67" t="s">
        <v>302</v>
      </c>
      <c r="F6" s="68" t="s">
        <v>301</v>
      </c>
      <c r="G6" s="66" t="s">
        <v>243</v>
      </c>
      <c r="H6" s="67" t="s">
        <v>51</v>
      </c>
      <c r="I6" s="68" t="s">
        <v>301</v>
      </c>
      <c r="J6" s="67"/>
      <c r="K6" s="69" t="s">
        <v>243</v>
      </c>
      <c r="L6" s="67" t="s">
        <v>51</v>
      </c>
      <c r="M6" s="68" t="s">
        <v>268</v>
      </c>
      <c r="N6" s="66" t="s">
        <v>243</v>
      </c>
      <c r="O6" s="67" t="s">
        <v>51</v>
      </c>
      <c r="P6" s="67" t="s">
        <v>268</v>
      </c>
      <c r="Q6" s="66" t="s">
        <v>243</v>
      </c>
      <c r="R6" s="67" t="s">
        <v>51</v>
      </c>
      <c r="S6" s="67" t="s">
        <v>268</v>
      </c>
      <c r="T6" s="65"/>
      <c r="U6" s="63"/>
      <c r="V6" s="64"/>
      <c r="W6" s="66" t="s">
        <v>243</v>
      </c>
      <c r="X6" s="67" t="s">
        <v>72</v>
      </c>
      <c r="Y6" s="68" t="s">
        <v>268</v>
      </c>
      <c r="Z6" s="66" t="s">
        <v>243</v>
      </c>
      <c r="AA6" s="67" t="s">
        <v>72</v>
      </c>
      <c r="AB6" s="68" t="s">
        <v>268</v>
      </c>
      <c r="AC6" s="67"/>
      <c r="AD6" s="69" t="s">
        <v>243</v>
      </c>
      <c r="AE6" s="67" t="s">
        <v>72</v>
      </c>
      <c r="AF6" s="68" t="s">
        <v>268</v>
      </c>
      <c r="AG6" s="69" t="s">
        <v>243</v>
      </c>
      <c r="AH6" s="67" t="s">
        <v>72</v>
      </c>
      <c r="AI6" s="67" t="s">
        <v>268</v>
      </c>
    </row>
    <row r="7" spans="1:39" s="39" customFormat="1" ht="10.7" customHeight="1" x14ac:dyDescent="0.25">
      <c r="A7" s="70"/>
      <c r="B7" s="71"/>
      <c r="C7" s="72"/>
      <c r="D7" s="66"/>
      <c r="E7" s="73"/>
      <c r="F7" s="642" t="s">
        <v>237</v>
      </c>
      <c r="G7" s="66"/>
      <c r="H7" s="73"/>
      <c r="I7" s="642" t="s">
        <v>237</v>
      </c>
      <c r="J7" s="152"/>
      <c r="K7" s="69"/>
      <c r="L7" s="73"/>
      <c r="M7" s="642" t="s">
        <v>70</v>
      </c>
      <c r="N7" s="66"/>
      <c r="O7" s="73"/>
      <c r="P7" s="648" t="s">
        <v>70</v>
      </c>
      <c r="Q7" s="66"/>
      <c r="R7" s="73"/>
      <c r="S7" s="648" t="s">
        <v>237</v>
      </c>
      <c r="T7" s="70"/>
      <c r="U7" s="71"/>
      <c r="V7" s="72"/>
      <c r="W7" s="66"/>
      <c r="X7" s="73"/>
      <c r="Y7" s="642" t="s">
        <v>70</v>
      </c>
      <c r="Z7" s="66"/>
      <c r="AA7" s="73"/>
      <c r="AB7" s="642" t="s">
        <v>70</v>
      </c>
      <c r="AC7" s="152"/>
      <c r="AD7" s="69"/>
      <c r="AE7" s="73"/>
      <c r="AF7" s="642" t="s">
        <v>70</v>
      </c>
      <c r="AG7" s="69"/>
      <c r="AH7" s="73"/>
      <c r="AI7" s="648" t="s">
        <v>70</v>
      </c>
    </row>
    <row r="8" spans="1:39" s="10" customFormat="1" ht="19.5" customHeight="1" x14ac:dyDescent="0.25">
      <c r="A8" s="165"/>
      <c r="B8" s="166"/>
      <c r="C8" s="167"/>
      <c r="D8" s="74" t="s">
        <v>56</v>
      </c>
      <c r="E8" s="75" t="s">
        <v>21</v>
      </c>
      <c r="F8" s="643"/>
      <c r="G8" s="74" t="s">
        <v>56</v>
      </c>
      <c r="H8" s="75" t="s">
        <v>21</v>
      </c>
      <c r="I8" s="643"/>
      <c r="J8" s="152"/>
      <c r="K8" s="168" t="s">
        <v>56</v>
      </c>
      <c r="L8" s="75" t="s">
        <v>21</v>
      </c>
      <c r="M8" s="643"/>
      <c r="N8" s="74" t="s">
        <v>56</v>
      </c>
      <c r="O8" s="75" t="s">
        <v>21</v>
      </c>
      <c r="P8" s="649"/>
      <c r="Q8" s="74" t="s">
        <v>56</v>
      </c>
      <c r="R8" s="75" t="s">
        <v>21</v>
      </c>
      <c r="S8" s="649"/>
      <c r="T8" s="165"/>
      <c r="U8" s="166"/>
      <c r="V8" s="167"/>
      <c r="W8" s="74" t="s">
        <v>56</v>
      </c>
      <c r="X8" s="75" t="s">
        <v>21</v>
      </c>
      <c r="Y8" s="643"/>
      <c r="Z8" s="74" t="s">
        <v>56</v>
      </c>
      <c r="AA8" s="75" t="s">
        <v>21</v>
      </c>
      <c r="AB8" s="643"/>
      <c r="AC8" s="152"/>
      <c r="AD8" s="168" t="s">
        <v>56</v>
      </c>
      <c r="AE8" s="75" t="s">
        <v>21</v>
      </c>
      <c r="AF8" s="643"/>
      <c r="AG8" s="168" t="s">
        <v>56</v>
      </c>
      <c r="AH8" s="75" t="s">
        <v>21</v>
      </c>
      <c r="AI8" s="649"/>
    </row>
    <row r="9" spans="1:39" ht="4.1500000000000004" customHeight="1" x14ac:dyDescent="0.25">
      <c r="A9" s="402"/>
      <c r="B9" s="403"/>
      <c r="C9" s="404"/>
      <c r="D9" s="105"/>
      <c r="E9" s="405"/>
      <c r="F9" s="406"/>
      <c r="G9" s="105"/>
      <c r="H9" s="405"/>
      <c r="I9" s="406"/>
      <c r="J9" s="431"/>
      <c r="K9" s="405"/>
      <c r="L9" s="405"/>
      <c r="M9" s="406"/>
      <c r="N9" s="105"/>
      <c r="O9" s="405"/>
      <c r="P9" s="405"/>
      <c r="Q9" s="105"/>
      <c r="R9" s="405"/>
      <c r="S9" s="405"/>
      <c r="T9" s="402"/>
      <c r="U9" s="403"/>
      <c r="V9" s="404"/>
      <c r="W9" s="105"/>
      <c r="X9" s="405"/>
      <c r="Y9" s="406"/>
      <c r="Z9" s="105"/>
      <c r="AA9" s="405"/>
      <c r="AB9" s="482"/>
      <c r="AC9" s="431"/>
      <c r="AD9" s="505"/>
      <c r="AE9" s="405"/>
      <c r="AF9" s="482"/>
      <c r="AG9" s="122"/>
      <c r="AH9" s="405"/>
      <c r="AI9" s="405"/>
    </row>
    <row r="10" spans="1:39" ht="21.2" customHeight="1" x14ac:dyDescent="0.25">
      <c r="A10" s="631" t="s">
        <v>249</v>
      </c>
      <c r="B10" s="633" t="s">
        <v>224</v>
      </c>
      <c r="C10" s="407" t="s">
        <v>246</v>
      </c>
      <c r="D10" s="153">
        <v>1205957.3201053394</v>
      </c>
      <c r="E10" s="411">
        <v>100</v>
      </c>
      <c r="F10" s="410">
        <v>5.2410828621147099</v>
      </c>
      <c r="G10" s="153">
        <v>1276080.694631</v>
      </c>
      <c r="H10" s="411">
        <v>100</v>
      </c>
      <c r="I10" s="410">
        <v>5.8147476164028378</v>
      </c>
      <c r="J10" s="506"/>
      <c r="K10" s="153">
        <v>1359366.8528749999</v>
      </c>
      <c r="L10" s="411">
        <v>100</v>
      </c>
      <c r="M10" s="410">
        <v>6.5267156375313329</v>
      </c>
      <c r="N10" s="153">
        <v>1421046.180867</v>
      </c>
      <c r="O10" s="411">
        <v>100</v>
      </c>
      <c r="P10" s="410">
        <v>4.5373570689583254</v>
      </c>
      <c r="Q10" s="124">
        <v>1537092.261338</v>
      </c>
      <c r="R10" s="411">
        <v>100</v>
      </c>
      <c r="S10" s="411">
        <v>8.1662427325337674</v>
      </c>
      <c r="T10" s="631" t="s">
        <v>249</v>
      </c>
      <c r="U10" s="633" t="s">
        <v>224</v>
      </c>
      <c r="V10" s="407" t="s">
        <v>246</v>
      </c>
      <c r="W10" s="124">
        <v>1653437.0353399999</v>
      </c>
      <c r="X10" s="411">
        <v>100</v>
      </c>
      <c r="Y10" s="130">
        <v>7.5691470790910653</v>
      </c>
      <c r="Z10" s="124">
        <v>1770438.8497319999</v>
      </c>
      <c r="AA10" s="411">
        <v>100</v>
      </c>
      <c r="AB10" s="410">
        <v>7.0762787993278842</v>
      </c>
      <c r="AC10" s="506"/>
      <c r="AD10" s="153">
        <v>1835284.8173930002</v>
      </c>
      <c r="AE10" s="411">
        <v>100</v>
      </c>
      <c r="AF10" s="411">
        <v>3.6627058692717096</v>
      </c>
      <c r="AG10" s="124">
        <v>1889666.1432149997</v>
      </c>
      <c r="AH10" s="411">
        <v>100</v>
      </c>
      <c r="AI10" s="411">
        <v>2.9631000761640713</v>
      </c>
      <c r="AK10" s="324"/>
      <c r="AL10" s="285"/>
      <c r="AM10" s="285"/>
    </row>
    <row r="11" spans="1:39" ht="21.2" customHeight="1" x14ac:dyDescent="0.25">
      <c r="A11" s="631"/>
      <c r="B11" s="633"/>
      <c r="C11" s="407" t="s">
        <v>14</v>
      </c>
      <c r="D11" s="105"/>
      <c r="E11" s="405"/>
      <c r="F11" s="406"/>
      <c r="G11" s="105"/>
      <c r="H11" s="405"/>
      <c r="I11" s="406"/>
      <c r="J11" s="431"/>
      <c r="K11" s="122"/>
      <c r="L11" s="405"/>
      <c r="M11" s="406"/>
      <c r="N11" s="105"/>
      <c r="O11" s="405"/>
      <c r="P11" s="406"/>
      <c r="Q11" s="105"/>
      <c r="R11" s="405"/>
      <c r="S11" s="405"/>
      <c r="T11" s="631"/>
      <c r="U11" s="633"/>
      <c r="V11" s="407" t="s">
        <v>14</v>
      </c>
      <c r="W11" s="105"/>
      <c r="X11" s="405"/>
      <c r="Y11" s="418"/>
      <c r="Z11" s="105"/>
      <c r="AA11" s="405"/>
      <c r="AB11" s="406"/>
      <c r="AC11" s="431"/>
      <c r="AD11" s="122"/>
      <c r="AE11" s="405"/>
      <c r="AF11" s="405"/>
      <c r="AG11" s="105"/>
      <c r="AH11" s="405"/>
      <c r="AI11" s="405"/>
    </row>
    <row r="12" spans="1:39" ht="21.2" customHeight="1" x14ac:dyDescent="0.25">
      <c r="A12" s="631"/>
      <c r="B12" s="633"/>
      <c r="C12" s="404" t="s">
        <v>250</v>
      </c>
      <c r="D12" s="105">
        <v>679637.9200840001</v>
      </c>
      <c r="E12" s="405">
        <v>56.356714184929388</v>
      </c>
      <c r="F12" s="406">
        <v>4.6401973998492663</v>
      </c>
      <c r="G12" s="105">
        <v>719803.93424899993</v>
      </c>
      <c r="H12" s="405">
        <v>56.407399412710589</v>
      </c>
      <c r="I12" s="406">
        <v>5.90991364343465</v>
      </c>
      <c r="J12" s="431"/>
      <c r="K12" s="122">
        <v>766861.31532599987</v>
      </c>
      <c r="L12" s="405">
        <v>56.413124514852086</v>
      </c>
      <c r="M12" s="414">
        <v>6.537527629117057</v>
      </c>
      <c r="N12" s="105">
        <v>803175.11991899996</v>
      </c>
      <c r="O12" s="405">
        <v>56.519987227225201</v>
      </c>
      <c r="P12" s="406">
        <v>4.7353809440189076</v>
      </c>
      <c r="Q12" s="105">
        <v>881584.73332499992</v>
      </c>
      <c r="R12" s="405">
        <v>57.354054502727294</v>
      </c>
      <c r="S12" s="405">
        <v>9.7624554672345312</v>
      </c>
      <c r="T12" s="631"/>
      <c r="U12" s="633"/>
      <c r="V12" s="404" t="s">
        <v>250</v>
      </c>
      <c r="W12" s="105">
        <v>986200.68557999993</v>
      </c>
      <c r="X12" s="405">
        <v>59.645493871328782</v>
      </c>
      <c r="Y12" s="507">
        <v>11.866806252466366</v>
      </c>
      <c r="Z12" s="105">
        <v>1067312.4555009999</v>
      </c>
      <c r="AA12" s="405">
        <v>60.285191756979593</v>
      </c>
      <c r="AB12" s="406">
        <v>8.2246718246090857</v>
      </c>
      <c r="AC12" s="431"/>
      <c r="AD12" s="122">
        <v>1065167.2683410002</v>
      </c>
      <c r="AE12" s="405">
        <v>58.038254239691113</v>
      </c>
      <c r="AF12" s="405">
        <v>-0.20098961170585961</v>
      </c>
      <c r="AG12" s="105">
        <v>1080982.9436629997</v>
      </c>
      <c r="AH12" s="484">
        <v>57.204969647382264</v>
      </c>
      <c r="AI12" s="405">
        <v>1.4848067333717907</v>
      </c>
    </row>
    <row r="13" spans="1:39" ht="21.2" customHeight="1" x14ac:dyDescent="0.25">
      <c r="A13" s="631"/>
      <c r="B13" s="633"/>
      <c r="C13" s="404" t="s">
        <v>225</v>
      </c>
      <c r="D13" s="105"/>
      <c r="E13" s="405"/>
      <c r="F13" s="406"/>
      <c r="G13" s="105"/>
      <c r="H13" s="405"/>
      <c r="I13" s="406"/>
      <c r="J13" s="431"/>
      <c r="K13" s="405"/>
      <c r="L13" s="405"/>
      <c r="M13" s="406"/>
      <c r="N13" s="105"/>
      <c r="O13" s="405"/>
      <c r="P13" s="406"/>
      <c r="Q13" s="105"/>
      <c r="R13" s="405"/>
      <c r="S13" s="405"/>
      <c r="T13" s="631"/>
      <c r="U13" s="633"/>
      <c r="V13" s="404" t="s">
        <v>225</v>
      </c>
      <c r="W13" s="105"/>
      <c r="X13" s="405"/>
      <c r="Y13" s="507"/>
      <c r="Z13" s="105"/>
      <c r="AA13" s="405"/>
      <c r="AB13" s="406"/>
      <c r="AC13" s="431"/>
      <c r="AD13" s="122"/>
      <c r="AE13" s="405"/>
      <c r="AF13" s="405"/>
      <c r="AG13" s="105"/>
      <c r="AH13" s="405"/>
      <c r="AI13" s="405"/>
      <c r="AK13" s="7"/>
    </row>
    <row r="14" spans="1:39" ht="21.2" customHeight="1" x14ac:dyDescent="0.25">
      <c r="A14" s="631"/>
      <c r="B14" s="633"/>
      <c r="C14" s="416" t="s">
        <v>251</v>
      </c>
      <c r="D14" s="105">
        <v>71822.396494999979</v>
      </c>
      <c r="E14" s="405">
        <v>5.955633362607422</v>
      </c>
      <c r="F14" s="406">
        <v>-1.9103001043525025</v>
      </c>
      <c r="G14" s="105">
        <v>78539.438645999995</v>
      </c>
      <c r="H14" s="405">
        <v>6.1547391929403794</v>
      </c>
      <c r="I14" s="406">
        <v>9.3522946584880806</v>
      </c>
      <c r="J14" s="431"/>
      <c r="K14" s="106">
        <v>89371.575930999985</v>
      </c>
      <c r="L14" s="405">
        <v>6.5745001610112181</v>
      </c>
      <c r="M14" s="414">
        <v>13.791971870111741</v>
      </c>
      <c r="N14" s="105">
        <v>101876.02449599998</v>
      </c>
      <c r="O14" s="405">
        <v>7.1690861189214843</v>
      </c>
      <c r="P14" s="406">
        <v>13.991527434465457</v>
      </c>
      <c r="Q14" s="105">
        <v>139057.56222999998</v>
      </c>
      <c r="R14" s="405">
        <v>9.0467934637153071</v>
      </c>
      <c r="S14" s="405">
        <v>36.496847926628575</v>
      </c>
      <c r="T14" s="631"/>
      <c r="U14" s="633"/>
      <c r="V14" s="416" t="s">
        <v>251</v>
      </c>
      <c r="W14" s="105">
        <v>208123.66424199997</v>
      </c>
      <c r="X14" s="405">
        <v>12.587335338064628</v>
      </c>
      <c r="Y14" s="507">
        <v>49.667275122920152</v>
      </c>
      <c r="Z14" s="105">
        <v>263444.88871699997</v>
      </c>
      <c r="AA14" s="405">
        <v>14.880202654662652</v>
      </c>
      <c r="AB14" s="406">
        <v>26.580939114484426</v>
      </c>
      <c r="AC14" s="431"/>
      <c r="AD14" s="122">
        <v>231589.29581700003</v>
      </c>
      <c r="AE14" s="405">
        <v>12.618711473130901</v>
      </c>
      <c r="AF14" s="405">
        <v>-12.091938110904143</v>
      </c>
      <c r="AG14" s="105">
        <v>208744.960288</v>
      </c>
      <c r="AH14" s="484">
        <v>11.046658217247305</v>
      </c>
      <c r="AI14" s="405">
        <v>-9.8641586384249145</v>
      </c>
    </row>
    <row r="15" spans="1:39" ht="21.2" customHeight="1" x14ac:dyDescent="0.25">
      <c r="A15" s="631"/>
      <c r="B15" s="633"/>
      <c r="C15" s="416" t="s">
        <v>226</v>
      </c>
      <c r="D15" s="105"/>
      <c r="E15" s="405"/>
      <c r="F15" s="406"/>
      <c r="G15" s="105"/>
      <c r="H15" s="405"/>
      <c r="I15" s="406"/>
      <c r="J15" s="431"/>
      <c r="K15" s="106"/>
      <c r="L15" s="405"/>
      <c r="M15" s="406"/>
      <c r="N15" s="105"/>
      <c r="O15" s="405"/>
      <c r="P15" s="406"/>
      <c r="Q15" s="105"/>
      <c r="R15" s="405"/>
      <c r="S15" s="405"/>
      <c r="T15" s="631"/>
      <c r="U15" s="633"/>
      <c r="V15" s="416" t="s">
        <v>226</v>
      </c>
      <c r="W15" s="105"/>
      <c r="X15" s="405"/>
      <c r="Y15" s="507"/>
      <c r="Z15" s="105"/>
      <c r="AA15" s="405"/>
      <c r="AB15" s="406"/>
      <c r="AC15" s="431"/>
      <c r="AD15" s="122"/>
      <c r="AE15" s="405"/>
      <c r="AF15" s="405"/>
      <c r="AG15" s="105"/>
      <c r="AH15" s="405"/>
      <c r="AI15" s="405"/>
    </row>
    <row r="16" spans="1:39" ht="21.2" customHeight="1" x14ac:dyDescent="0.25">
      <c r="A16" s="631"/>
      <c r="B16" s="633"/>
      <c r="C16" s="416" t="s">
        <v>252</v>
      </c>
      <c r="D16" s="105">
        <v>18982.16791</v>
      </c>
      <c r="E16" s="405">
        <v>1.5740331430918237</v>
      </c>
      <c r="F16" s="406">
        <v>-5.9735270385074424</v>
      </c>
      <c r="G16" s="105">
        <v>19780.618870999999</v>
      </c>
      <c r="H16" s="405">
        <v>1.5501072114189374</v>
      </c>
      <c r="I16" s="406">
        <v>4.2063212420503593</v>
      </c>
      <c r="J16" s="431"/>
      <c r="K16" s="106">
        <v>20913.880445999999</v>
      </c>
      <c r="L16" s="405">
        <v>1.5385015753303151</v>
      </c>
      <c r="M16" s="414">
        <v>5.72915125856579</v>
      </c>
      <c r="N16" s="105">
        <v>20554.033086000003</v>
      </c>
      <c r="O16" s="405">
        <v>1.4464014866469506</v>
      </c>
      <c r="P16" s="406">
        <v>-1.7206149807020621</v>
      </c>
      <c r="Q16" s="105">
        <v>21082.031152000003</v>
      </c>
      <c r="R16" s="405">
        <v>1.3715527481511507</v>
      </c>
      <c r="S16" s="405">
        <v>2.5688295031481401</v>
      </c>
      <c r="T16" s="631"/>
      <c r="U16" s="633"/>
      <c r="V16" s="416" t="s">
        <v>252</v>
      </c>
      <c r="W16" s="105">
        <v>22249.933066000001</v>
      </c>
      <c r="X16" s="405">
        <v>1.3456776756802655</v>
      </c>
      <c r="Y16" s="507">
        <v>5.539797876113095</v>
      </c>
      <c r="Z16" s="105">
        <v>24518.951959000002</v>
      </c>
      <c r="AA16" s="405">
        <v>1.3849081521630389</v>
      </c>
      <c r="AB16" s="406">
        <v>10.197868399286447</v>
      </c>
      <c r="AC16" s="431"/>
      <c r="AD16" s="122">
        <v>24296.811556000001</v>
      </c>
      <c r="AE16" s="405">
        <v>1.3238714408651475</v>
      </c>
      <c r="AF16" s="405">
        <v>-0.90599469084754469</v>
      </c>
      <c r="AG16" s="105">
        <v>26677.325887999999</v>
      </c>
      <c r="AH16" s="484">
        <v>1.4117481007842108</v>
      </c>
      <c r="AI16" s="405">
        <v>9.797640840705867</v>
      </c>
    </row>
    <row r="17" spans="1:39" ht="21.2" customHeight="1" x14ac:dyDescent="0.25">
      <c r="A17" s="631"/>
      <c r="B17" s="633"/>
      <c r="C17" s="416" t="s">
        <v>227</v>
      </c>
      <c r="D17" s="105"/>
      <c r="E17" s="405"/>
      <c r="F17" s="406"/>
      <c r="G17" s="105"/>
      <c r="H17" s="405"/>
      <c r="I17" s="406"/>
      <c r="J17" s="431"/>
      <c r="K17" s="106"/>
      <c r="L17" s="405"/>
      <c r="M17" s="406"/>
      <c r="N17" s="105"/>
      <c r="O17" s="405"/>
      <c r="P17" s="406"/>
      <c r="Q17" s="105"/>
      <c r="R17" s="405"/>
      <c r="S17" s="405"/>
      <c r="T17" s="631"/>
      <c r="U17" s="633"/>
      <c r="V17" s="416" t="s">
        <v>227</v>
      </c>
      <c r="W17" s="105"/>
      <c r="X17" s="405"/>
      <c r="Y17" s="507"/>
      <c r="Z17" s="105"/>
      <c r="AA17" s="405"/>
      <c r="AB17" s="406"/>
      <c r="AC17" s="431"/>
      <c r="AD17" s="122"/>
      <c r="AE17" s="405"/>
      <c r="AF17" s="405"/>
      <c r="AG17" s="105"/>
      <c r="AH17" s="405"/>
      <c r="AI17" s="405"/>
    </row>
    <row r="18" spans="1:39" ht="21.2" customHeight="1" x14ac:dyDescent="0.25">
      <c r="A18" s="631"/>
      <c r="B18" s="633"/>
      <c r="C18" s="416" t="s">
        <v>253</v>
      </c>
      <c r="D18" s="105">
        <v>14907.374551000001</v>
      </c>
      <c r="E18" s="405">
        <v>1.2361444557339603</v>
      </c>
      <c r="F18" s="406">
        <v>19.811548733516162</v>
      </c>
      <c r="G18" s="105">
        <v>16190.328573999999</v>
      </c>
      <c r="H18" s="405">
        <v>1.2687542913327829</v>
      </c>
      <c r="I18" s="406">
        <v>8.6061701784633691</v>
      </c>
      <c r="J18" s="431"/>
      <c r="K18" s="106">
        <v>18293.685407000001</v>
      </c>
      <c r="L18" s="405">
        <v>1.3457504402369145</v>
      </c>
      <c r="M18" s="414">
        <v>12.991440064890192</v>
      </c>
      <c r="N18" s="105">
        <v>18778.833709999999</v>
      </c>
      <c r="O18" s="405">
        <v>1.3214794820068951</v>
      </c>
      <c r="P18" s="406">
        <v>2.6519987209048468</v>
      </c>
      <c r="Q18" s="105">
        <v>20651.269834999999</v>
      </c>
      <c r="R18" s="405">
        <v>1.3435283199606762</v>
      </c>
      <c r="S18" s="405">
        <v>9.970992628806874</v>
      </c>
      <c r="T18" s="631"/>
      <c r="U18" s="633"/>
      <c r="V18" s="416" t="s">
        <v>253</v>
      </c>
      <c r="W18" s="105">
        <v>23168.992865</v>
      </c>
      <c r="X18" s="405">
        <v>1.4012624835293899</v>
      </c>
      <c r="Y18" s="507">
        <v>12.191613639820531</v>
      </c>
      <c r="Z18" s="105">
        <v>25011.785307999999</v>
      </c>
      <c r="AA18" s="405">
        <v>1.4127449424071414</v>
      </c>
      <c r="AB18" s="406">
        <v>7.9537011113840705</v>
      </c>
      <c r="AC18" s="431"/>
      <c r="AD18" s="122">
        <v>26860.313450000001</v>
      </c>
      <c r="AE18" s="405">
        <v>1.4635501364935144</v>
      </c>
      <c r="AF18" s="405">
        <v>7.3906285346562406</v>
      </c>
      <c r="AG18" s="105">
        <v>28643.019179999999</v>
      </c>
      <c r="AH18" s="484">
        <v>1.5157714119420034</v>
      </c>
      <c r="AI18" s="405">
        <v>6.6369505825703445</v>
      </c>
    </row>
    <row r="19" spans="1:39" ht="21.2" customHeight="1" x14ac:dyDescent="0.25">
      <c r="A19" s="631"/>
      <c r="B19" s="633"/>
      <c r="C19" s="416" t="s">
        <v>239</v>
      </c>
      <c r="D19" s="105"/>
      <c r="E19" s="405"/>
      <c r="F19" s="406"/>
      <c r="G19" s="105"/>
      <c r="H19" s="405"/>
      <c r="I19" s="406"/>
      <c r="J19" s="431"/>
      <c r="K19" s="405"/>
      <c r="L19" s="405"/>
      <c r="M19" s="406"/>
      <c r="N19" s="105"/>
      <c r="O19" s="405"/>
      <c r="P19" s="406"/>
      <c r="Q19" s="105"/>
      <c r="R19" s="405"/>
      <c r="S19" s="405"/>
      <c r="T19" s="631"/>
      <c r="U19" s="633"/>
      <c r="V19" s="416" t="s">
        <v>4</v>
      </c>
      <c r="W19" s="105"/>
      <c r="X19" s="405"/>
      <c r="Y19" s="507"/>
      <c r="Z19" s="105"/>
      <c r="AA19" s="405"/>
      <c r="AB19" s="406"/>
      <c r="AC19" s="431"/>
      <c r="AD19" s="122"/>
      <c r="AE19" s="405"/>
      <c r="AF19" s="405"/>
      <c r="AG19" s="105"/>
      <c r="AH19" s="405"/>
      <c r="AI19" s="405"/>
    </row>
    <row r="20" spans="1:39" s="2" customFormat="1" ht="21.2" customHeight="1" x14ac:dyDescent="0.25">
      <c r="A20" s="631"/>
      <c r="B20" s="633"/>
      <c r="C20" s="486" t="s">
        <v>414</v>
      </c>
      <c r="D20" s="105">
        <v>573925.98112800007</v>
      </c>
      <c r="E20" s="405">
        <v>47.590903223496177</v>
      </c>
      <c r="F20" s="406">
        <v>5.5693618853753568</v>
      </c>
      <c r="G20" s="105">
        <v>605293.54815799999</v>
      </c>
      <c r="H20" s="405">
        <v>47.43379871701849</v>
      </c>
      <c r="I20" s="406">
        <v>5.4654377152171696</v>
      </c>
      <c r="J20" s="431"/>
      <c r="K20" s="106">
        <v>638282.17354199989</v>
      </c>
      <c r="L20" s="405">
        <v>46.954372338273643</v>
      </c>
      <c r="M20" s="414">
        <v>5.4500209831063406</v>
      </c>
      <c r="N20" s="105">
        <v>661966.228627</v>
      </c>
      <c r="O20" s="405">
        <v>46.583020139649875</v>
      </c>
      <c r="P20" s="406">
        <v>3.7105932245562911</v>
      </c>
      <c r="Q20" s="105">
        <v>700793.870108</v>
      </c>
      <c r="R20" s="405">
        <v>45.592179970900162</v>
      </c>
      <c r="S20" s="405">
        <v>5.8655018642768786</v>
      </c>
      <c r="T20" s="631"/>
      <c r="U20" s="633"/>
      <c r="V20" s="486" t="s">
        <v>414</v>
      </c>
      <c r="W20" s="105">
        <v>732658.09540699993</v>
      </c>
      <c r="X20" s="405">
        <v>44.311218374054498</v>
      </c>
      <c r="Y20" s="507">
        <v>4.5468755732822386</v>
      </c>
      <c r="Z20" s="105">
        <v>754336.82951699989</v>
      </c>
      <c r="AA20" s="405">
        <v>42.607336007746753</v>
      </c>
      <c r="AB20" s="406">
        <v>2.9589155222474073</v>
      </c>
      <c r="AC20" s="431"/>
      <c r="AD20" s="122">
        <v>782420.84751800017</v>
      </c>
      <c r="AE20" s="405">
        <v>42.632121189201548</v>
      </c>
      <c r="AF20" s="405">
        <v>3.7230076674079848</v>
      </c>
      <c r="AG20" s="105">
        <v>816917.63830699981</v>
      </c>
      <c r="AH20" s="484">
        <v>43.230791917408759</v>
      </c>
      <c r="AI20" s="405">
        <v>4.4089815472620142</v>
      </c>
    </row>
    <row r="21" spans="1:39" s="2" customFormat="1" ht="21.2" customHeight="1" x14ac:dyDescent="0.25">
      <c r="A21" s="631"/>
      <c r="B21" s="633"/>
      <c r="C21" s="485" t="s">
        <v>441</v>
      </c>
      <c r="D21" s="105"/>
      <c r="E21" s="405"/>
      <c r="F21" s="406"/>
      <c r="G21" s="105"/>
      <c r="H21" s="405"/>
      <c r="I21" s="406"/>
      <c r="J21" s="431"/>
      <c r="K21" s="405"/>
      <c r="L21" s="405"/>
      <c r="M21" s="406"/>
      <c r="N21" s="105"/>
      <c r="O21" s="405"/>
      <c r="P21" s="406"/>
      <c r="Q21" s="105"/>
      <c r="R21" s="405"/>
      <c r="S21" s="405"/>
      <c r="T21" s="631"/>
      <c r="U21" s="633"/>
      <c r="V21" s="485" t="s">
        <v>441</v>
      </c>
      <c r="W21" s="105"/>
      <c r="X21" s="405"/>
      <c r="Y21" s="507"/>
      <c r="Z21" s="105"/>
      <c r="AA21" s="405"/>
      <c r="AB21" s="406"/>
      <c r="AC21" s="431"/>
      <c r="AD21" s="122"/>
      <c r="AE21" s="405"/>
      <c r="AF21" s="405"/>
      <c r="AG21" s="105"/>
      <c r="AH21" s="405"/>
      <c r="AI21" s="405"/>
    </row>
    <row r="22" spans="1:39" s="2" customFormat="1" ht="21.2" customHeight="1" x14ac:dyDescent="0.25">
      <c r="A22" s="631"/>
      <c r="B22" s="633"/>
      <c r="C22" s="404" t="s">
        <v>262</v>
      </c>
      <c r="D22" s="105">
        <v>526319.4000213393</v>
      </c>
      <c r="E22" s="405">
        <v>43.643285815070612</v>
      </c>
      <c r="F22" s="406">
        <v>6.0272937374912239</v>
      </c>
      <c r="G22" s="105">
        <v>556276.76038200001</v>
      </c>
      <c r="H22" s="405">
        <v>43.592600587289404</v>
      </c>
      <c r="I22" s="406">
        <v>5.6918594221391228</v>
      </c>
      <c r="J22" s="431"/>
      <c r="K22" s="122">
        <v>592505.537549</v>
      </c>
      <c r="L22" s="405">
        <v>43.586875485147914</v>
      </c>
      <c r="M22" s="414">
        <v>6.5127252740383001</v>
      </c>
      <c r="N22" s="105">
        <v>617871.06094799994</v>
      </c>
      <c r="O22" s="405">
        <v>43.480012772774792</v>
      </c>
      <c r="P22" s="406">
        <v>4.2810609844979197</v>
      </c>
      <c r="Q22" s="105">
        <v>655507.52801300003</v>
      </c>
      <c r="R22" s="405">
        <v>42.645945497272706</v>
      </c>
      <c r="S22" s="405">
        <v>6.0913141015626282</v>
      </c>
      <c r="T22" s="631"/>
      <c r="U22" s="633"/>
      <c r="V22" s="404" t="s">
        <v>262</v>
      </c>
      <c r="W22" s="105">
        <v>667236.3497599999</v>
      </c>
      <c r="X22" s="405">
        <v>40.354506128671211</v>
      </c>
      <c r="Y22" s="507">
        <v>1.7892733867683752</v>
      </c>
      <c r="Z22" s="105">
        <v>703126.39423099998</v>
      </c>
      <c r="AA22" s="405">
        <v>39.714808243020407</v>
      </c>
      <c r="AB22" s="406">
        <v>5.3789102592970872</v>
      </c>
      <c r="AC22" s="431"/>
      <c r="AD22" s="122">
        <v>770117.54905199993</v>
      </c>
      <c r="AE22" s="405">
        <v>41.961745760308879</v>
      </c>
      <c r="AF22" s="405">
        <v>9.5276120155135544</v>
      </c>
      <c r="AG22" s="105">
        <v>808683.19955200003</v>
      </c>
      <c r="AH22" s="484">
        <v>42.795030352617736</v>
      </c>
      <c r="AI22" s="405">
        <v>5.0077615485419891</v>
      </c>
      <c r="AL22" s="285"/>
    </row>
    <row r="23" spans="1:39" s="2" customFormat="1" ht="21.2" customHeight="1" x14ac:dyDescent="0.25">
      <c r="A23" s="631"/>
      <c r="B23" s="633"/>
      <c r="C23" s="404" t="s">
        <v>313</v>
      </c>
      <c r="D23" s="105"/>
      <c r="E23" s="405"/>
      <c r="F23" s="406"/>
      <c r="G23" s="105"/>
      <c r="H23" s="405"/>
      <c r="I23" s="406"/>
      <c r="J23" s="431"/>
      <c r="K23" s="405"/>
      <c r="L23" s="405"/>
      <c r="M23" s="406"/>
      <c r="N23" s="105"/>
      <c r="O23" s="405"/>
      <c r="P23" s="406"/>
      <c r="Q23" s="105"/>
      <c r="R23" s="405"/>
      <c r="S23" s="405"/>
      <c r="T23" s="631"/>
      <c r="U23" s="633"/>
      <c r="V23" s="404" t="s">
        <v>230</v>
      </c>
      <c r="W23" s="105"/>
      <c r="X23" s="405"/>
      <c r="Y23" s="507"/>
      <c r="Z23" s="105"/>
      <c r="AA23" s="405"/>
      <c r="AB23" s="406"/>
      <c r="AC23" s="431"/>
      <c r="AD23" s="122"/>
      <c r="AE23" s="405"/>
      <c r="AF23" s="405"/>
      <c r="AG23" s="105"/>
      <c r="AH23" s="405"/>
      <c r="AI23" s="405"/>
    </row>
    <row r="24" spans="1:39" s="2" customFormat="1" ht="21.2" customHeight="1" x14ac:dyDescent="0.25">
      <c r="A24" s="631"/>
      <c r="B24" s="633"/>
      <c r="C24" s="486" t="s">
        <v>421</v>
      </c>
      <c r="D24" s="105">
        <v>445481.69800179778</v>
      </c>
      <c r="E24" s="405">
        <v>36.940088224920373</v>
      </c>
      <c r="F24" s="406">
        <v>4.0440399211967293</v>
      </c>
      <c r="G24" s="105">
        <v>481437.39218999998</v>
      </c>
      <c r="H24" s="405">
        <v>37.727817230964035</v>
      </c>
      <c r="I24" s="406">
        <v>8.0711944731918237</v>
      </c>
      <c r="J24" s="431"/>
      <c r="K24" s="106">
        <v>509580.99535099999</v>
      </c>
      <c r="L24" s="405">
        <v>37.486642717031025</v>
      </c>
      <c r="M24" s="414">
        <v>5.8457451825622009</v>
      </c>
      <c r="N24" s="105">
        <v>539543.48336099996</v>
      </c>
      <c r="O24" s="405">
        <v>37.968047106802466</v>
      </c>
      <c r="P24" s="406">
        <v>5.8798283851543065</v>
      </c>
      <c r="Q24" s="105">
        <v>568136.33415500005</v>
      </c>
      <c r="R24" s="405">
        <v>36.961758799075064</v>
      </c>
      <c r="S24" s="405">
        <v>5.2994525327014319</v>
      </c>
      <c r="T24" s="631"/>
      <c r="U24" s="633"/>
      <c r="V24" s="486" t="s">
        <v>421</v>
      </c>
      <c r="W24" s="105">
        <v>575667.72056499997</v>
      </c>
      <c r="X24" s="405">
        <v>34.816428340533946</v>
      </c>
      <c r="Y24" s="507">
        <v>1.3256301273534055</v>
      </c>
      <c r="Z24" s="105">
        <v>618205.48086000001</v>
      </c>
      <c r="AA24" s="405">
        <v>34.91820578573391</v>
      </c>
      <c r="AB24" s="406">
        <v>7.3892905187128655</v>
      </c>
      <c r="AC24" s="431"/>
      <c r="AD24" s="122">
        <v>663264.55498499994</v>
      </c>
      <c r="AE24" s="405">
        <v>36.139597990417592</v>
      </c>
      <c r="AF24" s="405">
        <v>7.2886888777364378</v>
      </c>
      <c r="AG24" s="105">
        <v>703614.69786800002</v>
      </c>
      <c r="AH24" s="484">
        <v>37.234868201157433</v>
      </c>
      <c r="AI24" s="405">
        <v>6.0835668934415832</v>
      </c>
      <c r="AL24" s="285"/>
    </row>
    <row r="25" spans="1:39" s="2" customFormat="1" ht="21.2" customHeight="1" x14ac:dyDescent="0.25">
      <c r="A25" s="631"/>
      <c r="B25" s="633"/>
      <c r="C25" s="164" t="s">
        <v>71</v>
      </c>
      <c r="D25" s="105"/>
      <c r="E25" s="405"/>
      <c r="F25" s="406"/>
      <c r="G25" s="105"/>
      <c r="H25" s="405"/>
      <c r="I25" s="406"/>
      <c r="J25" s="431"/>
      <c r="K25" s="106"/>
      <c r="L25" s="405"/>
      <c r="M25" s="406"/>
      <c r="N25" s="105"/>
      <c r="O25" s="405"/>
      <c r="P25" s="406"/>
      <c r="Q25" s="105"/>
      <c r="R25" s="405"/>
      <c r="S25" s="405"/>
      <c r="T25" s="631"/>
      <c r="U25" s="633"/>
      <c r="V25" s="164" t="s">
        <v>71</v>
      </c>
      <c r="W25" s="105"/>
      <c r="X25" s="405"/>
      <c r="Y25" s="507"/>
      <c r="Z25" s="105"/>
      <c r="AA25" s="405"/>
      <c r="AB25" s="406"/>
      <c r="AC25" s="431"/>
      <c r="AD25" s="122"/>
      <c r="AE25" s="405"/>
      <c r="AF25" s="405"/>
      <c r="AG25" s="105"/>
      <c r="AH25" s="405"/>
      <c r="AI25" s="405"/>
    </row>
    <row r="26" spans="1:39" ht="21.2" customHeight="1" x14ac:dyDescent="0.25">
      <c r="A26" s="631"/>
      <c r="B26" s="633"/>
      <c r="C26" s="416" t="s">
        <v>247</v>
      </c>
      <c r="D26" s="105">
        <v>71717.367754426945</v>
      </c>
      <c r="E26" s="405">
        <v>5.9469242035997167</v>
      </c>
      <c r="F26" s="406">
        <v>20.477367184802308</v>
      </c>
      <c r="G26" s="105">
        <v>65754.665598000007</v>
      </c>
      <c r="H26" s="405">
        <v>5.152861090576569</v>
      </c>
      <c r="I26" s="406">
        <v>-8.3141676042047372</v>
      </c>
      <c r="J26" s="431"/>
      <c r="K26" s="106">
        <v>73477.505974</v>
      </c>
      <c r="L26" s="405">
        <v>5.4052742141386165</v>
      </c>
      <c r="M26" s="414">
        <v>11.744931414014959</v>
      </c>
      <c r="N26" s="105">
        <v>67954.721680999995</v>
      </c>
      <c r="O26" s="405">
        <v>4.7820206405635517</v>
      </c>
      <c r="P26" s="406">
        <v>-7.5162925303347112</v>
      </c>
      <c r="Q26" s="105">
        <v>76195.645946000004</v>
      </c>
      <c r="R26" s="405">
        <v>4.9571289806425556</v>
      </c>
      <c r="S26" s="405">
        <v>12.127081181621779</v>
      </c>
      <c r="T26" s="631"/>
      <c r="U26" s="633"/>
      <c r="V26" s="416" t="s">
        <v>247</v>
      </c>
      <c r="W26" s="105">
        <v>79292.200799000013</v>
      </c>
      <c r="X26" s="405">
        <v>4.7955984476115825</v>
      </c>
      <c r="Y26" s="507">
        <v>4.0639524930263571</v>
      </c>
      <c r="Z26" s="105">
        <v>72598.937955000001</v>
      </c>
      <c r="AA26" s="405">
        <v>4.1006182148561452</v>
      </c>
      <c r="AB26" s="406">
        <v>-8.4412625410246189</v>
      </c>
      <c r="AC26" s="431"/>
      <c r="AD26" s="122">
        <v>92853.573113000006</v>
      </c>
      <c r="AE26" s="405">
        <v>5.059354942242555</v>
      </c>
      <c r="AF26" s="405">
        <v>27.899354630441998</v>
      </c>
      <c r="AG26" s="105">
        <v>89899.913541999995</v>
      </c>
      <c r="AH26" s="484">
        <v>4.7574495560918511</v>
      </c>
      <c r="AI26" s="405">
        <v>-3.1809864413138933</v>
      </c>
      <c r="AL26" s="285"/>
    </row>
    <row r="27" spans="1:39" ht="31.9" customHeight="1" x14ac:dyDescent="0.25">
      <c r="A27" s="631"/>
      <c r="B27" s="633"/>
      <c r="C27" s="508" t="s">
        <v>221</v>
      </c>
      <c r="D27" s="105"/>
      <c r="E27" s="405"/>
      <c r="F27" s="406"/>
      <c r="G27" s="105"/>
      <c r="H27" s="405"/>
      <c r="I27" s="406"/>
      <c r="J27" s="431"/>
      <c r="K27" s="106"/>
      <c r="L27" s="405"/>
      <c r="M27" s="406"/>
      <c r="N27" s="105"/>
      <c r="O27" s="405"/>
      <c r="P27" s="406"/>
      <c r="Q27" s="105"/>
      <c r="R27" s="405"/>
      <c r="S27" s="405"/>
      <c r="T27" s="631"/>
      <c r="U27" s="633"/>
      <c r="V27" s="508" t="s">
        <v>218</v>
      </c>
      <c r="W27" s="105"/>
      <c r="X27" s="405"/>
      <c r="Y27" s="507"/>
      <c r="Z27" s="105"/>
      <c r="AA27" s="405"/>
      <c r="AB27" s="406"/>
      <c r="AC27" s="431"/>
      <c r="AD27" s="122"/>
      <c r="AE27" s="405"/>
      <c r="AF27" s="405"/>
      <c r="AG27" s="105"/>
      <c r="AH27" s="405"/>
      <c r="AI27" s="405"/>
    </row>
    <row r="28" spans="1:39" s="2" customFormat="1" ht="21.2" customHeight="1" x14ac:dyDescent="0.25">
      <c r="A28" s="631"/>
      <c r="B28" s="633"/>
      <c r="C28" s="416" t="s">
        <v>248</v>
      </c>
      <c r="D28" s="105">
        <v>9120.3342651145322</v>
      </c>
      <c r="E28" s="405">
        <v>0.7562733865505189</v>
      </c>
      <c r="F28" s="406">
        <v>4.7618824275612148</v>
      </c>
      <c r="G28" s="105">
        <v>9084.7025940000003</v>
      </c>
      <c r="H28" s="405">
        <v>0.7119222657487968</v>
      </c>
      <c r="I28" s="406">
        <v>-0.39068382889017039</v>
      </c>
      <c r="J28" s="431"/>
      <c r="K28" s="106">
        <v>9447.0362239999995</v>
      </c>
      <c r="L28" s="405">
        <v>0.69495855397826878</v>
      </c>
      <c r="M28" s="414">
        <v>3.9883928642782784</v>
      </c>
      <c r="N28" s="105">
        <v>10372.855906000001</v>
      </c>
      <c r="O28" s="405">
        <v>0.72994502540877149</v>
      </c>
      <c r="P28" s="406">
        <v>9.8001072510760068</v>
      </c>
      <c r="Q28" s="105">
        <v>11175.547912</v>
      </c>
      <c r="R28" s="405">
        <v>0.72705771755509119</v>
      </c>
      <c r="S28" s="405">
        <v>7.7383896322679613</v>
      </c>
      <c r="T28" s="631"/>
      <c r="U28" s="633"/>
      <c r="V28" s="416" t="s">
        <v>248</v>
      </c>
      <c r="W28" s="105">
        <v>12276.428395999999</v>
      </c>
      <c r="X28" s="405">
        <v>0.74247934052569287</v>
      </c>
      <c r="Y28" s="507">
        <v>9.8507965127857755</v>
      </c>
      <c r="Z28" s="105">
        <v>12321.975415999999</v>
      </c>
      <c r="AA28" s="405">
        <v>0.69598424243035772</v>
      </c>
      <c r="AB28" s="406">
        <v>0.37101197946822762</v>
      </c>
      <c r="AC28" s="431"/>
      <c r="AD28" s="122">
        <v>13999.420953999999</v>
      </c>
      <c r="AE28" s="405">
        <v>0.76279282764873557</v>
      </c>
      <c r="AF28" s="406">
        <v>13.61344655680654</v>
      </c>
      <c r="AG28" s="122">
        <v>15168.588142000001</v>
      </c>
      <c r="AH28" s="484">
        <v>0.80271259536844919</v>
      </c>
      <c r="AI28" s="405">
        <v>8.3515396232580521</v>
      </c>
      <c r="AL28" s="285"/>
    </row>
    <row r="29" spans="1:39" s="2" customFormat="1" ht="27.75" customHeight="1" x14ac:dyDescent="0.25">
      <c r="A29" s="631"/>
      <c r="B29" s="633"/>
      <c r="C29" s="508" t="s">
        <v>303</v>
      </c>
      <c r="D29" s="105"/>
      <c r="E29" s="405"/>
      <c r="F29" s="406"/>
      <c r="G29" s="105"/>
      <c r="H29" s="405"/>
      <c r="I29" s="406"/>
      <c r="J29" s="431"/>
      <c r="K29" s="405"/>
      <c r="L29" s="405"/>
      <c r="M29" s="406"/>
      <c r="N29" s="105"/>
      <c r="O29" s="405"/>
      <c r="P29" s="406"/>
      <c r="Q29" s="105"/>
      <c r="R29" s="405"/>
      <c r="S29" s="405"/>
      <c r="T29" s="631"/>
      <c r="U29" s="633"/>
      <c r="V29" s="508" t="s">
        <v>216</v>
      </c>
      <c r="W29" s="105"/>
      <c r="X29" s="405"/>
      <c r="Y29" s="418"/>
      <c r="Z29" s="431"/>
      <c r="AA29" s="405"/>
      <c r="AB29" s="406"/>
      <c r="AC29" s="431"/>
      <c r="AD29" s="405"/>
      <c r="AE29" s="405"/>
      <c r="AF29" s="406"/>
      <c r="AG29" s="405"/>
      <c r="AH29" s="405"/>
      <c r="AI29" s="405"/>
    </row>
    <row r="30" spans="1:39" s="6" customFormat="1" ht="4.1500000000000004" customHeight="1" x14ac:dyDescent="0.25">
      <c r="A30" s="488"/>
      <c r="B30" s="489"/>
      <c r="C30" s="427"/>
      <c r="D30" s="112"/>
      <c r="E30" s="429"/>
      <c r="F30" s="430"/>
      <c r="G30" s="112"/>
      <c r="H30" s="429"/>
      <c r="I30" s="430"/>
      <c r="J30" s="431"/>
      <c r="K30" s="429"/>
      <c r="L30" s="429"/>
      <c r="M30" s="430"/>
      <c r="N30" s="112"/>
      <c r="O30" s="429"/>
      <c r="P30" s="429"/>
      <c r="Q30" s="112"/>
      <c r="R30" s="429"/>
      <c r="S30" s="429"/>
      <c r="T30" s="488"/>
      <c r="U30" s="489"/>
      <c r="V30" s="427"/>
      <c r="W30" s="112"/>
      <c r="X30" s="429"/>
      <c r="Y30" s="430"/>
      <c r="Z30" s="112"/>
      <c r="AA30" s="429"/>
      <c r="AB30" s="430"/>
      <c r="AC30" s="431"/>
      <c r="AD30" s="123"/>
      <c r="AE30" s="429"/>
      <c r="AF30" s="430"/>
      <c r="AG30" s="123"/>
      <c r="AH30" s="429"/>
      <c r="AI30" s="429"/>
    </row>
    <row r="31" spans="1:39" ht="4.1500000000000004" customHeight="1" x14ac:dyDescent="0.25">
      <c r="A31" s="402"/>
      <c r="B31" s="403"/>
      <c r="C31" s="404"/>
      <c r="D31" s="105"/>
      <c r="E31" s="405"/>
      <c r="F31" s="406"/>
      <c r="G31" s="105"/>
      <c r="H31" s="405"/>
      <c r="I31" s="406"/>
      <c r="J31" s="431"/>
      <c r="K31" s="405"/>
      <c r="L31" s="405"/>
      <c r="M31" s="406"/>
      <c r="N31" s="105"/>
      <c r="O31" s="405"/>
      <c r="P31" s="405"/>
      <c r="Q31" s="105"/>
      <c r="R31" s="405"/>
      <c r="S31" s="405"/>
      <c r="T31" s="402"/>
      <c r="U31" s="403"/>
      <c r="V31" s="404"/>
      <c r="W31" s="105"/>
      <c r="X31" s="405"/>
      <c r="Y31" s="406"/>
      <c r="Z31" s="105"/>
      <c r="AA31" s="405"/>
      <c r="AB31" s="406"/>
      <c r="AC31" s="431"/>
      <c r="AD31" s="122"/>
      <c r="AE31" s="405"/>
      <c r="AF31" s="406"/>
      <c r="AG31" s="122"/>
      <c r="AH31" s="405"/>
      <c r="AI31" s="405"/>
    </row>
    <row r="32" spans="1:39" ht="21.2" customHeight="1" x14ac:dyDescent="0.25">
      <c r="A32" s="631" t="s">
        <v>300</v>
      </c>
      <c r="B32" s="633" t="s">
        <v>231</v>
      </c>
      <c r="C32" s="407" t="s">
        <v>246</v>
      </c>
      <c r="D32" s="153">
        <v>1205957.3201053394</v>
      </c>
      <c r="E32" s="411">
        <v>100</v>
      </c>
      <c r="F32" s="410">
        <v>5.2410828621579864</v>
      </c>
      <c r="G32" s="153">
        <v>1276080.694631</v>
      </c>
      <c r="H32" s="411">
        <v>100</v>
      </c>
      <c r="I32" s="410">
        <v>5.8147476164028298</v>
      </c>
      <c r="J32" s="506"/>
      <c r="K32" s="153">
        <v>1359366.8528750001</v>
      </c>
      <c r="L32" s="411">
        <v>100</v>
      </c>
      <c r="M32" s="410">
        <v>6.5267156375313409</v>
      </c>
      <c r="N32" s="153">
        <v>1421046.180867</v>
      </c>
      <c r="O32" s="411">
        <v>100</v>
      </c>
      <c r="P32" s="410">
        <v>4.5373570689583094</v>
      </c>
      <c r="Q32" s="124">
        <v>1537092.2613380002</v>
      </c>
      <c r="R32" s="411">
        <v>100</v>
      </c>
      <c r="S32" s="411">
        <v>8.1662427325337763</v>
      </c>
      <c r="T32" s="631" t="s">
        <v>300</v>
      </c>
      <c r="U32" s="633" t="s">
        <v>231</v>
      </c>
      <c r="V32" s="407" t="s">
        <v>246</v>
      </c>
      <c r="W32" s="124">
        <v>1653437.0353400002</v>
      </c>
      <c r="X32" s="411">
        <v>100</v>
      </c>
      <c r="Y32" s="130">
        <v>7.5691470790910653</v>
      </c>
      <c r="Z32" s="124">
        <v>1770438.8497319999</v>
      </c>
      <c r="AA32" s="411">
        <v>100</v>
      </c>
      <c r="AB32" s="410">
        <v>7.0762787993278735</v>
      </c>
      <c r="AC32" s="506"/>
      <c r="AD32" s="153">
        <v>1835284.8173929998</v>
      </c>
      <c r="AE32" s="411">
        <v>100</v>
      </c>
      <c r="AF32" s="410">
        <v>3.6627058692716652</v>
      </c>
      <c r="AG32" s="153">
        <v>1889666.1432149997</v>
      </c>
      <c r="AH32" s="411">
        <v>100</v>
      </c>
      <c r="AI32" s="411">
        <v>2.9631000761640935</v>
      </c>
      <c r="AK32" s="323"/>
      <c r="AL32" s="285"/>
      <c r="AM32" s="285"/>
    </row>
    <row r="33" spans="1:38" ht="21.2" customHeight="1" x14ac:dyDescent="0.25">
      <c r="A33" s="631"/>
      <c r="B33" s="633"/>
      <c r="C33" s="407" t="s">
        <v>14</v>
      </c>
      <c r="D33" s="105"/>
      <c r="E33" s="405"/>
      <c r="F33" s="406"/>
      <c r="G33" s="105"/>
      <c r="H33" s="405"/>
      <c r="I33" s="406"/>
      <c r="J33" s="431"/>
      <c r="K33" s="405"/>
      <c r="L33" s="405"/>
      <c r="M33" s="406"/>
      <c r="N33" s="105"/>
      <c r="O33" s="405"/>
      <c r="P33" s="406"/>
      <c r="Q33" s="105"/>
      <c r="R33" s="405"/>
      <c r="S33" s="405"/>
      <c r="T33" s="631"/>
      <c r="U33" s="633"/>
      <c r="V33" s="407" t="s">
        <v>14</v>
      </c>
      <c r="W33" s="105"/>
      <c r="X33" s="405"/>
      <c r="Y33" s="418"/>
      <c r="Z33" s="105"/>
      <c r="AA33" s="405"/>
      <c r="AB33" s="406"/>
      <c r="AC33" s="431"/>
      <c r="AD33" s="122"/>
      <c r="AE33" s="405"/>
      <c r="AF33" s="406"/>
      <c r="AG33" s="122"/>
      <c r="AH33" s="405"/>
      <c r="AI33" s="405"/>
    </row>
    <row r="34" spans="1:38" ht="21.2" customHeight="1" x14ac:dyDescent="0.25">
      <c r="A34" s="631"/>
      <c r="B34" s="633"/>
      <c r="C34" s="435" t="s">
        <v>437</v>
      </c>
      <c r="D34" s="105">
        <v>71999.452594896575</v>
      </c>
      <c r="E34" s="405">
        <v>5.970315150838629</v>
      </c>
      <c r="F34" s="406">
        <v>-4.2303090972424133</v>
      </c>
      <c r="G34" s="105">
        <v>74854.539116</v>
      </c>
      <c r="H34" s="405">
        <v>5.8659722250280915</v>
      </c>
      <c r="I34" s="406">
        <v>3.9654280945266462</v>
      </c>
      <c r="J34" s="431"/>
      <c r="K34" s="106">
        <v>75734.182126</v>
      </c>
      <c r="L34" s="405">
        <v>5.5712835696872851</v>
      </c>
      <c r="M34" s="414">
        <v>1.1751364985854051</v>
      </c>
      <c r="N34" s="105">
        <v>72527.244716999994</v>
      </c>
      <c r="O34" s="405">
        <v>5.1037922407806695</v>
      </c>
      <c r="P34" s="406">
        <v>-4.2344649654558637</v>
      </c>
      <c r="Q34" s="105">
        <v>85375.022364000004</v>
      </c>
      <c r="R34" s="405">
        <v>5.5543199657828737</v>
      </c>
      <c r="S34" s="405">
        <v>17.714415730435928</v>
      </c>
      <c r="T34" s="631"/>
      <c r="U34" s="633"/>
      <c r="V34" s="435" t="s">
        <v>437</v>
      </c>
      <c r="W34" s="105">
        <v>105888.07804099999</v>
      </c>
      <c r="X34" s="405">
        <v>6.4041191637651913</v>
      </c>
      <c r="Y34" s="507">
        <v>24.026998891481057</v>
      </c>
      <c r="Z34" s="105">
        <v>181449.702104</v>
      </c>
      <c r="AA34" s="405">
        <v>10.24885452166094</v>
      </c>
      <c r="AB34" s="406">
        <v>71.359897602204541</v>
      </c>
      <c r="AC34" s="431"/>
      <c r="AD34" s="122">
        <v>170470.645532</v>
      </c>
      <c r="AE34" s="405">
        <v>9.2885117294301747</v>
      </c>
      <c r="AF34" s="406">
        <v>-6.0507437844715906</v>
      </c>
      <c r="AG34" s="122">
        <v>138416.7072814976</v>
      </c>
      <c r="AH34" s="484">
        <v>7.3249292092412235</v>
      </c>
      <c r="AI34" s="405">
        <v>-18.803201073398512</v>
      </c>
      <c r="AL34" s="285"/>
    </row>
    <row r="35" spans="1:38" ht="21.2" customHeight="1" x14ac:dyDescent="0.25">
      <c r="A35" s="631"/>
      <c r="B35" s="633"/>
      <c r="C35" s="437" t="s">
        <v>440</v>
      </c>
      <c r="D35" s="105"/>
      <c r="E35" s="405"/>
      <c r="F35" s="406"/>
      <c r="G35" s="105"/>
      <c r="H35" s="405"/>
      <c r="I35" s="406"/>
      <c r="J35" s="431"/>
      <c r="K35" s="106"/>
      <c r="L35" s="405"/>
      <c r="M35" s="406"/>
      <c r="N35" s="105"/>
      <c r="O35" s="405"/>
      <c r="P35" s="406"/>
      <c r="Q35" s="105"/>
      <c r="R35" s="405"/>
      <c r="S35" s="405"/>
      <c r="T35" s="631"/>
      <c r="U35" s="633"/>
      <c r="V35" s="437" t="s">
        <v>440</v>
      </c>
      <c r="W35" s="105"/>
      <c r="X35" s="405"/>
      <c r="Y35" s="507"/>
      <c r="Z35" s="105"/>
      <c r="AA35" s="405"/>
      <c r="AB35" s="406"/>
      <c r="AC35" s="431"/>
      <c r="AD35" s="122"/>
      <c r="AE35" s="405"/>
      <c r="AF35" s="406"/>
      <c r="AG35" s="122"/>
      <c r="AH35" s="405"/>
      <c r="AI35" s="405"/>
    </row>
    <row r="36" spans="1:38" ht="21.2" customHeight="1" x14ac:dyDescent="0.25">
      <c r="A36" s="631"/>
      <c r="B36" s="633"/>
      <c r="C36" s="404" t="s">
        <v>263</v>
      </c>
      <c r="D36" s="105">
        <v>1046888.8357662547</v>
      </c>
      <c r="E36" s="405">
        <v>86.809774965735087</v>
      </c>
      <c r="F36" s="406">
        <v>4.9491466991587574</v>
      </c>
      <c r="G36" s="105">
        <v>1118271.7087339999</v>
      </c>
      <c r="H36" s="405">
        <v>87.63330668969698</v>
      </c>
      <c r="I36" s="406">
        <v>6.8185723764546236</v>
      </c>
      <c r="J36" s="431"/>
      <c r="K36" s="106">
        <v>1188504.761226</v>
      </c>
      <c r="L36" s="405">
        <v>87.430759306243615</v>
      </c>
      <c r="M36" s="414">
        <v>6.2804998054999839</v>
      </c>
      <c r="N36" s="105">
        <v>1257847.7806209999</v>
      </c>
      <c r="O36" s="405">
        <v>88.515615998740415</v>
      </c>
      <c r="P36" s="406">
        <v>5.8344755239742696</v>
      </c>
      <c r="Q36" s="105">
        <v>1347927.452545</v>
      </c>
      <c r="R36" s="405">
        <v>87.693334125022744</v>
      </c>
      <c r="S36" s="405">
        <v>7.161412796668265</v>
      </c>
      <c r="T36" s="631"/>
      <c r="U36" s="633"/>
      <c r="V36" s="404" t="s">
        <v>263</v>
      </c>
      <c r="W36" s="105">
        <v>1443072.7140810001</v>
      </c>
      <c r="X36" s="405">
        <v>87.277149551948781</v>
      </c>
      <c r="Y36" s="507">
        <v>7.058633708836326</v>
      </c>
      <c r="Z36" s="105">
        <v>1485775.421659</v>
      </c>
      <c r="AA36" s="405">
        <v>83.921306962051204</v>
      </c>
      <c r="AB36" s="406">
        <v>2.9591514801244445</v>
      </c>
      <c r="AC36" s="431"/>
      <c r="AD36" s="122">
        <v>1539929.5917139999</v>
      </c>
      <c r="AE36" s="405">
        <v>83.9068452547573</v>
      </c>
      <c r="AF36" s="406">
        <v>3.6448422329218522</v>
      </c>
      <c r="AG36" s="122">
        <v>1625684.0858975023</v>
      </c>
      <c r="AH36" s="484">
        <v>86.030227706341321</v>
      </c>
      <c r="AI36" s="405">
        <v>5.5687282486762468</v>
      </c>
      <c r="AL36" s="285"/>
    </row>
    <row r="37" spans="1:38" ht="21.2" customHeight="1" x14ac:dyDescent="0.25">
      <c r="A37" s="631"/>
      <c r="B37" s="633"/>
      <c r="C37" s="404" t="s">
        <v>232</v>
      </c>
      <c r="D37" s="105"/>
      <c r="E37" s="405"/>
      <c r="F37" s="406"/>
      <c r="G37" s="444"/>
      <c r="H37" s="405"/>
      <c r="I37" s="406"/>
      <c r="J37" s="431"/>
      <c r="K37" s="106"/>
      <c r="L37" s="405"/>
      <c r="M37" s="406"/>
      <c r="N37" s="105"/>
      <c r="O37" s="405"/>
      <c r="P37" s="405"/>
      <c r="Q37" s="105"/>
      <c r="R37" s="405"/>
      <c r="S37" s="405"/>
      <c r="T37" s="631"/>
      <c r="U37" s="633"/>
      <c r="V37" s="404" t="s">
        <v>232</v>
      </c>
      <c r="W37" s="105"/>
      <c r="X37" s="405"/>
      <c r="Y37" s="507"/>
      <c r="Z37" s="105"/>
      <c r="AA37" s="405"/>
      <c r="AB37" s="406"/>
      <c r="AC37" s="431"/>
      <c r="AD37" s="122"/>
      <c r="AE37" s="405"/>
      <c r="AF37" s="406"/>
      <c r="AG37" s="122"/>
      <c r="AH37" s="405"/>
      <c r="AI37" s="405"/>
    </row>
    <row r="38" spans="1:38" ht="21.2" customHeight="1" x14ac:dyDescent="0.25">
      <c r="A38" s="631"/>
      <c r="B38" s="633"/>
      <c r="C38" s="404" t="s">
        <v>264</v>
      </c>
      <c r="D38" s="105">
        <v>87069.031744188105</v>
      </c>
      <c r="E38" s="405">
        <v>7.21990988342628</v>
      </c>
      <c r="F38" s="406">
        <v>18.946973767174779</v>
      </c>
      <c r="G38" s="105">
        <v>82954.446781000006</v>
      </c>
      <c r="H38" s="405">
        <v>6.5007210852749147</v>
      </c>
      <c r="I38" s="406">
        <v>-4.7256583434588944</v>
      </c>
      <c r="J38" s="431"/>
      <c r="K38" s="106">
        <v>95127.909523000009</v>
      </c>
      <c r="L38" s="405">
        <v>6.997957124069103</v>
      </c>
      <c r="M38" s="414">
        <v>14.674876651444603</v>
      </c>
      <c r="N38" s="105">
        <v>90671.155528999996</v>
      </c>
      <c r="O38" s="405">
        <v>6.3805917604789073</v>
      </c>
      <c r="P38" s="406">
        <v>-4.6850120183945183</v>
      </c>
      <c r="Q38" s="105">
        <v>103789.786429</v>
      </c>
      <c r="R38" s="405">
        <v>6.7523459091943909</v>
      </c>
      <c r="S38" s="405">
        <v>14.468361877007485</v>
      </c>
      <c r="T38" s="631"/>
      <c r="U38" s="633"/>
      <c r="V38" s="404" t="s">
        <v>264</v>
      </c>
      <c r="W38" s="105">
        <v>104476.243218</v>
      </c>
      <c r="X38" s="405">
        <v>6.3187312842860273</v>
      </c>
      <c r="Y38" s="507">
        <v>0.66139146501624779</v>
      </c>
      <c r="Z38" s="105">
        <v>103213.72596900001</v>
      </c>
      <c r="AA38" s="405">
        <v>5.8298385162878672</v>
      </c>
      <c r="AB38" s="406">
        <v>-1.2084251980286398</v>
      </c>
      <c r="AC38" s="431"/>
      <c r="AD38" s="122">
        <v>124884.580147</v>
      </c>
      <c r="AE38" s="405">
        <v>6.8046430158125002</v>
      </c>
      <c r="AF38" s="406">
        <v>20.996097151369941</v>
      </c>
      <c r="AG38" s="122">
        <v>125565.35003599999</v>
      </c>
      <c r="AH38" s="484">
        <v>6.6448430844174569</v>
      </c>
      <c r="AI38" s="405">
        <v>0.54511925187132881</v>
      </c>
      <c r="AL38" s="285"/>
    </row>
    <row r="39" spans="1:38" ht="21.2" customHeight="1" x14ac:dyDescent="0.25">
      <c r="A39" s="631"/>
      <c r="B39" s="633"/>
      <c r="C39" s="404" t="s">
        <v>40</v>
      </c>
      <c r="D39" s="105"/>
      <c r="E39" s="405"/>
      <c r="F39" s="406"/>
      <c r="G39" s="105"/>
      <c r="H39" s="405"/>
      <c r="I39" s="406"/>
      <c r="J39" s="431"/>
      <c r="K39" s="405"/>
      <c r="L39" s="405"/>
      <c r="M39" s="406"/>
      <c r="N39" s="105"/>
      <c r="O39" s="405"/>
      <c r="P39" s="405"/>
      <c r="Q39" s="105"/>
      <c r="R39" s="405"/>
      <c r="S39" s="405"/>
      <c r="T39" s="631"/>
      <c r="U39" s="633"/>
      <c r="V39" s="404" t="s">
        <v>40</v>
      </c>
      <c r="W39" s="105"/>
      <c r="X39" s="405"/>
      <c r="Y39" s="507"/>
      <c r="Z39" s="105"/>
      <c r="AA39" s="405"/>
      <c r="AB39" s="406"/>
      <c r="AC39" s="431"/>
      <c r="AD39" s="122"/>
      <c r="AE39" s="405"/>
      <c r="AF39" s="406"/>
      <c r="AG39" s="122"/>
      <c r="AH39" s="405"/>
      <c r="AI39" s="405"/>
    </row>
    <row r="40" spans="1:38" ht="4.9000000000000004" customHeight="1" x14ac:dyDescent="0.25">
      <c r="A40" s="438"/>
      <c r="B40" s="439"/>
      <c r="C40" s="439"/>
      <c r="D40" s="441"/>
      <c r="E40" s="108"/>
      <c r="F40" s="493"/>
      <c r="G40" s="441"/>
      <c r="H40" s="108"/>
      <c r="I40" s="493"/>
      <c r="J40" s="509"/>
      <c r="K40" s="495"/>
      <c r="L40" s="495"/>
      <c r="M40" s="493"/>
      <c r="N40" s="510"/>
      <c r="O40" s="511"/>
      <c r="P40" s="511"/>
      <c r="Q40" s="510"/>
      <c r="R40" s="511"/>
      <c r="S40" s="429"/>
      <c r="T40" s="438"/>
      <c r="U40" s="439"/>
      <c r="V40" s="439"/>
      <c r="W40" s="441"/>
      <c r="X40" s="108"/>
      <c r="Y40" s="512"/>
      <c r="Z40" s="441"/>
      <c r="AA40" s="108"/>
      <c r="AB40" s="493"/>
      <c r="AC40" s="509"/>
      <c r="AD40" s="442"/>
      <c r="AE40" s="108"/>
      <c r="AF40" s="493"/>
      <c r="AG40" s="511"/>
      <c r="AH40" s="511"/>
      <c r="AI40" s="511"/>
    </row>
    <row r="41" spans="1:38" s="5" customFormat="1" ht="13.15" customHeight="1" x14ac:dyDescent="0.25">
      <c r="A41" s="496" t="s">
        <v>459</v>
      </c>
      <c r="B41" s="496" t="s">
        <v>459</v>
      </c>
      <c r="C41" s="496"/>
      <c r="D41" s="496"/>
      <c r="E41" s="497"/>
      <c r="F41" s="496"/>
      <c r="G41" s="498"/>
      <c r="H41" s="496"/>
      <c r="I41" s="497"/>
      <c r="J41" s="498"/>
      <c r="K41" s="496" t="s">
        <v>297</v>
      </c>
      <c r="L41" s="496"/>
      <c r="M41" s="498"/>
      <c r="N41" s="496"/>
      <c r="O41" s="496"/>
      <c r="P41" s="498"/>
      <c r="Q41" s="496"/>
      <c r="R41" s="496"/>
      <c r="S41" s="499"/>
      <c r="T41" s="496" t="s">
        <v>459</v>
      </c>
      <c r="U41" s="496"/>
      <c r="V41" s="497"/>
      <c r="W41" s="496"/>
      <c r="X41" s="513"/>
      <c r="Y41" s="514"/>
      <c r="Z41" s="497"/>
      <c r="AA41" s="497"/>
      <c r="AB41" s="497"/>
      <c r="AC41" s="497"/>
      <c r="AD41" s="496" t="s">
        <v>297</v>
      </c>
      <c r="AE41" s="498"/>
      <c r="AF41" s="496"/>
      <c r="AG41" s="496"/>
      <c r="AH41" s="496"/>
      <c r="AI41" s="496"/>
    </row>
    <row r="42" spans="1:38" s="5" customFormat="1" ht="14.25" x14ac:dyDescent="0.25">
      <c r="A42" s="496" t="s">
        <v>508</v>
      </c>
      <c r="B42" s="496" t="s">
        <v>460</v>
      </c>
      <c r="C42" s="496"/>
      <c r="D42" s="496"/>
      <c r="E42" s="497"/>
      <c r="F42" s="496"/>
      <c r="G42" s="499"/>
      <c r="H42" s="496"/>
      <c r="I42" s="497"/>
      <c r="J42" s="498"/>
      <c r="K42" s="496" t="s">
        <v>309</v>
      </c>
      <c r="L42" s="496"/>
      <c r="M42" s="498"/>
      <c r="N42" s="496"/>
      <c r="O42" s="496"/>
      <c r="P42" s="498"/>
      <c r="Q42" s="496"/>
      <c r="R42" s="496"/>
      <c r="S42" s="499"/>
      <c r="T42" s="496" t="s">
        <v>460</v>
      </c>
      <c r="U42" s="496"/>
      <c r="V42" s="497"/>
      <c r="W42" s="496"/>
      <c r="X42" s="499"/>
      <c r="Y42" s="497"/>
      <c r="Z42" s="497"/>
      <c r="AA42" s="497"/>
      <c r="AB42" s="497"/>
      <c r="AC42" s="497"/>
      <c r="AD42" s="496" t="s">
        <v>309</v>
      </c>
      <c r="AE42" s="499"/>
      <c r="AF42" s="496"/>
      <c r="AG42" s="496"/>
      <c r="AH42" s="496"/>
      <c r="AI42" s="496"/>
    </row>
    <row r="43" spans="1:38" s="5" customFormat="1" ht="14.25" x14ac:dyDescent="0.25">
      <c r="A43" s="496" t="s">
        <v>509</v>
      </c>
      <c r="B43" s="496" t="s">
        <v>461</v>
      </c>
      <c r="C43" s="496"/>
      <c r="D43" s="496"/>
      <c r="E43" s="497"/>
      <c r="F43" s="496"/>
      <c r="G43" s="499"/>
      <c r="H43" s="496"/>
      <c r="I43" s="497"/>
      <c r="J43" s="498"/>
      <c r="K43" s="496" t="s">
        <v>240</v>
      </c>
      <c r="L43" s="497"/>
      <c r="M43" s="498"/>
      <c r="N43" s="496"/>
      <c r="O43" s="497"/>
      <c r="P43" s="498"/>
      <c r="Q43" s="496"/>
      <c r="R43" s="496"/>
      <c r="S43" s="499"/>
      <c r="T43" s="496" t="s">
        <v>461</v>
      </c>
      <c r="U43" s="496"/>
      <c r="V43" s="497"/>
      <c r="W43" s="496"/>
      <c r="X43" s="499"/>
      <c r="Y43" s="497"/>
      <c r="Z43" s="497"/>
      <c r="AA43" s="497"/>
      <c r="AB43" s="497"/>
      <c r="AC43" s="497"/>
      <c r="AD43" s="496" t="s">
        <v>240</v>
      </c>
      <c r="AE43" s="499"/>
      <c r="AF43" s="496"/>
      <c r="AG43" s="496"/>
      <c r="AH43" s="496"/>
      <c r="AI43" s="496"/>
    </row>
    <row r="44" spans="1:38" s="5" customFormat="1" ht="14.25" x14ac:dyDescent="0.25">
      <c r="A44" s="496" t="s">
        <v>510</v>
      </c>
      <c r="B44" s="496" t="s">
        <v>504</v>
      </c>
      <c r="C44" s="496"/>
      <c r="D44" s="496"/>
      <c r="E44" s="497"/>
      <c r="F44" s="496"/>
      <c r="G44" s="499"/>
      <c r="H44" s="496"/>
      <c r="I44" s="497"/>
      <c r="J44" s="498"/>
      <c r="K44" s="496" t="s">
        <v>241</v>
      </c>
      <c r="L44" s="497"/>
      <c r="M44" s="498"/>
      <c r="N44" s="496"/>
      <c r="O44" s="497"/>
      <c r="P44" s="498"/>
      <c r="Q44" s="496"/>
      <c r="R44" s="496"/>
      <c r="S44" s="499"/>
      <c r="T44" s="496" t="s">
        <v>504</v>
      </c>
      <c r="U44" s="496"/>
      <c r="V44" s="497"/>
      <c r="W44" s="496"/>
      <c r="X44" s="499"/>
      <c r="Y44" s="497"/>
      <c r="Z44" s="497"/>
      <c r="AA44" s="497"/>
      <c r="AB44" s="497"/>
      <c r="AC44" s="497"/>
      <c r="AD44" s="496" t="s">
        <v>241</v>
      </c>
      <c r="AE44" s="499"/>
      <c r="AF44" s="496"/>
      <c r="AG44" s="496"/>
      <c r="AH44" s="496"/>
      <c r="AI44" s="496"/>
    </row>
    <row r="45" spans="1:38" s="5" customFormat="1" ht="14.25" x14ac:dyDescent="0.25">
      <c r="A45" s="496" t="s">
        <v>511</v>
      </c>
      <c r="B45" s="496" t="s">
        <v>569</v>
      </c>
      <c r="C45" s="496"/>
      <c r="D45" s="496"/>
      <c r="E45" s="497"/>
      <c r="F45" s="496"/>
      <c r="G45" s="499"/>
      <c r="H45" s="496"/>
      <c r="I45" s="497"/>
      <c r="J45" s="498"/>
      <c r="K45" s="500" t="s">
        <v>485</v>
      </c>
      <c r="L45" s="497"/>
      <c r="M45" s="498"/>
      <c r="N45" s="496"/>
      <c r="O45" s="497"/>
      <c r="P45" s="498"/>
      <c r="Q45" s="496"/>
      <c r="R45" s="496"/>
      <c r="S45" s="499"/>
      <c r="T45" s="496" t="s">
        <v>569</v>
      </c>
      <c r="U45" s="496"/>
      <c r="V45" s="497"/>
      <c r="W45" s="496"/>
      <c r="X45" s="499"/>
      <c r="Y45" s="497"/>
      <c r="Z45" s="497"/>
      <c r="AA45" s="497"/>
      <c r="AB45" s="497"/>
      <c r="AC45" s="497"/>
      <c r="AD45" s="500" t="s">
        <v>485</v>
      </c>
      <c r="AE45" s="499"/>
      <c r="AF45" s="496"/>
      <c r="AG45" s="496"/>
      <c r="AH45" s="496"/>
      <c r="AI45" s="496"/>
    </row>
    <row r="46" spans="1:38" s="5" customFormat="1" ht="14.25" x14ac:dyDescent="0.25">
      <c r="A46" s="496" t="s">
        <v>512</v>
      </c>
      <c r="B46" s="496" t="s">
        <v>568</v>
      </c>
      <c r="C46" s="496"/>
      <c r="D46" s="496"/>
      <c r="E46" s="497"/>
      <c r="F46" s="496"/>
      <c r="G46" s="499"/>
      <c r="H46" s="496"/>
      <c r="I46" s="497"/>
      <c r="J46" s="498"/>
      <c r="K46" s="500" t="s">
        <v>395</v>
      </c>
      <c r="L46" s="497"/>
      <c r="M46" s="498"/>
      <c r="N46" s="496"/>
      <c r="O46" s="497"/>
      <c r="P46" s="498"/>
      <c r="Q46" s="496"/>
      <c r="R46" s="496"/>
      <c r="S46" s="499"/>
      <c r="T46" s="496" t="s">
        <v>568</v>
      </c>
      <c r="U46" s="496"/>
      <c r="V46" s="497"/>
      <c r="W46" s="496"/>
      <c r="X46" s="499"/>
      <c r="Y46" s="497"/>
      <c r="Z46" s="497"/>
      <c r="AA46" s="497"/>
      <c r="AB46" s="497"/>
      <c r="AC46" s="497"/>
      <c r="AD46" s="500" t="s">
        <v>395</v>
      </c>
      <c r="AE46" s="499"/>
      <c r="AF46" s="496"/>
      <c r="AG46" s="496"/>
      <c r="AH46" s="496"/>
      <c r="AI46" s="496"/>
    </row>
    <row r="47" spans="1:38" s="5" customFormat="1" ht="14.25" x14ac:dyDescent="0.2">
      <c r="A47" s="77"/>
      <c r="B47" s="447" t="s">
        <v>462</v>
      </c>
      <c r="C47" s="496"/>
      <c r="D47" s="496"/>
      <c r="E47" s="497"/>
      <c r="F47" s="496"/>
      <c r="G47" s="499"/>
      <c r="H47" s="496"/>
      <c r="I47" s="497"/>
      <c r="J47" s="498"/>
      <c r="K47" s="496" t="s">
        <v>296</v>
      </c>
      <c r="L47" s="497"/>
      <c r="M47" s="498"/>
      <c r="N47" s="496"/>
      <c r="O47" s="497"/>
      <c r="P47" s="498"/>
      <c r="Q47" s="496"/>
      <c r="R47" s="496"/>
      <c r="S47" s="499"/>
      <c r="T47" s="447" t="s">
        <v>462</v>
      </c>
      <c r="U47" s="515"/>
      <c r="V47" s="515"/>
      <c r="W47" s="515"/>
      <c r="X47" s="516"/>
      <c r="Y47" s="515"/>
      <c r="Z47" s="515"/>
      <c r="AA47" s="515"/>
      <c r="AB47" s="515"/>
      <c r="AC47" s="515"/>
      <c r="AD47" s="496" t="s">
        <v>296</v>
      </c>
      <c r="AE47" s="516"/>
      <c r="AF47" s="496"/>
      <c r="AG47" s="496"/>
      <c r="AH47" s="496"/>
      <c r="AI47" s="496"/>
    </row>
    <row r="48" spans="1:38" s="5" customFormat="1" ht="12.75" x14ac:dyDescent="0.25">
      <c r="A48" s="497"/>
      <c r="B48" s="496"/>
      <c r="C48" s="496"/>
      <c r="D48" s="496"/>
      <c r="E48" s="497"/>
      <c r="F48" s="496"/>
      <c r="G48" s="499"/>
      <c r="H48" s="496"/>
      <c r="I48" s="497"/>
      <c r="J48" s="498"/>
      <c r="K48" s="496" t="s">
        <v>242</v>
      </c>
      <c r="L48" s="497"/>
      <c r="M48" s="498"/>
      <c r="N48" s="496"/>
      <c r="O48" s="497"/>
      <c r="P48" s="498"/>
      <c r="Q48" s="496"/>
      <c r="R48" s="496"/>
      <c r="S48" s="499"/>
      <c r="T48" s="496"/>
      <c r="U48" s="496"/>
      <c r="V48" s="496"/>
      <c r="W48" s="497"/>
      <c r="X48" s="498"/>
      <c r="Y48" s="496"/>
      <c r="Z48" s="496"/>
      <c r="AA48" s="496"/>
      <c r="AB48" s="496"/>
      <c r="AC48" s="496"/>
      <c r="AD48" s="496" t="s">
        <v>242</v>
      </c>
      <c r="AE48" s="498"/>
      <c r="AF48" s="496"/>
      <c r="AG48" s="496"/>
      <c r="AH48" s="496"/>
      <c r="AI48" s="496"/>
    </row>
    <row r="49" spans="1:35" s="5" customFormat="1" ht="12.75" x14ac:dyDescent="0.25">
      <c r="A49" s="497"/>
      <c r="B49" s="497"/>
      <c r="C49" s="496"/>
      <c r="D49" s="496"/>
      <c r="E49" s="497"/>
      <c r="F49" s="496"/>
      <c r="G49" s="499"/>
      <c r="H49" s="497"/>
      <c r="I49" s="497"/>
      <c r="J49" s="498"/>
      <c r="K49" s="501" t="s">
        <v>463</v>
      </c>
      <c r="L49" s="497"/>
      <c r="M49" s="498"/>
      <c r="N49" s="496"/>
      <c r="O49" s="497"/>
      <c r="P49" s="498"/>
      <c r="Q49" s="496"/>
      <c r="R49" s="497"/>
      <c r="S49" s="498"/>
      <c r="T49" s="497"/>
      <c r="U49" s="496"/>
      <c r="V49" s="496"/>
      <c r="W49" s="496"/>
      <c r="X49" s="496"/>
      <c r="Y49" s="496"/>
      <c r="Z49" s="496"/>
      <c r="AA49" s="496"/>
      <c r="AB49" s="496"/>
      <c r="AC49" s="496"/>
      <c r="AD49" s="501" t="s">
        <v>463</v>
      </c>
      <c r="AE49" s="496"/>
      <c r="AF49" s="496"/>
      <c r="AG49" s="496"/>
      <c r="AH49" s="496"/>
      <c r="AI49" s="496"/>
    </row>
    <row r="52" spans="1:35" ht="18.75" x14ac:dyDescent="0.25">
      <c r="AH52" s="284"/>
    </row>
    <row r="53" spans="1:35" ht="18.75" x14ac:dyDescent="0.25">
      <c r="AH53" s="284"/>
    </row>
  </sheetData>
  <mergeCells count="39">
    <mergeCell ref="A1:I1"/>
    <mergeCell ref="A32:A39"/>
    <mergeCell ref="B32:B39"/>
    <mergeCell ref="D4:F4"/>
    <mergeCell ref="G4:I4"/>
    <mergeCell ref="D5:F5"/>
    <mergeCell ref="G5:I5"/>
    <mergeCell ref="F7:F8"/>
    <mergeCell ref="I7:I8"/>
    <mergeCell ref="A10:A29"/>
    <mergeCell ref="B10:B29"/>
    <mergeCell ref="K1:S1"/>
    <mergeCell ref="Q4:S4"/>
    <mergeCell ref="Q5:S5"/>
    <mergeCell ref="N4:P4"/>
    <mergeCell ref="N5:P5"/>
    <mergeCell ref="T1:AB1"/>
    <mergeCell ref="T32:T39"/>
    <mergeCell ref="U32:U39"/>
    <mergeCell ref="T10:T29"/>
    <mergeCell ref="U10:U29"/>
    <mergeCell ref="Y7:Y8"/>
    <mergeCell ref="W4:Y4"/>
    <mergeCell ref="W5:Y5"/>
    <mergeCell ref="Z4:AB4"/>
    <mergeCell ref="Z5:AB5"/>
    <mergeCell ref="AB7:AB8"/>
    <mergeCell ref="AD1:AI1"/>
    <mergeCell ref="AG4:AI4"/>
    <mergeCell ref="AG5:AI5"/>
    <mergeCell ref="AI7:AI8"/>
    <mergeCell ref="AD4:AF4"/>
    <mergeCell ref="AD5:AF5"/>
    <mergeCell ref="AF7:AF8"/>
    <mergeCell ref="S7:S8"/>
    <mergeCell ref="K4:M4"/>
    <mergeCell ref="K5:M5"/>
    <mergeCell ref="M7:M8"/>
    <mergeCell ref="P7:P8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4" firstPageNumber="4" fitToWidth="0" fitToHeight="0" orientation="portrait" r:id="rId1"/>
  <headerFooter alignWithMargins="0"/>
  <colBreaks count="2" manualBreakCount="2">
    <brk id="10" max="48" man="1"/>
    <brk id="19" max="4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R48"/>
  <sheetViews>
    <sheetView view="pageBreakPreview" zoomScale="70" zoomScaleNormal="55" zoomScaleSheetLayoutView="7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Q10" sqref="Q10"/>
    </sheetView>
  </sheetViews>
  <sheetFormatPr defaultColWidth="8.875" defaultRowHeight="15.75" x14ac:dyDescent="0.25"/>
  <cols>
    <col min="1" max="1" width="0.75" style="76" customWidth="1"/>
    <col min="2" max="2" width="1" style="76" customWidth="1"/>
    <col min="3" max="3" width="26.25" style="76" customWidth="1"/>
    <col min="4" max="4" width="26.5" style="76" customWidth="1"/>
    <col min="5" max="5" width="12.5" style="76" customWidth="1"/>
    <col min="6" max="6" width="11.5" style="76" bestFit="1" customWidth="1"/>
    <col min="7" max="7" width="15" style="76" customWidth="1"/>
    <col min="8" max="8" width="13.625" style="76" customWidth="1"/>
    <col min="9" max="9" width="0.625" style="76" customWidth="1"/>
    <col min="10" max="10" width="12.75" style="76" bestFit="1" customWidth="1"/>
    <col min="11" max="11" width="9.75" style="76" bestFit="1" customWidth="1"/>
    <col min="12" max="12" width="12.75" style="76" bestFit="1" customWidth="1"/>
    <col min="13" max="13" width="14.875" style="76" bestFit="1" customWidth="1"/>
    <col min="14" max="14" width="12.75" style="76" bestFit="1" customWidth="1"/>
    <col min="15" max="15" width="9.75" style="76" bestFit="1" customWidth="1"/>
    <col min="16" max="16" width="13.875" style="76" bestFit="1" customWidth="1"/>
    <col min="17" max="17" width="17.25" style="76" bestFit="1" customWidth="1"/>
    <col min="18" max="16384" width="8.875" style="76"/>
  </cols>
  <sheetData>
    <row r="1" spans="1:18" ht="27.75" customHeight="1" x14ac:dyDescent="0.25">
      <c r="A1" s="685" t="s">
        <v>676</v>
      </c>
      <c r="B1" s="652"/>
      <c r="C1" s="652"/>
      <c r="D1" s="652"/>
      <c r="E1" s="652"/>
      <c r="F1" s="652"/>
      <c r="G1" s="652"/>
      <c r="H1" s="652"/>
      <c r="I1" s="190"/>
      <c r="J1" s="661" t="s">
        <v>497</v>
      </c>
      <c r="K1" s="652"/>
      <c r="L1" s="652"/>
      <c r="M1" s="652"/>
      <c r="N1" s="652"/>
      <c r="O1" s="652"/>
      <c r="P1" s="652"/>
      <c r="Q1" s="652"/>
      <c r="R1" s="79"/>
    </row>
    <row r="2" spans="1:18" ht="22.7" customHeight="1" x14ac:dyDescent="0.25">
      <c r="A2" s="77" t="s">
        <v>103</v>
      </c>
      <c r="B2" s="77"/>
      <c r="C2" s="77"/>
      <c r="D2" s="77"/>
      <c r="E2" s="78"/>
      <c r="F2" s="79"/>
      <c r="G2" s="80"/>
      <c r="H2" s="81"/>
      <c r="I2" s="194"/>
      <c r="J2" s="79"/>
      <c r="K2" s="79"/>
      <c r="L2" s="79"/>
      <c r="M2" s="79"/>
      <c r="N2" s="79"/>
      <c r="O2" s="79"/>
      <c r="P2" s="79"/>
      <c r="Q2" s="81" t="s">
        <v>68</v>
      </c>
      <c r="R2" s="79"/>
    </row>
    <row r="3" spans="1:18" ht="16.899999999999999" customHeight="1" x14ac:dyDescent="0.25">
      <c r="A3" s="686" t="s">
        <v>465</v>
      </c>
      <c r="B3" s="686"/>
      <c r="C3" s="686"/>
      <c r="D3" s="687"/>
      <c r="E3" s="683" t="s">
        <v>77</v>
      </c>
      <c r="F3" s="663"/>
      <c r="G3" s="663"/>
      <c r="H3" s="664"/>
      <c r="I3" s="201"/>
      <c r="J3" s="662" t="s">
        <v>99</v>
      </c>
      <c r="K3" s="663"/>
      <c r="L3" s="663"/>
      <c r="M3" s="664"/>
      <c r="N3" s="662" t="s">
        <v>111</v>
      </c>
      <c r="O3" s="663"/>
      <c r="P3" s="663"/>
      <c r="Q3" s="663"/>
      <c r="R3" s="79"/>
    </row>
    <row r="4" spans="1:18" ht="14.45" customHeight="1" x14ac:dyDescent="0.25">
      <c r="A4" s="90"/>
      <c r="B4" s="90"/>
      <c r="C4" s="90"/>
      <c r="D4" s="193"/>
      <c r="E4" s="684">
        <v>2014</v>
      </c>
      <c r="F4" s="665"/>
      <c r="G4" s="665"/>
      <c r="H4" s="666"/>
      <c r="I4" s="202"/>
      <c r="J4" s="665">
        <v>2015</v>
      </c>
      <c r="K4" s="665"/>
      <c r="L4" s="665"/>
      <c r="M4" s="666"/>
      <c r="N4" s="665">
        <v>2016</v>
      </c>
      <c r="O4" s="665"/>
      <c r="P4" s="665"/>
      <c r="Q4" s="665"/>
      <c r="R4" s="79"/>
    </row>
    <row r="5" spans="1:18" ht="7.9" customHeight="1" x14ac:dyDescent="0.25">
      <c r="A5" s="90"/>
      <c r="B5" s="90"/>
      <c r="C5" s="90"/>
      <c r="D5" s="193"/>
      <c r="E5" s="670" t="s">
        <v>80</v>
      </c>
      <c r="F5" s="82"/>
      <c r="G5" s="668" t="s">
        <v>429</v>
      </c>
      <c r="H5" s="672" t="s">
        <v>466</v>
      </c>
      <c r="I5" s="191"/>
      <c r="J5" s="667" t="s">
        <v>417</v>
      </c>
      <c r="K5" s="134"/>
      <c r="L5" s="668" t="s">
        <v>429</v>
      </c>
      <c r="M5" s="672" t="s">
        <v>466</v>
      </c>
      <c r="N5" s="667" t="s">
        <v>417</v>
      </c>
      <c r="O5" s="134"/>
      <c r="P5" s="668" t="s">
        <v>429</v>
      </c>
      <c r="Q5" s="669" t="s">
        <v>466</v>
      </c>
      <c r="R5" s="79"/>
    </row>
    <row r="6" spans="1:18" ht="5.45" customHeight="1" x14ac:dyDescent="0.25">
      <c r="A6" s="90"/>
      <c r="B6" s="90"/>
      <c r="C6" s="90"/>
      <c r="D6" s="193"/>
      <c r="E6" s="670"/>
      <c r="F6" s="82"/>
      <c r="G6" s="668"/>
      <c r="H6" s="673"/>
      <c r="I6" s="192"/>
      <c r="J6" s="667"/>
      <c r="K6" s="134"/>
      <c r="L6" s="668"/>
      <c r="M6" s="673"/>
      <c r="N6" s="667"/>
      <c r="O6" s="134"/>
      <c r="P6" s="668"/>
      <c r="Q6" s="670"/>
      <c r="R6" s="79"/>
    </row>
    <row r="7" spans="1:18" ht="22.9" customHeight="1" x14ac:dyDescent="0.25">
      <c r="A7" s="90"/>
      <c r="B7" s="90"/>
      <c r="C7" s="90"/>
      <c r="D7" s="193"/>
      <c r="E7" s="670"/>
      <c r="F7" s="56" t="s">
        <v>83</v>
      </c>
      <c r="G7" s="668"/>
      <c r="H7" s="673"/>
      <c r="I7" s="192"/>
      <c r="J7" s="667"/>
      <c r="K7" s="57" t="s">
        <v>72</v>
      </c>
      <c r="L7" s="668"/>
      <c r="M7" s="673"/>
      <c r="N7" s="667"/>
      <c r="O7" s="57" t="s">
        <v>72</v>
      </c>
      <c r="P7" s="668"/>
      <c r="Q7" s="670"/>
      <c r="R7" s="79"/>
    </row>
    <row r="8" spans="1:18" s="83" customFormat="1" ht="16.149999999999999" customHeight="1" x14ac:dyDescent="0.25">
      <c r="A8" s="675" t="s">
        <v>464</v>
      </c>
      <c r="B8" s="675"/>
      <c r="C8" s="675"/>
      <c r="D8" s="676"/>
      <c r="E8" s="679" t="s">
        <v>20</v>
      </c>
      <c r="F8" s="681" t="s">
        <v>21</v>
      </c>
      <c r="G8" s="657" t="s">
        <v>408</v>
      </c>
      <c r="H8" s="674" t="s">
        <v>73</v>
      </c>
      <c r="I8" s="189"/>
      <c r="J8" s="653" t="s">
        <v>20</v>
      </c>
      <c r="K8" s="655" t="s">
        <v>21</v>
      </c>
      <c r="L8" s="657" t="s">
        <v>408</v>
      </c>
      <c r="M8" s="674" t="s">
        <v>73</v>
      </c>
      <c r="N8" s="653" t="s">
        <v>20</v>
      </c>
      <c r="O8" s="655" t="s">
        <v>21</v>
      </c>
      <c r="P8" s="657" t="s">
        <v>408</v>
      </c>
      <c r="Q8" s="659" t="s">
        <v>73</v>
      </c>
      <c r="R8" s="286"/>
    </row>
    <row r="9" spans="1:18" s="83" customFormat="1" ht="9.75" customHeight="1" x14ac:dyDescent="0.25">
      <c r="A9" s="677"/>
      <c r="B9" s="677"/>
      <c r="C9" s="677"/>
      <c r="D9" s="678"/>
      <c r="E9" s="680"/>
      <c r="F9" s="682"/>
      <c r="G9" s="658"/>
      <c r="H9" s="657"/>
      <c r="I9" s="189"/>
      <c r="J9" s="654"/>
      <c r="K9" s="656"/>
      <c r="L9" s="658"/>
      <c r="M9" s="657"/>
      <c r="N9" s="654"/>
      <c r="O9" s="656"/>
      <c r="P9" s="658"/>
      <c r="Q9" s="660"/>
      <c r="R9" s="286"/>
    </row>
    <row r="10" spans="1:18" s="89" customFormat="1" ht="36" customHeight="1" x14ac:dyDescent="0.25">
      <c r="A10" s="671" t="s">
        <v>217</v>
      </c>
      <c r="B10" s="671"/>
      <c r="C10" s="671"/>
      <c r="D10" s="86" t="s">
        <v>14</v>
      </c>
      <c r="E10" s="124">
        <v>1103266.0108601011</v>
      </c>
      <c r="F10" s="87">
        <v>100</v>
      </c>
      <c r="G10" s="88">
        <v>1032400.1984282748</v>
      </c>
      <c r="H10" s="125">
        <v>70865.812431826227</v>
      </c>
      <c r="I10" s="170"/>
      <c r="J10" s="153">
        <v>1145899.7639594479</v>
      </c>
      <c r="K10" s="87">
        <v>100</v>
      </c>
      <c r="L10" s="88">
        <v>1072699.8925490736</v>
      </c>
      <c r="M10" s="125">
        <v>73199.871410374282</v>
      </c>
      <c r="N10" s="153">
        <v>1205957.3201053394</v>
      </c>
      <c r="O10" s="87">
        <v>100</v>
      </c>
      <c r="P10" s="88">
        <v>1118888.2883611512</v>
      </c>
      <c r="Q10" s="88">
        <v>87069.031744188105</v>
      </c>
      <c r="R10" s="84"/>
    </row>
    <row r="11" spans="1:18" s="8" customFormat="1" ht="10.9" customHeight="1" x14ac:dyDescent="0.25">
      <c r="A11" s="90"/>
      <c r="B11" s="90"/>
      <c r="C11" s="91" t="s">
        <v>83</v>
      </c>
      <c r="D11" s="92" t="s">
        <v>21</v>
      </c>
      <c r="E11" s="126">
        <v>100</v>
      </c>
      <c r="F11" s="93"/>
      <c r="G11" s="127">
        <v>93.576724766805825</v>
      </c>
      <c r="H11" s="128">
        <v>6.4232752331941745</v>
      </c>
      <c r="I11" s="196"/>
      <c r="J11" s="169">
        <v>100</v>
      </c>
      <c r="K11" s="93"/>
      <c r="L11" s="127">
        <v>93.612017934496691</v>
      </c>
      <c r="M11" s="128">
        <v>6.3879820655033086</v>
      </c>
      <c r="N11" s="169">
        <v>100</v>
      </c>
      <c r="O11" s="93"/>
      <c r="P11" s="127">
        <v>92.780090116573717</v>
      </c>
      <c r="Q11" s="127">
        <v>7.21990988342628</v>
      </c>
      <c r="R11" s="90"/>
    </row>
    <row r="12" spans="1:18" s="89" customFormat="1" ht="28.15" customHeight="1" x14ac:dyDescent="0.25">
      <c r="A12" s="84" t="s">
        <v>84</v>
      </c>
      <c r="B12" s="84"/>
      <c r="C12" s="85"/>
      <c r="D12" s="94" t="s">
        <v>22</v>
      </c>
      <c r="E12" s="124">
        <v>623535.43515299994</v>
      </c>
      <c r="F12" s="87">
        <v>56.5172341951235</v>
      </c>
      <c r="G12" s="88">
        <v>608583.56941599993</v>
      </c>
      <c r="H12" s="125">
        <v>14951.865737</v>
      </c>
      <c r="I12" s="170"/>
      <c r="J12" s="153">
        <v>649499.845157</v>
      </c>
      <c r="K12" s="87">
        <v>56.680336761111782</v>
      </c>
      <c r="L12" s="88">
        <v>634563.70534400002</v>
      </c>
      <c r="M12" s="125">
        <v>14936.139813</v>
      </c>
      <c r="N12" s="153">
        <v>679637.92008399998</v>
      </c>
      <c r="O12" s="87">
        <v>56.35671418492938</v>
      </c>
      <c r="P12" s="88">
        <v>662970.25860900001</v>
      </c>
      <c r="Q12" s="88">
        <v>16667.661475000001</v>
      </c>
      <c r="R12" s="84"/>
    </row>
    <row r="13" spans="1:18" s="89" customFormat="1" ht="28.9" customHeight="1" x14ac:dyDescent="0.25">
      <c r="A13" s="84"/>
      <c r="B13" s="84"/>
      <c r="C13" s="95" t="s">
        <v>409</v>
      </c>
      <c r="D13" s="94" t="s">
        <v>226</v>
      </c>
      <c r="E13" s="124">
        <v>68609.806104999967</v>
      </c>
      <c r="F13" s="87">
        <v>6.2187908835795707</v>
      </c>
      <c r="G13" s="88">
        <v>67163.083844999972</v>
      </c>
      <c r="H13" s="125">
        <v>1446.72226</v>
      </c>
      <c r="I13" s="170"/>
      <c r="J13" s="153">
        <v>73221.140008999995</v>
      </c>
      <c r="K13" s="87">
        <v>6.389838126503987</v>
      </c>
      <c r="L13" s="88">
        <v>71898.872258999996</v>
      </c>
      <c r="M13" s="125">
        <v>1322.26775</v>
      </c>
      <c r="N13" s="153">
        <v>71822.396494999979</v>
      </c>
      <c r="O13" s="87">
        <v>5.955633362607422</v>
      </c>
      <c r="P13" s="88">
        <v>70523.224316999986</v>
      </c>
      <c r="Q13" s="88">
        <v>1299.172178</v>
      </c>
      <c r="R13" s="84"/>
    </row>
    <row r="14" spans="1:18" s="175" customFormat="1" ht="27" customHeight="1" x14ac:dyDescent="0.25">
      <c r="A14" s="96"/>
      <c r="B14" s="96"/>
      <c r="C14" s="96" t="s">
        <v>119</v>
      </c>
      <c r="D14" s="171" t="s">
        <v>65</v>
      </c>
      <c r="E14" s="105">
        <v>53061.532536999999</v>
      </c>
      <c r="F14" s="172">
        <v>4.8094958074194158</v>
      </c>
      <c r="G14" s="173">
        <v>52286.418272000003</v>
      </c>
      <c r="H14" s="174">
        <v>775.11426500000005</v>
      </c>
      <c r="I14" s="181"/>
      <c r="J14" s="122">
        <v>57476.159652999995</v>
      </c>
      <c r="K14" s="172">
        <v>5.015810410362735</v>
      </c>
      <c r="L14" s="173">
        <v>56668.519333999997</v>
      </c>
      <c r="M14" s="174">
        <v>807.64031899999998</v>
      </c>
      <c r="N14" s="122">
        <v>55882.555326000002</v>
      </c>
      <c r="O14" s="172">
        <v>4.6338750463506209</v>
      </c>
      <c r="P14" s="173">
        <v>54993.950080000002</v>
      </c>
      <c r="Q14" s="173">
        <v>888.60524599999997</v>
      </c>
    </row>
    <row r="15" spans="1:18" s="175" customFormat="1" ht="19.899999999999999" customHeight="1" x14ac:dyDescent="0.25">
      <c r="A15" s="96"/>
      <c r="B15" s="96"/>
      <c r="C15" s="96" t="s">
        <v>102</v>
      </c>
      <c r="D15" s="164" t="s">
        <v>15</v>
      </c>
      <c r="E15" s="105">
        <v>42.411700999999994</v>
      </c>
      <c r="F15" s="172">
        <v>3.8441953783146126E-3</v>
      </c>
      <c r="G15" s="173">
        <v>42.178700999999997</v>
      </c>
      <c r="H15" s="174">
        <v>0.23300000000000001</v>
      </c>
      <c r="I15" s="181"/>
      <c r="J15" s="122">
        <v>49.295461000000003</v>
      </c>
      <c r="K15" s="172">
        <v>4.301899917464728E-3</v>
      </c>
      <c r="L15" s="173">
        <v>49.031461</v>
      </c>
      <c r="M15" s="174">
        <v>0.26400000000000001</v>
      </c>
      <c r="N15" s="122">
        <v>54.739310000000003</v>
      </c>
      <c r="O15" s="172">
        <v>4.5390752298944187E-3</v>
      </c>
      <c r="P15" s="173">
        <v>54.223722000000002</v>
      </c>
      <c r="Q15" s="173">
        <v>0.51558800000000005</v>
      </c>
    </row>
    <row r="16" spans="1:18" s="175" customFormat="1" ht="19.899999999999999" customHeight="1" x14ac:dyDescent="0.25">
      <c r="A16" s="96"/>
      <c r="B16" s="96"/>
      <c r="C16" s="96" t="s">
        <v>117</v>
      </c>
      <c r="D16" s="164" t="s">
        <v>78</v>
      </c>
      <c r="E16" s="105">
        <v>392.07299999999998</v>
      </c>
      <c r="F16" s="172">
        <v>3.5537485623647704E-2</v>
      </c>
      <c r="G16" s="173">
        <v>388.65699999999998</v>
      </c>
      <c r="H16" s="174">
        <v>3.4159999999999968</v>
      </c>
      <c r="I16" s="181"/>
      <c r="J16" s="122">
        <v>335.33309600000001</v>
      </c>
      <c r="K16" s="172">
        <v>2.9263737243589057E-2</v>
      </c>
      <c r="L16" s="173">
        <v>329.80409600000002</v>
      </c>
      <c r="M16" s="174">
        <v>5.5289999999999964</v>
      </c>
      <c r="N16" s="122">
        <v>449.65123500000004</v>
      </c>
      <c r="O16" s="172">
        <v>3.7285833213460934E-2</v>
      </c>
      <c r="P16" s="173">
        <v>446.89183500000001</v>
      </c>
      <c r="Q16" s="173">
        <v>2.7593999999999999</v>
      </c>
    </row>
    <row r="17" spans="1:18" s="96" customFormat="1" ht="19.899999999999999" customHeight="1" x14ac:dyDescent="0.25">
      <c r="C17" s="96" t="s">
        <v>118</v>
      </c>
      <c r="D17" s="164" t="s">
        <v>42</v>
      </c>
      <c r="E17" s="105">
        <v>118.9115</v>
      </c>
      <c r="F17" s="172">
        <v>1.0778134994596376E-2</v>
      </c>
      <c r="G17" s="173">
        <v>111.9585</v>
      </c>
      <c r="H17" s="174">
        <v>6.9530000000000003</v>
      </c>
      <c r="I17" s="181"/>
      <c r="J17" s="122">
        <v>129.84800000000001</v>
      </c>
      <c r="K17" s="172">
        <v>1.1331532136051229E-2</v>
      </c>
      <c r="L17" s="173">
        <v>121.836</v>
      </c>
      <c r="M17" s="174">
        <v>8.0120000000000005</v>
      </c>
      <c r="N17" s="122">
        <v>125.171871</v>
      </c>
      <c r="O17" s="172">
        <v>1.0379461106390261E-2</v>
      </c>
      <c r="P17" s="173">
        <v>124.84387099999999</v>
      </c>
      <c r="Q17" s="173">
        <v>0.32800000000000001</v>
      </c>
    </row>
    <row r="18" spans="1:18" s="96" customFormat="1" ht="19.899999999999999" customHeight="1" x14ac:dyDescent="0.25">
      <c r="C18" s="176" t="s">
        <v>402</v>
      </c>
      <c r="D18" s="164" t="s">
        <v>79</v>
      </c>
      <c r="E18" s="105">
        <v>3199.5126500000001</v>
      </c>
      <c r="F18" s="172">
        <v>0.29000373604419072</v>
      </c>
      <c r="G18" s="173">
        <v>3199.5126500000001</v>
      </c>
      <c r="H18" s="174">
        <v>0</v>
      </c>
      <c r="I18" s="181"/>
      <c r="J18" s="122">
        <v>3143.0529999999999</v>
      </c>
      <c r="K18" s="172">
        <v>0.27428690526471117</v>
      </c>
      <c r="L18" s="173">
        <v>3143.0529999999999</v>
      </c>
      <c r="M18" s="174">
        <v>0</v>
      </c>
      <c r="N18" s="122">
        <v>2830.8609149999997</v>
      </c>
      <c r="O18" s="172">
        <v>0.23473972650646763</v>
      </c>
      <c r="P18" s="173">
        <v>2829.0547149999998</v>
      </c>
      <c r="Q18" s="173">
        <v>1.8062</v>
      </c>
    </row>
    <row r="19" spans="1:18" s="96" customFormat="1" ht="19.899999999999999" customHeight="1" x14ac:dyDescent="0.25">
      <c r="C19" s="96" t="s">
        <v>120</v>
      </c>
      <c r="D19" s="164" t="s">
        <v>66</v>
      </c>
      <c r="E19" s="105">
        <v>2987.877082</v>
      </c>
      <c r="F19" s="172">
        <v>0.27082109415032779</v>
      </c>
      <c r="G19" s="173">
        <v>2987.7920819999999</v>
      </c>
      <c r="H19" s="174">
        <v>8.5000000000000006E-2</v>
      </c>
      <c r="I19" s="181"/>
      <c r="J19" s="122">
        <v>2944.6308390000004</v>
      </c>
      <c r="K19" s="172">
        <v>0.25697106602285741</v>
      </c>
      <c r="L19" s="173">
        <v>2944.6308390000004</v>
      </c>
      <c r="M19" s="174">
        <v>0</v>
      </c>
      <c r="N19" s="122">
        <v>2734.6980980000003</v>
      </c>
      <c r="O19" s="172">
        <v>0.22676574472479064</v>
      </c>
      <c r="P19" s="173">
        <v>2734.6350980000002</v>
      </c>
      <c r="Q19" s="173">
        <v>6.3E-2</v>
      </c>
    </row>
    <row r="20" spans="1:18" s="96" customFormat="1" ht="19.899999999999999" customHeight="1" x14ac:dyDescent="0.25">
      <c r="C20" s="177" t="s">
        <v>81</v>
      </c>
      <c r="D20" s="164" t="s">
        <v>43</v>
      </c>
      <c r="E20" s="105">
        <v>1349.838</v>
      </c>
      <c r="F20" s="172">
        <v>0.12234927811722146</v>
      </c>
      <c r="G20" s="173">
        <v>1182.1669999999999</v>
      </c>
      <c r="H20" s="174">
        <v>167.67100000000002</v>
      </c>
      <c r="I20" s="181"/>
      <c r="J20" s="122">
        <v>1558.9929690000001</v>
      </c>
      <c r="K20" s="172">
        <v>0.13604968061195719</v>
      </c>
      <c r="L20" s="173">
        <v>1428.2459690000001</v>
      </c>
      <c r="M20" s="174">
        <v>130.74700000000001</v>
      </c>
      <c r="N20" s="122">
        <v>1494.8246340000001</v>
      </c>
      <c r="O20" s="172">
        <v>0.12395336129054951</v>
      </c>
      <c r="P20" s="173">
        <v>1376.611993</v>
      </c>
      <c r="Q20" s="173">
        <v>118.212641</v>
      </c>
    </row>
    <row r="21" spans="1:18" s="96" customFormat="1" ht="24" customHeight="1" x14ac:dyDescent="0.25">
      <c r="C21" s="177" t="s">
        <v>121</v>
      </c>
      <c r="D21" s="164" t="s">
        <v>67</v>
      </c>
      <c r="E21" s="105">
        <v>4425.070999999999</v>
      </c>
      <c r="F21" s="172">
        <v>0.40108831020274377</v>
      </c>
      <c r="G21" s="173">
        <v>4236.8759999999993</v>
      </c>
      <c r="H21" s="174">
        <v>188.19499999999999</v>
      </c>
      <c r="I21" s="181"/>
      <c r="J21" s="122">
        <v>4364.9170000000004</v>
      </c>
      <c r="K21" s="172">
        <v>0.38091612698459987</v>
      </c>
      <c r="L21" s="173">
        <v>4300.38</v>
      </c>
      <c r="M21" s="174">
        <v>64.537000000000006</v>
      </c>
      <c r="N21" s="122">
        <v>5324.9229409999998</v>
      </c>
      <c r="O21" s="172">
        <v>0.44155152526748392</v>
      </c>
      <c r="P21" s="173">
        <v>5279.4069650000001</v>
      </c>
      <c r="Q21" s="173">
        <v>45.515976000000002</v>
      </c>
    </row>
    <row r="22" spans="1:18" s="96" customFormat="1" ht="19.899999999999999" customHeight="1" x14ac:dyDescent="0.25">
      <c r="C22" s="96" t="s">
        <v>122</v>
      </c>
      <c r="D22" s="164" t="s">
        <v>63</v>
      </c>
      <c r="E22" s="105">
        <v>1141.170085</v>
      </c>
      <c r="F22" s="172">
        <v>0.10343562420728877</v>
      </c>
      <c r="G22" s="173">
        <v>935.60874899999999</v>
      </c>
      <c r="H22" s="174">
        <v>205.56133600000001</v>
      </c>
      <c r="I22" s="181"/>
      <c r="J22" s="122">
        <v>1096.908351</v>
      </c>
      <c r="K22" s="172">
        <v>9.5724633645951115E-2</v>
      </c>
      <c r="L22" s="173">
        <v>869.10892000000001</v>
      </c>
      <c r="M22" s="174">
        <v>227.799431</v>
      </c>
      <c r="N22" s="122">
        <v>981.64066099999991</v>
      </c>
      <c r="O22" s="172">
        <v>8.1399287075454241E-2</v>
      </c>
      <c r="P22" s="173">
        <v>814.29526999999996</v>
      </c>
      <c r="Q22" s="173">
        <v>167.34539100000001</v>
      </c>
    </row>
    <row r="23" spans="1:18" s="96" customFormat="1" ht="19.899999999999999" customHeight="1" x14ac:dyDescent="0.25">
      <c r="C23" s="178" t="s">
        <v>403</v>
      </c>
      <c r="D23" s="164" t="s">
        <v>18</v>
      </c>
      <c r="E23" s="105">
        <v>97.751999999999953</v>
      </c>
      <c r="F23" s="172">
        <v>8.8602385134472651E-3</v>
      </c>
      <c r="G23" s="173">
        <v>97.751999999999953</v>
      </c>
      <c r="H23" s="174">
        <v>0</v>
      </c>
      <c r="I23" s="181"/>
      <c r="J23" s="122">
        <v>114.76799999999992</v>
      </c>
      <c r="K23" s="172">
        <v>1.0015535704749603E-2</v>
      </c>
      <c r="L23" s="173">
        <v>114.76799999999992</v>
      </c>
      <c r="M23" s="174">
        <v>0</v>
      </c>
      <c r="N23" s="122">
        <v>108.706202</v>
      </c>
      <c r="O23" s="172">
        <v>9.0141002660446227E-3</v>
      </c>
      <c r="P23" s="173">
        <v>108.706202</v>
      </c>
      <c r="Q23" s="173">
        <v>0</v>
      </c>
    </row>
    <row r="24" spans="1:18" s="96" customFormat="1" ht="19.899999999999999" customHeight="1" x14ac:dyDescent="0.25">
      <c r="C24" s="179" t="s">
        <v>123</v>
      </c>
      <c r="D24" s="164" t="s">
        <v>17</v>
      </c>
      <c r="E24" s="105">
        <v>142.376</v>
      </c>
      <c r="F24" s="172">
        <v>1.2904956610509947E-2</v>
      </c>
      <c r="G24" s="173">
        <v>142.376</v>
      </c>
      <c r="H24" s="174">
        <v>0</v>
      </c>
      <c r="I24" s="181"/>
      <c r="J24" s="122">
        <v>148.46299999999999</v>
      </c>
      <c r="K24" s="172">
        <v>1.2956019773231573E-2</v>
      </c>
      <c r="L24" s="173">
        <v>148.46299999999999</v>
      </c>
      <c r="M24" s="174">
        <v>0</v>
      </c>
      <c r="N24" s="122">
        <v>151.95712499999999</v>
      </c>
      <c r="O24" s="172">
        <v>1.2600539212011803E-2</v>
      </c>
      <c r="P24" s="173">
        <v>151.95712499999999</v>
      </c>
      <c r="Q24" s="173">
        <v>0</v>
      </c>
    </row>
    <row r="25" spans="1:18" s="96" customFormat="1" ht="19.899999999999999" customHeight="1" x14ac:dyDescent="0.25">
      <c r="C25" s="178" t="s">
        <v>405</v>
      </c>
      <c r="D25" s="164" t="s">
        <v>45</v>
      </c>
      <c r="E25" s="105">
        <v>7.1769999999999996</v>
      </c>
      <c r="F25" s="172">
        <v>6.5052307687833537E-4</v>
      </c>
      <c r="G25" s="173">
        <v>7.1769999999999996</v>
      </c>
      <c r="H25" s="174">
        <v>0</v>
      </c>
      <c r="I25" s="181"/>
      <c r="J25" s="122">
        <v>6.1838729999999993</v>
      </c>
      <c r="K25" s="172">
        <v>5.3965217504127526E-4</v>
      </c>
      <c r="L25" s="173">
        <v>6.1838729999999993</v>
      </c>
      <c r="M25" s="174">
        <v>0</v>
      </c>
      <c r="N25" s="122">
        <v>8.1448999999999998</v>
      </c>
      <c r="O25" s="172">
        <v>6.7538874421265165E-4</v>
      </c>
      <c r="P25" s="173">
        <v>6.0719000000000003</v>
      </c>
      <c r="Q25" s="173">
        <v>2.073</v>
      </c>
    </row>
    <row r="26" spans="1:18" s="96" customFormat="1" ht="19.899999999999999" customHeight="1" x14ac:dyDescent="0.25">
      <c r="C26" s="179" t="s">
        <v>124</v>
      </c>
      <c r="D26" s="164" t="s">
        <v>41</v>
      </c>
      <c r="E26" s="105">
        <v>1208.8365920000001</v>
      </c>
      <c r="F26" s="172">
        <v>0.10956891448668819</v>
      </c>
      <c r="G26" s="173">
        <v>1204.7631170000002</v>
      </c>
      <c r="H26" s="174">
        <v>4.0734750000000002</v>
      </c>
      <c r="I26" s="181"/>
      <c r="J26" s="122">
        <v>1504.4799999999998</v>
      </c>
      <c r="K26" s="172">
        <v>0.13129246093930094</v>
      </c>
      <c r="L26" s="173">
        <v>1493.5059999999999</v>
      </c>
      <c r="M26" s="174">
        <v>10.974</v>
      </c>
      <c r="N26" s="122">
        <v>1382.103288</v>
      </c>
      <c r="O26" s="172">
        <v>0.11460631856186042</v>
      </c>
      <c r="P26" s="173">
        <v>1380.0651600000001</v>
      </c>
      <c r="Q26" s="173">
        <v>2.0381279999999999</v>
      </c>
    </row>
    <row r="27" spans="1:18" s="96" customFormat="1" ht="19.899999999999999" customHeight="1" x14ac:dyDescent="0.25">
      <c r="C27" s="178" t="s">
        <v>404</v>
      </c>
      <c r="D27" s="164" t="s">
        <v>32</v>
      </c>
      <c r="E27" s="105">
        <v>218.81599999999997</v>
      </c>
      <c r="F27" s="172">
        <v>1.9833476047124123E-2</v>
      </c>
      <c r="G27" s="173">
        <v>155.92999999999998</v>
      </c>
      <c r="H27" s="174">
        <v>62.886000000000003</v>
      </c>
      <c r="I27" s="181"/>
      <c r="J27" s="122">
        <v>211.375</v>
      </c>
      <c r="K27" s="172">
        <v>1.8446203293526496E-2</v>
      </c>
      <c r="L27" s="173">
        <v>145.90600000000001</v>
      </c>
      <c r="M27" s="174">
        <v>65.468999999999994</v>
      </c>
      <c r="N27" s="122">
        <v>219.63985300000002</v>
      </c>
      <c r="O27" s="172">
        <v>1.8212904332370123E-2</v>
      </c>
      <c r="P27" s="173">
        <v>151.23895300000001</v>
      </c>
      <c r="Q27" s="173">
        <v>68.400899999999993</v>
      </c>
    </row>
    <row r="28" spans="1:18" s="96" customFormat="1" ht="19.899999999999999" customHeight="1" x14ac:dyDescent="0.25">
      <c r="C28" s="178" t="s">
        <v>100</v>
      </c>
      <c r="D28" s="164" t="s">
        <v>97</v>
      </c>
      <c r="E28" s="105">
        <v>135.16995800000001</v>
      </c>
      <c r="F28" s="172">
        <v>1.225180116757355E-2</v>
      </c>
      <c r="G28" s="173">
        <v>130.492774</v>
      </c>
      <c r="H28" s="174">
        <v>4.6771840000000005</v>
      </c>
      <c r="I28" s="181"/>
      <c r="J28" s="122">
        <v>136.73176699999999</v>
      </c>
      <c r="K28" s="172">
        <v>1.1932262428220448E-2</v>
      </c>
      <c r="L28" s="173">
        <v>135.435767</v>
      </c>
      <c r="M28" s="174">
        <v>1.296</v>
      </c>
      <c r="N28" s="122">
        <v>72.780135999999999</v>
      </c>
      <c r="O28" s="172">
        <v>6.035050725811981E-3</v>
      </c>
      <c r="P28" s="173">
        <v>71.271428</v>
      </c>
      <c r="Q28" s="173">
        <v>1.5087079999999999</v>
      </c>
    </row>
    <row r="29" spans="1:18" s="96" customFormat="1" ht="45" customHeight="1" x14ac:dyDescent="0.25">
      <c r="C29" s="180" t="s">
        <v>410</v>
      </c>
      <c r="D29" s="188" t="s">
        <v>411</v>
      </c>
      <c r="E29" s="105">
        <v>81.281000000000006</v>
      </c>
      <c r="F29" s="172">
        <v>7.3673075396054047E-3</v>
      </c>
      <c r="G29" s="173">
        <v>53.423999999999999</v>
      </c>
      <c r="H29" s="174">
        <v>27.856999999999999</v>
      </c>
      <c r="I29" s="181"/>
      <c r="J29" s="173">
        <v>0</v>
      </c>
      <c r="K29" s="172">
        <v>0</v>
      </c>
      <c r="L29" s="173">
        <v>0</v>
      </c>
      <c r="M29" s="174">
        <v>0</v>
      </c>
      <c r="N29" s="181">
        <v>0</v>
      </c>
      <c r="O29" s="172">
        <v>0</v>
      </c>
      <c r="P29" s="173">
        <v>0</v>
      </c>
      <c r="Q29" s="173">
        <v>0</v>
      </c>
    </row>
    <row r="30" spans="1:18" s="100" customFormat="1" ht="31.15" customHeight="1" x14ac:dyDescent="0.25">
      <c r="A30" s="90"/>
      <c r="B30" s="90"/>
      <c r="C30" s="98" t="s">
        <v>412</v>
      </c>
      <c r="D30" s="99" t="s">
        <v>413</v>
      </c>
      <c r="E30" s="124">
        <v>18768.068898999998</v>
      </c>
      <c r="F30" s="87">
        <v>1.7011372338361535</v>
      </c>
      <c r="G30" s="88">
        <v>17567.280422</v>
      </c>
      <c r="H30" s="125">
        <v>1200.7884770000001</v>
      </c>
      <c r="I30" s="170"/>
      <c r="J30" s="153">
        <v>20188.110127000004</v>
      </c>
      <c r="K30" s="87">
        <v>1.7617692892477494</v>
      </c>
      <c r="L30" s="88">
        <v>19016.589998000003</v>
      </c>
      <c r="M30" s="125">
        <v>1171.520129</v>
      </c>
      <c r="N30" s="153">
        <v>18982.16791</v>
      </c>
      <c r="O30" s="87">
        <v>1.5740331430918237</v>
      </c>
      <c r="P30" s="88">
        <v>18521.053164000001</v>
      </c>
      <c r="Q30" s="88">
        <v>461.11474599999997</v>
      </c>
      <c r="R30" s="135"/>
    </row>
    <row r="31" spans="1:18" s="97" customFormat="1" ht="19.899999999999999" customHeight="1" x14ac:dyDescent="0.25">
      <c r="A31" s="96"/>
      <c r="B31" s="96"/>
      <c r="C31" s="96" t="s">
        <v>125</v>
      </c>
      <c r="D31" s="164" t="s">
        <v>60</v>
      </c>
      <c r="E31" s="182">
        <v>2079.1291249999999</v>
      </c>
      <c r="F31" s="172">
        <v>0.18845220504700588</v>
      </c>
      <c r="G31" s="173">
        <v>1493.6446169999999</v>
      </c>
      <c r="H31" s="174">
        <v>585.48450800000001</v>
      </c>
      <c r="I31" s="181"/>
      <c r="J31" s="183">
        <v>2474.6410000000001</v>
      </c>
      <c r="K31" s="172">
        <v>0.2159561488562777</v>
      </c>
      <c r="L31" s="173">
        <v>1653.422</v>
      </c>
      <c r="M31" s="174">
        <v>821.21900000000005</v>
      </c>
      <c r="N31" s="183">
        <v>1691.924757</v>
      </c>
      <c r="O31" s="172">
        <v>0.14029723347524536</v>
      </c>
      <c r="P31" s="173">
        <v>1619.1997570000001</v>
      </c>
      <c r="Q31" s="173">
        <v>72.724999999999994</v>
      </c>
      <c r="R31" s="96"/>
    </row>
    <row r="32" spans="1:18" s="97" customFormat="1" ht="19.899999999999999" customHeight="1" x14ac:dyDescent="0.25">
      <c r="A32" s="96"/>
      <c r="B32" s="96"/>
      <c r="C32" s="96" t="s">
        <v>126</v>
      </c>
      <c r="D32" s="164" t="s">
        <v>58</v>
      </c>
      <c r="E32" s="182">
        <v>4947.8440000000001</v>
      </c>
      <c r="F32" s="172">
        <v>0.44847244012735271</v>
      </c>
      <c r="G32" s="173">
        <v>4916.5280000000002</v>
      </c>
      <c r="H32" s="174">
        <v>31.315999999999999</v>
      </c>
      <c r="I32" s="181"/>
      <c r="J32" s="183">
        <v>5040.116</v>
      </c>
      <c r="K32" s="172">
        <v>0.43983916905478693</v>
      </c>
      <c r="L32" s="173">
        <v>4999.357</v>
      </c>
      <c r="M32" s="174">
        <v>40.759</v>
      </c>
      <c r="N32" s="183">
        <v>5098.0770000000002</v>
      </c>
      <c r="O32" s="172">
        <v>0.42274108005370264</v>
      </c>
      <c r="P32" s="173">
        <v>5009.3540000000003</v>
      </c>
      <c r="Q32" s="173">
        <v>88.722999999999999</v>
      </c>
      <c r="R32" s="96"/>
    </row>
    <row r="33" spans="1:18" s="97" customFormat="1" ht="19.899999999999999" customHeight="1" x14ac:dyDescent="0.25">
      <c r="A33" s="96"/>
      <c r="B33" s="96"/>
      <c r="C33" s="96" t="s">
        <v>127</v>
      </c>
      <c r="D33" s="164" t="s">
        <v>64</v>
      </c>
      <c r="E33" s="182">
        <v>948.34999999999991</v>
      </c>
      <c r="F33" s="172">
        <v>8.5958417160034745E-2</v>
      </c>
      <c r="G33" s="173">
        <v>904.27099999999996</v>
      </c>
      <c r="H33" s="174">
        <v>44.079000000000001</v>
      </c>
      <c r="I33" s="181"/>
      <c r="J33" s="183">
        <v>1405.4380000000001</v>
      </c>
      <c r="K33" s="172">
        <v>0.12264929657928939</v>
      </c>
      <c r="L33" s="173">
        <v>1330.546</v>
      </c>
      <c r="M33" s="174">
        <v>74.891999999999996</v>
      </c>
      <c r="N33" s="183">
        <v>1189.7619999999999</v>
      </c>
      <c r="O33" s="172">
        <v>9.8657056942618435E-2</v>
      </c>
      <c r="P33" s="173">
        <v>1155.01</v>
      </c>
      <c r="Q33" s="173">
        <v>34.752000000000002</v>
      </c>
      <c r="R33" s="96"/>
    </row>
    <row r="34" spans="1:18" s="97" customFormat="1" ht="19.899999999999999" customHeight="1" x14ac:dyDescent="0.25">
      <c r="A34" s="96"/>
      <c r="B34" s="96"/>
      <c r="C34" s="96" t="s">
        <v>128</v>
      </c>
      <c r="D34" s="164" t="s">
        <v>61</v>
      </c>
      <c r="E34" s="182">
        <v>1140.98</v>
      </c>
      <c r="F34" s="172">
        <v>0.10341839490826853</v>
      </c>
      <c r="G34" s="173">
        <v>1095.1980000000001</v>
      </c>
      <c r="H34" s="174">
        <v>45.781999999999996</v>
      </c>
      <c r="I34" s="181"/>
      <c r="J34" s="183">
        <v>1753.810569</v>
      </c>
      <c r="K34" s="172">
        <v>0.15305095822168838</v>
      </c>
      <c r="L34" s="173">
        <v>1707.077264</v>
      </c>
      <c r="M34" s="174">
        <v>46.733305000000001</v>
      </c>
      <c r="N34" s="183">
        <v>1572.987355</v>
      </c>
      <c r="O34" s="172">
        <v>0.13043474497609922</v>
      </c>
      <c r="P34" s="173">
        <v>1505.9957340000001</v>
      </c>
      <c r="Q34" s="173">
        <v>66.991620999999995</v>
      </c>
      <c r="R34" s="96"/>
    </row>
    <row r="35" spans="1:18" s="97" customFormat="1" ht="19.899999999999999" customHeight="1" x14ac:dyDescent="0.25">
      <c r="A35" s="96"/>
      <c r="B35" s="96"/>
      <c r="C35" s="96" t="s">
        <v>129</v>
      </c>
      <c r="D35" s="164" t="s">
        <v>62</v>
      </c>
      <c r="E35" s="182">
        <v>1166.3400000000001</v>
      </c>
      <c r="F35" s="172">
        <v>0.10571702459053614</v>
      </c>
      <c r="G35" s="173">
        <v>1153.9290000000001</v>
      </c>
      <c r="H35" s="174">
        <v>12.411</v>
      </c>
      <c r="I35" s="181"/>
      <c r="J35" s="183">
        <v>1108.0944919999999</v>
      </c>
      <c r="K35" s="172">
        <v>9.6700822083354065E-2</v>
      </c>
      <c r="L35" s="173">
        <v>1101.680668</v>
      </c>
      <c r="M35" s="174">
        <v>6.413824</v>
      </c>
      <c r="N35" s="183">
        <v>1242.1717979999999</v>
      </c>
      <c r="O35" s="172">
        <v>0.10300296513739782</v>
      </c>
      <c r="P35" s="173">
        <v>1196.742673</v>
      </c>
      <c r="Q35" s="173">
        <v>45.429124999999999</v>
      </c>
      <c r="R35" s="96"/>
    </row>
    <row r="36" spans="1:18" s="97" customFormat="1" ht="19.899999999999999" customHeight="1" x14ac:dyDescent="0.25">
      <c r="A36" s="96"/>
      <c r="B36" s="96"/>
      <c r="C36" s="96" t="s">
        <v>130</v>
      </c>
      <c r="D36" s="164" t="s">
        <v>59</v>
      </c>
      <c r="E36" s="182">
        <v>2062.931</v>
      </c>
      <c r="F36" s="172">
        <v>0.18698400745544119</v>
      </c>
      <c r="G36" s="173">
        <v>1923.1849999999999</v>
      </c>
      <c r="H36" s="174">
        <v>139.74600000000001</v>
      </c>
      <c r="I36" s="181"/>
      <c r="J36" s="183">
        <v>1931.1469999999999</v>
      </c>
      <c r="K36" s="172">
        <v>0.1685266949813545</v>
      </c>
      <c r="L36" s="173">
        <v>1910.0119999999999</v>
      </c>
      <c r="M36" s="174">
        <v>21.135000000000002</v>
      </c>
      <c r="N36" s="183">
        <v>1745.075</v>
      </c>
      <c r="O36" s="172">
        <v>0.1447045406090797</v>
      </c>
      <c r="P36" s="173">
        <v>1733.104</v>
      </c>
      <c r="Q36" s="173">
        <v>11.971</v>
      </c>
      <c r="R36" s="96"/>
    </row>
    <row r="37" spans="1:18" s="97" customFormat="1" ht="19.899999999999999" customHeight="1" x14ac:dyDescent="0.25">
      <c r="A37" s="96"/>
      <c r="B37" s="96"/>
      <c r="C37" s="96" t="s">
        <v>131</v>
      </c>
      <c r="D37" s="164" t="s">
        <v>98</v>
      </c>
      <c r="E37" s="182">
        <v>6422.4947739999998</v>
      </c>
      <c r="F37" s="172">
        <v>0.58213474454751424</v>
      </c>
      <c r="G37" s="173">
        <v>6080.524805</v>
      </c>
      <c r="H37" s="174">
        <v>341.96996899999999</v>
      </c>
      <c r="I37" s="181"/>
      <c r="J37" s="183">
        <v>6474.8630660000008</v>
      </c>
      <c r="K37" s="172">
        <v>0.56504619947099832</v>
      </c>
      <c r="L37" s="173">
        <v>6314.4950660000004</v>
      </c>
      <c r="M37" s="174">
        <v>160.36799999999999</v>
      </c>
      <c r="N37" s="183">
        <v>6442.17</v>
      </c>
      <c r="O37" s="172">
        <v>0.5341955218976806</v>
      </c>
      <c r="P37" s="173">
        <v>6301.6469999999999</v>
      </c>
      <c r="Q37" s="173">
        <v>140.523</v>
      </c>
      <c r="R37" s="96"/>
    </row>
    <row r="38" spans="1:18" s="100" customFormat="1" ht="18" customHeight="1" x14ac:dyDescent="0.25">
      <c r="A38" s="90"/>
      <c r="B38" s="90"/>
      <c r="C38" s="95" t="s">
        <v>453</v>
      </c>
      <c r="D38" s="101" t="s">
        <v>4</v>
      </c>
      <c r="E38" s="124">
        <v>12304.355</v>
      </c>
      <c r="F38" s="87">
        <v>1.1152663889652126</v>
      </c>
      <c r="G38" s="88">
        <v>0</v>
      </c>
      <c r="H38" s="129">
        <v>12304.355</v>
      </c>
      <c r="I38" s="197"/>
      <c r="J38" s="153">
        <v>12442.351934</v>
      </c>
      <c r="K38" s="87">
        <v>1.0858150359511132</v>
      </c>
      <c r="L38" s="88">
        <v>0</v>
      </c>
      <c r="M38" s="129">
        <v>12442.351934</v>
      </c>
      <c r="N38" s="153">
        <v>14907.374551000001</v>
      </c>
      <c r="O38" s="87">
        <v>1.2361444557339603</v>
      </c>
      <c r="P38" s="88">
        <v>0</v>
      </c>
      <c r="Q38" s="45">
        <v>14907.374551000001</v>
      </c>
      <c r="R38" s="135"/>
    </row>
    <row r="39" spans="1:18" s="100" customFormat="1" ht="28.9" customHeight="1" x14ac:dyDescent="0.25">
      <c r="A39" s="90"/>
      <c r="B39" s="90"/>
      <c r="C39" s="95" t="s">
        <v>414</v>
      </c>
      <c r="D39" s="101" t="s">
        <v>441</v>
      </c>
      <c r="E39" s="124">
        <v>523853.20514899993</v>
      </c>
      <c r="F39" s="87">
        <v>47.482039688742553</v>
      </c>
      <c r="G39" s="88">
        <v>523853.20514899993</v>
      </c>
      <c r="H39" s="130">
        <v>0</v>
      </c>
      <c r="I39" s="198"/>
      <c r="J39" s="153">
        <v>543648.24308699998</v>
      </c>
      <c r="K39" s="87">
        <v>47.44291430940892</v>
      </c>
      <c r="L39" s="88">
        <v>543648.24308699998</v>
      </c>
      <c r="M39" s="130">
        <v>0</v>
      </c>
      <c r="N39" s="153">
        <v>573925.98112800007</v>
      </c>
      <c r="O39" s="87">
        <v>47.590903223496177</v>
      </c>
      <c r="P39" s="88">
        <v>573925.98112800007</v>
      </c>
      <c r="Q39" s="87">
        <v>0</v>
      </c>
      <c r="R39" s="135"/>
    </row>
    <row r="40" spans="1:18" s="83" customFormat="1" ht="23.45" customHeight="1" x14ac:dyDescent="0.25">
      <c r="A40" s="84" t="s">
        <v>82</v>
      </c>
      <c r="B40" s="84"/>
      <c r="C40" s="102"/>
      <c r="D40" s="94" t="s">
        <v>33</v>
      </c>
      <c r="E40" s="124">
        <v>479730.57570710115</v>
      </c>
      <c r="F40" s="87">
        <v>43.482765804876507</v>
      </c>
      <c r="G40" s="88">
        <v>423816.62901227491</v>
      </c>
      <c r="H40" s="125">
        <v>55913.94669482622</v>
      </c>
      <c r="I40" s="170"/>
      <c r="J40" s="153">
        <v>496399.91880244785</v>
      </c>
      <c r="K40" s="87">
        <v>43.319663238888225</v>
      </c>
      <c r="L40" s="88">
        <v>438136.1872050736</v>
      </c>
      <c r="M40" s="125">
        <v>58263.731597374281</v>
      </c>
      <c r="N40" s="153">
        <v>526319.40002133918</v>
      </c>
      <c r="O40" s="87">
        <v>43.643285815070605</v>
      </c>
      <c r="P40" s="88">
        <v>455918.02975215111</v>
      </c>
      <c r="Q40" s="88">
        <v>70401.370269188104</v>
      </c>
      <c r="R40" s="286"/>
    </row>
    <row r="41" spans="1:18" s="100" customFormat="1" ht="21.6" customHeight="1" x14ac:dyDescent="0.25">
      <c r="A41" s="90"/>
      <c r="B41" s="90"/>
      <c r="C41" s="103" t="s">
        <v>415</v>
      </c>
      <c r="D41" s="104" t="s">
        <v>71</v>
      </c>
      <c r="E41" s="105">
        <v>414697.12337577046</v>
      </c>
      <c r="F41" s="93">
        <v>37.588135526125242</v>
      </c>
      <c r="G41" s="106">
        <v>414697.12337577046</v>
      </c>
      <c r="H41" s="131">
        <v>0</v>
      </c>
      <c r="I41" s="199"/>
      <c r="J41" s="122">
        <v>428166.47483047273</v>
      </c>
      <c r="K41" s="93">
        <v>37.365089713520973</v>
      </c>
      <c r="L41" s="106">
        <v>428166.47483047273</v>
      </c>
      <c r="M41" s="131">
        <v>0</v>
      </c>
      <c r="N41" s="122">
        <v>445481.69800179778</v>
      </c>
      <c r="O41" s="93">
        <v>36.940088224920373</v>
      </c>
      <c r="P41" s="106">
        <v>445481.69800179778</v>
      </c>
      <c r="Q41" s="106">
        <v>0</v>
      </c>
      <c r="R41" s="135"/>
    </row>
    <row r="42" spans="1:18" s="100" customFormat="1" ht="29.45" customHeight="1" x14ac:dyDescent="0.25">
      <c r="A42" s="90"/>
      <c r="B42" s="90"/>
      <c r="C42" s="107" t="s">
        <v>107</v>
      </c>
      <c r="D42" s="104" t="s">
        <v>112</v>
      </c>
      <c r="E42" s="105">
        <v>57128.134139995716</v>
      </c>
      <c r="F42" s="93">
        <v>5.1780924616230033</v>
      </c>
      <c r="G42" s="106">
        <v>1214.1874451694971</v>
      </c>
      <c r="H42" s="132">
        <v>55913.94669482622</v>
      </c>
      <c r="I42" s="200"/>
      <c r="J42" s="122">
        <v>59527.668499277912</v>
      </c>
      <c r="K42" s="93">
        <v>5.194840802967871</v>
      </c>
      <c r="L42" s="106">
        <v>1263.9369019036296</v>
      </c>
      <c r="M42" s="132">
        <v>58263.731597374281</v>
      </c>
      <c r="N42" s="122">
        <v>71717.367754426945</v>
      </c>
      <c r="O42" s="93">
        <v>5.9469242035997167</v>
      </c>
      <c r="P42" s="106">
        <v>1315.9974852388466</v>
      </c>
      <c r="Q42" s="44">
        <v>70401.370269188104</v>
      </c>
      <c r="R42" s="135"/>
    </row>
    <row r="43" spans="1:18" s="100" customFormat="1" ht="29.45" customHeight="1" x14ac:dyDescent="0.25">
      <c r="A43" s="108"/>
      <c r="B43" s="109"/>
      <c r="C43" s="110" t="s">
        <v>113</v>
      </c>
      <c r="D43" s="111" t="s">
        <v>95</v>
      </c>
      <c r="E43" s="112">
        <v>7905.3181913349454</v>
      </c>
      <c r="F43" s="113">
        <v>0.71653781712825504</v>
      </c>
      <c r="G43" s="114">
        <v>7905.3181913349454</v>
      </c>
      <c r="H43" s="133">
        <v>0</v>
      </c>
      <c r="I43" s="199"/>
      <c r="J43" s="123">
        <v>8705.7754726972289</v>
      </c>
      <c r="K43" s="113">
        <v>0.75973272239938405</v>
      </c>
      <c r="L43" s="114">
        <v>8705.7754726972289</v>
      </c>
      <c r="M43" s="133">
        <v>0</v>
      </c>
      <c r="N43" s="123">
        <v>9120.3342651145322</v>
      </c>
      <c r="O43" s="113">
        <v>0.7562733865505189</v>
      </c>
      <c r="P43" s="114">
        <v>9120.3342651145322</v>
      </c>
      <c r="Q43" s="114">
        <v>0</v>
      </c>
      <c r="R43" s="135"/>
    </row>
    <row r="44" spans="1:18" s="118" customFormat="1" x14ac:dyDescent="0.25">
      <c r="A44" s="115" t="s">
        <v>416</v>
      </c>
      <c r="B44" s="115"/>
      <c r="C44" s="116"/>
      <c r="D44" s="117"/>
      <c r="E44" s="117"/>
      <c r="F44" s="117"/>
      <c r="G44" s="117"/>
      <c r="H44" s="117"/>
      <c r="I44" s="117"/>
      <c r="J44" s="117" t="s">
        <v>687</v>
      </c>
      <c r="K44" s="117"/>
      <c r="L44" s="117"/>
      <c r="M44" s="117"/>
      <c r="N44" s="135"/>
      <c r="O44" s="135"/>
      <c r="P44" s="135"/>
      <c r="Q44" s="135"/>
      <c r="R44" s="117"/>
    </row>
    <row r="45" spans="1:18" s="118" customFormat="1" ht="15" x14ac:dyDescent="0.25">
      <c r="A45" s="117"/>
      <c r="B45" s="116"/>
      <c r="C45" s="116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</row>
    <row r="46" spans="1:18" s="118" customFormat="1" ht="15" x14ac:dyDescent="0.25">
      <c r="A46" s="119"/>
      <c r="B46" s="115"/>
      <c r="C46" s="116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</row>
    <row r="47" spans="1:18" s="118" customFormat="1" ht="15" x14ac:dyDescent="0.25">
      <c r="A47" s="119"/>
      <c r="B47" s="115"/>
      <c r="C47" s="116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</row>
    <row r="48" spans="1:18" ht="16.5" x14ac:dyDescent="0.25">
      <c r="A48" s="120"/>
      <c r="B48" s="120"/>
      <c r="C48" s="121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117"/>
      <c r="O48" s="117"/>
      <c r="P48" s="117"/>
      <c r="Q48" s="117"/>
      <c r="R48" s="79"/>
    </row>
  </sheetData>
  <mergeCells count="32">
    <mergeCell ref="E3:H3"/>
    <mergeCell ref="E4:H4"/>
    <mergeCell ref="A1:H1"/>
    <mergeCell ref="E5:E7"/>
    <mergeCell ref="G5:G7"/>
    <mergeCell ref="H5:H7"/>
    <mergeCell ref="A3:D3"/>
    <mergeCell ref="A10:C10"/>
    <mergeCell ref="J5:J7"/>
    <mergeCell ref="L5:L7"/>
    <mergeCell ref="M5:M7"/>
    <mergeCell ref="J8:J9"/>
    <mergeCell ref="K8:K9"/>
    <mergeCell ref="L8:L9"/>
    <mergeCell ref="M8:M9"/>
    <mergeCell ref="A8:D9"/>
    <mergeCell ref="E8:E9"/>
    <mergeCell ref="F8:F9"/>
    <mergeCell ref="G8:G9"/>
    <mergeCell ref="H8:H9"/>
    <mergeCell ref="N8:N9"/>
    <mergeCell ref="O8:O9"/>
    <mergeCell ref="P8:P9"/>
    <mergeCell ref="Q8:Q9"/>
    <mergeCell ref="J1:Q1"/>
    <mergeCell ref="J3:M3"/>
    <mergeCell ref="J4:M4"/>
    <mergeCell ref="N3:Q3"/>
    <mergeCell ref="N4:Q4"/>
    <mergeCell ref="N5:N7"/>
    <mergeCell ref="P5:P7"/>
    <mergeCell ref="Q5:Q7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2" firstPageNumber="50" fitToWidth="2" orientation="portrait" r:id="rId1"/>
  <headerFooter alignWithMargins="0"/>
  <colBreaks count="1" manualBreakCount="1">
    <brk id="9" max="4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H48"/>
  <sheetViews>
    <sheetView view="pageBreakPreview" zoomScale="70" zoomScaleNormal="55" zoomScaleSheetLayoutView="70" workbookViewId="0">
      <pane xSplit="4" ySplit="9" topLeftCell="P10" activePane="bottomRight" state="frozen"/>
      <selection pane="topRight" activeCell="E1" sqref="E1"/>
      <selection pane="bottomLeft" activeCell="A10" sqref="A10"/>
      <selection pane="bottomRight" activeCell="AH10" sqref="AH10"/>
    </sheetView>
  </sheetViews>
  <sheetFormatPr defaultColWidth="8.875" defaultRowHeight="15.75" x14ac:dyDescent="0.25"/>
  <cols>
    <col min="1" max="1" width="0.75" style="76" customWidth="1"/>
    <col min="2" max="2" width="1" style="76" customWidth="1"/>
    <col min="3" max="3" width="29.5" style="76" customWidth="1"/>
    <col min="4" max="4" width="28.125" style="76" customWidth="1"/>
    <col min="5" max="5" width="12.5" style="76" customWidth="1"/>
    <col min="6" max="6" width="11.5" style="76" bestFit="1" customWidth="1"/>
    <col min="7" max="7" width="15" style="76" customWidth="1"/>
    <col min="8" max="8" width="13.625" style="76" customWidth="1"/>
    <col min="9" max="9" width="0.5" style="76" customWidth="1"/>
    <col min="10" max="10" width="12.75" style="76" bestFit="1" customWidth="1"/>
    <col min="11" max="11" width="9.875" style="76" customWidth="1"/>
    <col min="12" max="12" width="12.75" style="76" bestFit="1" customWidth="1"/>
    <col min="13" max="13" width="14.875" style="76" bestFit="1" customWidth="1"/>
    <col min="14" max="14" width="12.75" style="76" customWidth="1"/>
    <col min="15" max="15" width="9.75" style="76" customWidth="1"/>
    <col min="16" max="16" width="13.875" style="76" customWidth="1"/>
    <col min="17" max="17" width="17.25" style="76" customWidth="1"/>
    <col min="18" max="18" width="2.625" style="76" customWidth="1"/>
    <col min="19" max="19" width="2.75" style="76" customWidth="1"/>
    <col min="20" max="20" width="28.25" style="76" customWidth="1"/>
    <col min="21" max="21" width="25.5" style="76" customWidth="1"/>
    <col min="22" max="22" width="12.625" style="76" customWidth="1"/>
    <col min="23" max="23" width="9.75" style="76" customWidth="1"/>
    <col min="24" max="24" width="15" style="76" customWidth="1"/>
    <col min="25" max="25" width="13.625" style="76" customWidth="1"/>
    <col min="26" max="26" width="0.875" style="76" customWidth="1"/>
    <col min="27" max="27" width="12.625" style="76" customWidth="1"/>
    <col min="28" max="28" width="10.375" style="76" customWidth="1"/>
    <col min="29" max="29" width="15" style="76" customWidth="1"/>
    <col min="30" max="30" width="13.75" style="76" customWidth="1"/>
    <col min="31" max="31" width="12.625" style="76" customWidth="1"/>
    <col min="32" max="32" width="10.25" style="76" customWidth="1"/>
    <col min="33" max="33" width="15" style="76" customWidth="1"/>
    <col min="34" max="34" width="13.75" style="76" customWidth="1"/>
    <col min="35" max="16384" width="8.875" style="76"/>
  </cols>
  <sheetData>
    <row r="1" spans="1:34" ht="33" customHeight="1" x14ac:dyDescent="0.25">
      <c r="A1" s="685" t="s">
        <v>674</v>
      </c>
      <c r="B1" s="652"/>
      <c r="C1" s="652"/>
      <c r="D1" s="652"/>
      <c r="E1" s="652"/>
      <c r="F1" s="652"/>
      <c r="G1" s="652"/>
      <c r="H1" s="652"/>
      <c r="I1" s="190"/>
      <c r="J1" s="661" t="s">
        <v>418</v>
      </c>
      <c r="K1" s="652"/>
      <c r="L1" s="652"/>
      <c r="M1" s="652"/>
      <c r="N1" s="652"/>
      <c r="O1" s="652"/>
      <c r="P1" s="652"/>
      <c r="Q1" s="652"/>
      <c r="R1" s="685" t="s">
        <v>675</v>
      </c>
      <c r="S1" s="652"/>
      <c r="T1" s="652"/>
      <c r="U1" s="652"/>
      <c r="V1" s="652"/>
      <c r="W1" s="652"/>
      <c r="X1" s="652"/>
      <c r="Y1" s="652"/>
      <c r="Z1" s="190"/>
      <c r="AA1" s="661" t="s">
        <v>545</v>
      </c>
      <c r="AB1" s="652"/>
      <c r="AC1" s="652"/>
      <c r="AD1" s="652"/>
      <c r="AE1" s="652"/>
      <c r="AF1" s="652"/>
      <c r="AG1" s="652"/>
      <c r="AH1" s="652"/>
    </row>
    <row r="2" spans="1:34" ht="22.7" customHeight="1" x14ac:dyDescent="0.25">
      <c r="A2" s="77" t="s">
        <v>103</v>
      </c>
      <c r="B2" s="77"/>
      <c r="C2" s="77"/>
      <c r="D2" s="77"/>
      <c r="E2" s="78"/>
      <c r="F2" s="79"/>
      <c r="G2" s="80"/>
      <c r="H2" s="81"/>
      <c r="I2" s="194"/>
      <c r="J2" s="79"/>
      <c r="K2" s="79"/>
      <c r="L2" s="79"/>
      <c r="M2" s="79"/>
      <c r="N2" s="79"/>
      <c r="O2" s="79"/>
      <c r="P2" s="79"/>
      <c r="Q2" s="81" t="s">
        <v>68</v>
      </c>
      <c r="R2" s="77" t="s">
        <v>103</v>
      </c>
      <c r="S2" s="77"/>
      <c r="T2" s="77"/>
      <c r="U2" s="77"/>
      <c r="V2" s="78"/>
      <c r="W2" s="79"/>
      <c r="X2" s="80"/>
      <c r="Y2" s="81"/>
      <c r="Z2" s="194"/>
      <c r="AA2" s="79"/>
      <c r="AB2" s="79"/>
      <c r="AC2" s="79"/>
      <c r="AD2" s="79"/>
      <c r="AE2" s="79"/>
      <c r="AF2" s="79"/>
      <c r="AG2" s="79"/>
      <c r="AH2" s="81" t="s">
        <v>68</v>
      </c>
    </row>
    <row r="3" spans="1:34" ht="16.899999999999999" customHeight="1" x14ac:dyDescent="0.25">
      <c r="A3" s="686" t="s">
        <v>465</v>
      </c>
      <c r="B3" s="686"/>
      <c r="C3" s="686"/>
      <c r="D3" s="687"/>
      <c r="E3" s="690" t="s">
        <v>215</v>
      </c>
      <c r="F3" s="663"/>
      <c r="G3" s="663"/>
      <c r="H3" s="664"/>
      <c r="I3" s="251"/>
      <c r="J3" s="662" t="s">
        <v>371</v>
      </c>
      <c r="K3" s="663"/>
      <c r="L3" s="663"/>
      <c r="M3" s="664"/>
      <c r="N3" s="690" t="s">
        <v>381</v>
      </c>
      <c r="O3" s="663"/>
      <c r="P3" s="663"/>
      <c r="Q3" s="663"/>
      <c r="R3" s="686" t="s">
        <v>465</v>
      </c>
      <c r="S3" s="686"/>
      <c r="T3" s="686"/>
      <c r="U3" s="687"/>
      <c r="V3" s="691" t="s">
        <v>389</v>
      </c>
      <c r="W3" s="692"/>
      <c r="X3" s="692"/>
      <c r="Y3" s="693"/>
      <c r="Z3" s="195"/>
      <c r="AA3" s="694" t="s">
        <v>399</v>
      </c>
      <c r="AB3" s="692"/>
      <c r="AC3" s="692"/>
      <c r="AD3" s="693"/>
      <c r="AE3" s="691" t="s">
        <v>419</v>
      </c>
      <c r="AF3" s="692"/>
      <c r="AG3" s="692"/>
      <c r="AH3" s="692"/>
    </row>
    <row r="4" spans="1:34" ht="14.45" customHeight="1" x14ac:dyDescent="0.25">
      <c r="A4" s="90"/>
      <c r="B4" s="90"/>
      <c r="C4" s="90"/>
      <c r="D4" s="193"/>
      <c r="E4" s="684">
        <v>2017</v>
      </c>
      <c r="F4" s="665"/>
      <c r="G4" s="665"/>
      <c r="H4" s="666"/>
      <c r="I4" s="252"/>
      <c r="J4" s="665">
        <v>2018</v>
      </c>
      <c r="K4" s="665"/>
      <c r="L4" s="665"/>
      <c r="M4" s="666"/>
      <c r="N4" s="684">
        <v>2019</v>
      </c>
      <c r="O4" s="665"/>
      <c r="P4" s="665"/>
      <c r="Q4" s="665"/>
      <c r="R4" s="90"/>
      <c r="S4" s="90"/>
      <c r="T4" s="90"/>
      <c r="U4" s="193"/>
      <c r="V4" s="616">
        <v>2020</v>
      </c>
      <c r="W4" s="624"/>
      <c r="X4" s="624"/>
      <c r="Y4" s="625"/>
      <c r="Z4" s="61"/>
      <c r="AA4" s="624">
        <v>2021</v>
      </c>
      <c r="AB4" s="624"/>
      <c r="AC4" s="624"/>
      <c r="AD4" s="625"/>
      <c r="AE4" s="616">
        <v>2022</v>
      </c>
      <c r="AF4" s="624"/>
      <c r="AG4" s="624"/>
      <c r="AH4" s="624"/>
    </row>
    <row r="5" spans="1:34" ht="10.9" customHeight="1" x14ac:dyDescent="0.25">
      <c r="A5" s="90"/>
      <c r="B5" s="90"/>
      <c r="C5" s="90"/>
      <c r="D5" s="193"/>
      <c r="E5" s="670" t="s">
        <v>80</v>
      </c>
      <c r="F5" s="82"/>
      <c r="G5" s="668" t="s">
        <v>429</v>
      </c>
      <c r="H5" s="672" t="s">
        <v>466</v>
      </c>
      <c r="I5" s="249"/>
      <c r="J5" s="667" t="s">
        <v>417</v>
      </c>
      <c r="K5" s="134"/>
      <c r="L5" s="668" t="s">
        <v>429</v>
      </c>
      <c r="M5" s="672" t="s">
        <v>466</v>
      </c>
      <c r="N5" s="688" t="s">
        <v>417</v>
      </c>
      <c r="O5" s="134"/>
      <c r="P5" s="668" t="s">
        <v>429</v>
      </c>
      <c r="Q5" s="667" t="s">
        <v>466</v>
      </c>
      <c r="R5" s="90"/>
      <c r="S5" s="90"/>
      <c r="T5" s="90"/>
      <c r="U5" s="193"/>
      <c r="V5" s="670" t="s">
        <v>80</v>
      </c>
      <c r="W5" s="82"/>
      <c r="X5" s="668" t="s">
        <v>429</v>
      </c>
      <c r="Y5" s="672" t="s">
        <v>466</v>
      </c>
      <c r="Z5" s="191"/>
      <c r="AA5" s="667" t="s">
        <v>417</v>
      </c>
      <c r="AB5" s="134"/>
      <c r="AC5" s="668" t="s">
        <v>429</v>
      </c>
      <c r="AD5" s="672" t="s">
        <v>466</v>
      </c>
      <c r="AE5" s="688" t="s">
        <v>417</v>
      </c>
      <c r="AF5" s="134"/>
      <c r="AG5" s="668" t="s">
        <v>429</v>
      </c>
      <c r="AH5" s="667" t="s">
        <v>466</v>
      </c>
    </row>
    <row r="6" spans="1:34" ht="7.9" customHeight="1" x14ac:dyDescent="0.25">
      <c r="A6" s="90"/>
      <c r="B6" s="90"/>
      <c r="C6" s="90"/>
      <c r="D6" s="193"/>
      <c r="E6" s="670"/>
      <c r="F6" s="82"/>
      <c r="G6" s="668"/>
      <c r="H6" s="673"/>
      <c r="I6" s="135"/>
      <c r="J6" s="667"/>
      <c r="K6" s="134"/>
      <c r="L6" s="668"/>
      <c r="M6" s="673"/>
      <c r="N6" s="688"/>
      <c r="O6" s="134"/>
      <c r="P6" s="668"/>
      <c r="Q6" s="689"/>
      <c r="R6" s="90"/>
      <c r="S6" s="90"/>
      <c r="T6" s="90"/>
      <c r="U6" s="193"/>
      <c r="V6" s="670"/>
      <c r="W6" s="82"/>
      <c r="X6" s="668"/>
      <c r="Y6" s="673"/>
      <c r="Z6" s="192"/>
      <c r="AA6" s="667"/>
      <c r="AB6" s="134"/>
      <c r="AC6" s="668"/>
      <c r="AD6" s="673"/>
      <c r="AE6" s="688"/>
      <c r="AF6" s="134"/>
      <c r="AG6" s="668"/>
      <c r="AH6" s="689"/>
    </row>
    <row r="7" spans="1:34" ht="19.149999999999999" customHeight="1" x14ac:dyDescent="0.25">
      <c r="A7" s="90"/>
      <c r="B7" s="90"/>
      <c r="C7" s="90"/>
      <c r="D7" s="193"/>
      <c r="E7" s="670"/>
      <c r="F7" s="56" t="s">
        <v>83</v>
      </c>
      <c r="G7" s="668"/>
      <c r="H7" s="673"/>
      <c r="I7" s="135"/>
      <c r="J7" s="667"/>
      <c r="K7" s="57" t="s">
        <v>72</v>
      </c>
      <c r="L7" s="668"/>
      <c r="M7" s="673"/>
      <c r="N7" s="688"/>
      <c r="O7" s="57" t="s">
        <v>72</v>
      </c>
      <c r="P7" s="668"/>
      <c r="Q7" s="689"/>
      <c r="R7" s="90"/>
      <c r="S7" s="90"/>
      <c r="T7" s="90"/>
      <c r="U7" s="193"/>
      <c r="V7" s="670"/>
      <c r="W7" s="56" t="s">
        <v>83</v>
      </c>
      <c r="X7" s="668"/>
      <c r="Y7" s="673"/>
      <c r="Z7" s="192"/>
      <c r="AA7" s="667"/>
      <c r="AB7" s="57" t="s">
        <v>72</v>
      </c>
      <c r="AC7" s="668"/>
      <c r="AD7" s="673"/>
      <c r="AE7" s="688"/>
      <c r="AF7" s="57" t="s">
        <v>72</v>
      </c>
      <c r="AG7" s="668"/>
      <c r="AH7" s="689"/>
    </row>
    <row r="8" spans="1:34" s="83" customFormat="1" ht="10.15" customHeight="1" x14ac:dyDescent="0.25">
      <c r="A8" s="675" t="s">
        <v>464</v>
      </c>
      <c r="B8" s="675"/>
      <c r="C8" s="675"/>
      <c r="D8" s="676"/>
      <c r="E8" s="679" t="s">
        <v>20</v>
      </c>
      <c r="F8" s="655" t="s">
        <v>21</v>
      </c>
      <c r="G8" s="657" t="s">
        <v>408</v>
      </c>
      <c r="H8" s="674" t="s">
        <v>73</v>
      </c>
      <c r="I8" s="253"/>
      <c r="J8" s="653" t="s">
        <v>20</v>
      </c>
      <c r="K8" s="655" t="s">
        <v>21</v>
      </c>
      <c r="L8" s="657" t="s">
        <v>408</v>
      </c>
      <c r="M8" s="674" t="s">
        <v>73</v>
      </c>
      <c r="N8" s="679" t="s">
        <v>20</v>
      </c>
      <c r="O8" s="655" t="s">
        <v>21</v>
      </c>
      <c r="P8" s="657" t="s">
        <v>408</v>
      </c>
      <c r="Q8" s="659" t="s">
        <v>73</v>
      </c>
      <c r="R8" s="675" t="s">
        <v>464</v>
      </c>
      <c r="S8" s="675"/>
      <c r="T8" s="675"/>
      <c r="U8" s="676"/>
      <c r="V8" s="679" t="s">
        <v>20</v>
      </c>
      <c r="W8" s="655" t="s">
        <v>21</v>
      </c>
      <c r="X8" s="657" t="s">
        <v>408</v>
      </c>
      <c r="Y8" s="674" t="s">
        <v>73</v>
      </c>
      <c r="Z8" s="189"/>
      <c r="AA8" s="653" t="s">
        <v>20</v>
      </c>
      <c r="AB8" s="655" t="s">
        <v>21</v>
      </c>
      <c r="AC8" s="657" t="s">
        <v>408</v>
      </c>
      <c r="AD8" s="674" t="s">
        <v>73</v>
      </c>
      <c r="AE8" s="679" t="s">
        <v>20</v>
      </c>
      <c r="AF8" s="655" t="s">
        <v>21</v>
      </c>
      <c r="AG8" s="657" t="s">
        <v>408</v>
      </c>
      <c r="AH8" s="659" t="s">
        <v>73</v>
      </c>
    </row>
    <row r="9" spans="1:34" s="83" customFormat="1" ht="21.6" customHeight="1" x14ac:dyDescent="0.25">
      <c r="A9" s="677"/>
      <c r="B9" s="677"/>
      <c r="C9" s="677"/>
      <c r="D9" s="678"/>
      <c r="E9" s="680"/>
      <c r="F9" s="656"/>
      <c r="G9" s="658"/>
      <c r="H9" s="657"/>
      <c r="I9" s="253"/>
      <c r="J9" s="654"/>
      <c r="K9" s="656"/>
      <c r="L9" s="658"/>
      <c r="M9" s="657"/>
      <c r="N9" s="680"/>
      <c r="O9" s="656"/>
      <c r="P9" s="658"/>
      <c r="Q9" s="660"/>
      <c r="R9" s="677"/>
      <c r="S9" s="677"/>
      <c r="T9" s="677"/>
      <c r="U9" s="678"/>
      <c r="V9" s="680"/>
      <c r="W9" s="656"/>
      <c r="X9" s="658"/>
      <c r="Y9" s="657"/>
      <c r="Z9" s="189"/>
      <c r="AA9" s="654"/>
      <c r="AB9" s="656"/>
      <c r="AC9" s="658"/>
      <c r="AD9" s="657"/>
      <c r="AE9" s="680"/>
      <c r="AF9" s="656"/>
      <c r="AG9" s="658"/>
      <c r="AH9" s="660"/>
    </row>
    <row r="10" spans="1:34" s="89" customFormat="1" ht="19.899999999999999" customHeight="1" x14ac:dyDescent="0.25">
      <c r="A10" s="671" t="s">
        <v>217</v>
      </c>
      <c r="B10" s="671"/>
      <c r="C10" s="671"/>
      <c r="D10" s="86" t="s">
        <v>14</v>
      </c>
      <c r="E10" s="124">
        <v>1276080.694631</v>
      </c>
      <c r="F10" s="87">
        <v>100</v>
      </c>
      <c r="G10" s="153">
        <v>1193126.2478499999</v>
      </c>
      <c r="H10" s="254">
        <v>82954.446781000006</v>
      </c>
      <c r="I10" s="88"/>
      <c r="J10" s="247">
        <v>1359366.8528749999</v>
      </c>
      <c r="K10" s="87">
        <v>100</v>
      </c>
      <c r="L10" s="153">
        <v>1264238.9433519999</v>
      </c>
      <c r="M10" s="153">
        <v>95127.909523000009</v>
      </c>
      <c r="N10" s="124">
        <v>1421046.180867</v>
      </c>
      <c r="O10" s="87">
        <v>100</v>
      </c>
      <c r="P10" s="153">
        <v>1330375.0253379999</v>
      </c>
      <c r="Q10" s="153">
        <v>90671.155528999996</v>
      </c>
      <c r="R10" s="671" t="s">
        <v>217</v>
      </c>
      <c r="S10" s="671"/>
      <c r="T10" s="671"/>
      <c r="U10" s="86" t="s">
        <v>14</v>
      </c>
      <c r="V10" s="124">
        <v>1537092.261338</v>
      </c>
      <c r="W10" s="87">
        <v>100</v>
      </c>
      <c r="X10" s="153">
        <v>1433302.4749090001</v>
      </c>
      <c r="Y10" s="254">
        <v>103789.786429</v>
      </c>
      <c r="Z10" s="124"/>
      <c r="AA10" s="247">
        <v>1653437.0353399999</v>
      </c>
      <c r="AB10" s="87">
        <v>100</v>
      </c>
      <c r="AC10" s="153">
        <v>1548960.7921219999</v>
      </c>
      <c r="AD10" s="153">
        <v>104476.243218</v>
      </c>
      <c r="AE10" s="124">
        <v>1770438.8497319999</v>
      </c>
      <c r="AF10" s="87">
        <v>100</v>
      </c>
      <c r="AG10" s="153">
        <v>1667225.1237630001</v>
      </c>
      <c r="AH10" s="153">
        <v>103213.72596900001</v>
      </c>
    </row>
    <row r="11" spans="1:34" s="8" customFormat="1" ht="19.899999999999999" customHeight="1" x14ac:dyDescent="0.25">
      <c r="A11" s="90"/>
      <c r="B11" s="90"/>
      <c r="C11" s="91" t="s">
        <v>83</v>
      </c>
      <c r="D11" s="92" t="s">
        <v>21</v>
      </c>
      <c r="E11" s="126">
        <v>100</v>
      </c>
      <c r="F11" s="93"/>
      <c r="G11" s="127">
        <v>93.499278914725082</v>
      </c>
      <c r="H11" s="128">
        <v>6.5007210852749147</v>
      </c>
      <c r="I11" s="127"/>
      <c r="J11" s="169">
        <v>100</v>
      </c>
      <c r="K11" s="93"/>
      <c r="L11" s="127">
        <v>93.002042875930897</v>
      </c>
      <c r="M11" s="127">
        <v>6.997957124069103</v>
      </c>
      <c r="N11" s="126">
        <v>100</v>
      </c>
      <c r="O11" s="93"/>
      <c r="P11" s="127">
        <v>93.619408239521078</v>
      </c>
      <c r="Q11" s="127">
        <v>6.3805917604789073</v>
      </c>
      <c r="R11" s="90"/>
      <c r="S11" s="90"/>
      <c r="T11" s="91" t="s">
        <v>83</v>
      </c>
      <c r="U11" s="92" t="s">
        <v>21</v>
      </c>
      <c r="V11" s="126">
        <v>100</v>
      </c>
      <c r="W11" s="93"/>
      <c r="X11" s="127">
        <v>93.247654090805625</v>
      </c>
      <c r="Y11" s="128">
        <v>6.7523459091943909</v>
      </c>
      <c r="Z11" s="196"/>
      <c r="AA11" s="169">
        <v>100</v>
      </c>
      <c r="AB11" s="93"/>
      <c r="AC11" s="127">
        <v>93.681268715713969</v>
      </c>
      <c r="AD11" s="128">
        <v>6.3187312842860273</v>
      </c>
      <c r="AE11" s="126">
        <v>100</v>
      </c>
      <c r="AF11" s="93"/>
      <c r="AG11" s="127">
        <v>94.17016148371215</v>
      </c>
      <c r="AH11" s="127">
        <v>5.8298385162878672</v>
      </c>
    </row>
    <row r="12" spans="1:34" s="89" customFormat="1" ht="22.15" customHeight="1" x14ac:dyDescent="0.25">
      <c r="A12" s="84" t="s">
        <v>84</v>
      </c>
      <c r="B12" s="84"/>
      <c r="C12" s="85"/>
      <c r="D12" s="94" t="s">
        <v>22</v>
      </c>
      <c r="E12" s="124">
        <v>719803.93424899993</v>
      </c>
      <c r="F12" s="87">
        <v>56.407399412710589</v>
      </c>
      <c r="G12" s="153">
        <v>701233.96318700002</v>
      </c>
      <c r="H12" s="254">
        <v>18569.971062000001</v>
      </c>
      <c r="I12" s="88"/>
      <c r="J12" s="153">
        <v>766861.31532599987</v>
      </c>
      <c r="K12" s="87">
        <v>56.413124514852086</v>
      </c>
      <c r="L12" s="153">
        <v>743784.3877379999</v>
      </c>
      <c r="M12" s="153">
        <v>23076.927587999999</v>
      </c>
      <c r="N12" s="124">
        <v>803175.11991899996</v>
      </c>
      <c r="O12" s="87">
        <v>56.519987227225201</v>
      </c>
      <c r="P12" s="153">
        <v>778973.44484699995</v>
      </c>
      <c r="Q12" s="153">
        <v>24201.675071999998</v>
      </c>
      <c r="R12" s="84" t="s">
        <v>84</v>
      </c>
      <c r="S12" s="84"/>
      <c r="T12" s="85"/>
      <c r="U12" s="94" t="s">
        <v>22</v>
      </c>
      <c r="V12" s="124">
        <v>881584.73332499992</v>
      </c>
      <c r="W12" s="87">
        <v>57.354054502727294</v>
      </c>
      <c r="X12" s="153">
        <v>852444.23153900006</v>
      </c>
      <c r="Y12" s="254">
        <v>29140.501786000001</v>
      </c>
      <c r="Z12" s="124"/>
      <c r="AA12" s="153">
        <v>986200.68557999993</v>
      </c>
      <c r="AB12" s="87">
        <v>59.645493871328782</v>
      </c>
      <c r="AC12" s="153">
        <v>959406.66106699989</v>
      </c>
      <c r="AD12" s="153">
        <v>26794.024513</v>
      </c>
      <c r="AE12" s="124">
        <v>1067312.4555009999</v>
      </c>
      <c r="AF12" s="87">
        <v>60.285191756979593</v>
      </c>
      <c r="AG12" s="153">
        <v>1035021.4320039999</v>
      </c>
      <c r="AH12" s="153">
        <v>32291.023497000002</v>
      </c>
    </row>
    <row r="13" spans="1:34" s="89" customFormat="1" ht="22.15" customHeight="1" x14ac:dyDescent="0.25">
      <c r="A13" s="84"/>
      <c r="B13" s="84"/>
      <c r="C13" s="95" t="s">
        <v>409</v>
      </c>
      <c r="D13" s="94" t="s">
        <v>226</v>
      </c>
      <c r="E13" s="170">
        <v>78539.438645999995</v>
      </c>
      <c r="F13" s="87">
        <v>6.1547391929403794</v>
      </c>
      <c r="G13" s="88">
        <v>76981.700635999994</v>
      </c>
      <c r="H13" s="125">
        <v>1557.7380099999998</v>
      </c>
      <c r="I13" s="88"/>
      <c r="J13" s="88">
        <v>89371.575930999985</v>
      </c>
      <c r="K13" s="87">
        <v>6.5745001610112181</v>
      </c>
      <c r="L13" s="88">
        <v>85514.865749999983</v>
      </c>
      <c r="M13" s="88">
        <v>3856.7101809999999</v>
      </c>
      <c r="N13" s="170">
        <v>101876.02449599998</v>
      </c>
      <c r="O13" s="87">
        <v>7.1690861189214843</v>
      </c>
      <c r="P13" s="88">
        <v>98070.356105999977</v>
      </c>
      <c r="Q13" s="88">
        <v>3805.6683900000003</v>
      </c>
      <c r="R13" s="84"/>
      <c r="S13" s="84"/>
      <c r="T13" s="95" t="s">
        <v>409</v>
      </c>
      <c r="U13" s="94" t="s">
        <v>226</v>
      </c>
      <c r="V13" s="170">
        <v>139057.56222999998</v>
      </c>
      <c r="W13" s="87">
        <v>9.0467934637153071</v>
      </c>
      <c r="X13" s="88">
        <v>132425.62517300004</v>
      </c>
      <c r="Y13" s="125">
        <v>6631.9370569999992</v>
      </c>
      <c r="Z13" s="170"/>
      <c r="AA13" s="88">
        <v>208123.66424199997</v>
      </c>
      <c r="AB13" s="87">
        <v>12.587335338064628</v>
      </c>
      <c r="AC13" s="88">
        <v>205760.83705399997</v>
      </c>
      <c r="AD13" s="88">
        <v>2362.8271880000002</v>
      </c>
      <c r="AE13" s="170">
        <v>263444.88871699997</v>
      </c>
      <c r="AF13" s="87">
        <v>14.880202654662652</v>
      </c>
      <c r="AG13" s="88">
        <v>257214.86348700002</v>
      </c>
      <c r="AH13" s="88">
        <v>6230.0252300000011</v>
      </c>
    </row>
    <row r="14" spans="1:34" s="175" customFormat="1" ht="25.15" customHeight="1" x14ac:dyDescent="0.25">
      <c r="A14" s="96"/>
      <c r="B14" s="96"/>
      <c r="C14" s="96" t="s">
        <v>119</v>
      </c>
      <c r="D14" s="171" t="s">
        <v>65</v>
      </c>
      <c r="E14" s="182">
        <v>62179.496223000002</v>
      </c>
      <c r="F14" s="172">
        <v>4.8726931207889042</v>
      </c>
      <c r="G14" s="173">
        <v>61364.969370999999</v>
      </c>
      <c r="H14" s="174">
        <v>814.52685199999996</v>
      </c>
      <c r="I14" s="173"/>
      <c r="J14" s="183">
        <v>73637.327390999999</v>
      </c>
      <c r="K14" s="172">
        <v>5.4170312624042847</v>
      </c>
      <c r="L14" s="173">
        <v>70153.059359000006</v>
      </c>
      <c r="M14" s="174">
        <v>3484.2680319999999</v>
      </c>
      <c r="N14" s="182">
        <v>84524.472500999997</v>
      </c>
      <c r="O14" s="172">
        <v>5.9480454357528645</v>
      </c>
      <c r="P14" s="173">
        <v>82490.306826</v>
      </c>
      <c r="Q14" s="173">
        <v>2034.165675</v>
      </c>
      <c r="R14" s="96"/>
      <c r="S14" s="96"/>
      <c r="T14" s="96" t="s">
        <v>119</v>
      </c>
      <c r="U14" s="164" t="s">
        <v>65</v>
      </c>
      <c r="V14" s="182">
        <v>119830.42775100001</v>
      </c>
      <c r="W14" s="172">
        <v>7.7959164043081355</v>
      </c>
      <c r="X14" s="173">
        <v>114624.230561</v>
      </c>
      <c r="Y14" s="174">
        <v>5206.1971899999999</v>
      </c>
      <c r="Z14" s="181"/>
      <c r="AA14" s="183">
        <v>189138.87413299998</v>
      </c>
      <c r="AB14" s="172">
        <v>11.439133761395814</v>
      </c>
      <c r="AC14" s="173">
        <v>187309.43563699999</v>
      </c>
      <c r="AD14" s="174">
        <v>1829.438496</v>
      </c>
      <c r="AE14" s="182">
        <v>243421.71974900001</v>
      </c>
      <c r="AF14" s="172">
        <v>13.74923058121143</v>
      </c>
      <c r="AG14" s="173">
        <v>237777.379644</v>
      </c>
      <c r="AH14" s="173">
        <v>5644.3401050000002</v>
      </c>
    </row>
    <row r="15" spans="1:34" s="175" customFormat="1" ht="21.2" customHeight="1" x14ac:dyDescent="0.25">
      <c r="A15" s="96"/>
      <c r="B15" s="96"/>
      <c r="C15" s="96" t="s">
        <v>102</v>
      </c>
      <c r="D15" s="164" t="s">
        <v>15</v>
      </c>
      <c r="E15" s="182">
        <v>46.236983000000002</v>
      </c>
      <c r="F15" s="172">
        <v>3.6233588670793425E-3</v>
      </c>
      <c r="G15" s="173">
        <v>45.890467000000001</v>
      </c>
      <c r="H15" s="174">
        <v>0.34651599999999999</v>
      </c>
      <c r="I15" s="173"/>
      <c r="J15" s="183">
        <v>26.180834000000001</v>
      </c>
      <c r="K15" s="172">
        <v>1.9259579520148453E-3</v>
      </c>
      <c r="L15" s="173">
        <v>25.250834000000001</v>
      </c>
      <c r="M15" s="174">
        <v>0.93</v>
      </c>
      <c r="N15" s="182">
        <v>46.585155999999998</v>
      </c>
      <c r="O15" s="172">
        <v>3.2782295626436119E-3</v>
      </c>
      <c r="P15" s="173">
        <v>46.046399000000001</v>
      </c>
      <c r="Q15" s="173">
        <v>0.53875700000000004</v>
      </c>
      <c r="R15" s="96"/>
      <c r="S15" s="96"/>
      <c r="T15" s="96" t="s">
        <v>102</v>
      </c>
      <c r="U15" s="164" t="s">
        <v>15</v>
      </c>
      <c r="V15" s="182">
        <v>73.298987999999994</v>
      </c>
      <c r="W15" s="172">
        <v>4.7686784875356197E-3</v>
      </c>
      <c r="X15" s="173">
        <v>68.015407999999994</v>
      </c>
      <c r="Y15" s="174">
        <v>5.2835799999999997</v>
      </c>
      <c r="Z15" s="181"/>
      <c r="AA15" s="183">
        <v>220.05318400000002</v>
      </c>
      <c r="AB15" s="172">
        <v>1.3308833617286794E-2</v>
      </c>
      <c r="AC15" s="173">
        <v>219.21456900000001</v>
      </c>
      <c r="AD15" s="174">
        <v>0.838615</v>
      </c>
      <c r="AE15" s="182">
        <v>151.450445</v>
      </c>
      <c r="AF15" s="172">
        <v>8.5544013577721588E-3</v>
      </c>
      <c r="AG15" s="173">
        <v>151.03394499999999</v>
      </c>
      <c r="AH15" s="173">
        <v>0.41649999999999998</v>
      </c>
    </row>
    <row r="16" spans="1:34" s="175" customFormat="1" ht="21.2" customHeight="1" x14ac:dyDescent="0.25">
      <c r="A16" s="96"/>
      <c r="B16" s="96"/>
      <c r="C16" s="96" t="s">
        <v>117</v>
      </c>
      <c r="D16" s="164" t="s">
        <v>78</v>
      </c>
      <c r="E16" s="182">
        <v>458.32182399999999</v>
      </c>
      <c r="F16" s="172">
        <v>3.5916366882466737E-2</v>
      </c>
      <c r="G16" s="173">
        <v>455.381484</v>
      </c>
      <c r="H16" s="174">
        <v>2.94034</v>
      </c>
      <c r="I16" s="173"/>
      <c r="J16" s="183">
        <v>564.88587099999995</v>
      </c>
      <c r="K16" s="172">
        <v>4.1555071745738963E-2</v>
      </c>
      <c r="L16" s="173">
        <v>467.860859</v>
      </c>
      <c r="M16" s="174">
        <v>97.025012000000004</v>
      </c>
      <c r="N16" s="182">
        <v>541.11039499999993</v>
      </c>
      <c r="O16" s="172">
        <v>3.8078311759710791E-2</v>
      </c>
      <c r="P16" s="173">
        <v>537.00649499999997</v>
      </c>
      <c r="Q16" s="173">
        <v>4.1039000000000003</v>
      </c>
      <c r="R16" s="96"/>
      <c r="S16" s="96"/>
      <c r="T16" s="96" t="s">
        <v>117</v>
      </c>
      <c r="U16" s="164" t="s">
        <v>78</v>
      </c>
      <c r="V16" s="182">
        <v>911.00605400000006</v>
      </c>
      <c r="W16" s="172">
        <v>5.9268143943877014E-2</v>
      </c>
      <c r="X16" s="173">
        <v>713.76263100000006</v>
      </c>
      <c r="Y16" s="174">
        <v>197.24342300000001</v>
      </c>
      <c r="Z16" s="181"/>
      <c r="AA16" s="183">
        <v>914.58417299999996</v>
      </c>
      <c r="AB16" s="172">
        <v>5.5314121641888342E-2</v>
      </c>
      <c r="AC16" s="173">
        <v>882.933539</v>
      </c>
      <c r="AD16" s="174">
        <v>31.650634</v>
      </c>
      <c r="AE16" s="182">
        <v>1507.9429700000001</v>
      </c>
      <c r="AF16" s="172">
        <v>8.5173400381959807E-2</v>
      </c>
      <c r="AG16" s="173">
        <v>1298.2161149999999</v>
      </c>
      <c r="AH16" s="173">
        <v>209.726855</v>
      </c>
    </row>
    <row r="17" spans="1:34" s="96" customFormat="1" ht="21.2" customHeight="1" x14ac:dyDescent="0.25">
      <c r="C17" s="96" t="s">
        <v>118</v>
      </c>
      <c r="D17" s="164" t="s">
        <v>42</v>
      </c>
      <c r="E17" s="182">
        <v>149.41504</v>
      </c>
      <c r="F17" s="172">
        <v>1.170890215866841E-2</v>
      </c>
      <c r="G17" s="173">
        <v>149.25129000000001</v>
      </c>
      <c r="H17" s="174">
        <v>0.16375000000000001</v>
      </c>
      <c r="I17" s="173"/>
      <c r="J17" s="183">
        <v>144.63599399999998</v>
      </c>
      <c r="K17" s="172">
        <v>1.0639952982088783E-2</v>
      </c>
      <c r="L17" s="173">
        <v>144.29899399999999</v>
      </c>
      <c r="M17" s="174">
        <v>0.33700000000000002</v>
      </c>
      <c r="N17" s="182">
        <v>146.50153900000001</v>
      </c>
      <c r="O17" s="172">
        <v>1.0309414357710555E-2</v>
      </c>
      <c r="P17" s="173">
        <v>146.416539</v>
      </c>
      <c r="Q17" s="173">
        <v>8.5000000000000006E-2</v>
      </c>
      <c r="T17" s="96" t="s">
        <v>118</v>
      </c>
      <c r="U17" s="164" t="s">
        <v>42</v>
      </c>
      <c r="V17" s="182">
        <v>188.25470100000001</v>
      </c>
      <c r="W17" s="172">
        <v>1.2247456170010841E-2</v>
      </c>
      <c r="X17" s="173">
        <v>178.575501</v>
      </c>
      <c r="Y17" s="174">
        <v>9.6791999999999998</v>
      </c>
      <c r="Z17" s="181"/>
      <c r="AA17" s="183">
        <v>242.0993</v>
      </c>
      <c r="AB17" s="172">
        <v>1.4642184421024329E-2</v>
      </c>
      <c r="AC17" s="173">
        <v>240.84424999999999</v>
      </c>
      <c r="AD17" s="174">
        <v>1.25505</v>
      </c>
      <c r="AE17" s="182">
        <v>357.37143300000002</v>
      </c>
      <c r="AF17" s="172">
        <v>2.0185471701216741E-2</v>
      </c>
      <c r="AG17" s="173">
        <v>357.22543300000001</v>
      </c>
      <c r="AH17" s="173">
        <v>0.14599999999999999</v>
      </c>
    </row>
    <row r="18" spans="1:34" s="96" customFormat="1" ht="21.2" customHeight="1" x14ac:dyDescent="0.25">
      <c r="C18" s="176" t="s">
        <v>402</v>
      </c>
      <c r="D18" s="164" t="s">
        <v>79</v>
      </c>
      <c r="E18" s="182">
        <v>2817.9551510000001</v>
      </c>
      <c r="F18" s="172">
        <v>0.22082891488416873</v>
      </c>
      <c r="G18" s="173">
        <v>2817.9551510000001</v>
      </c>
      <c r="H18" s="174">
        <v>0</v>
      </c>
      <c r="I18" s="173"/>
      <c r="J18" s="183">
        <v>2849.3261140000004</v>
      </c>
      <c r="K18" s="172">
        <v>0.20960685542492108</v>
      </c>
      <c r="L18" s="173">
        <v>2846.3058220000003</v>
      </c>
      <c r="M18" s="174">
        <v>3.020292</v>
      </c>
      <c r="N18" s="182">
        <v>2882.5093579999998</v>
      </c>
      <c r="O18" s="172">
        <v>0.20284417190730147</v>
      </c>
      <c r="P18" s="173">
        <v>2878.8882319999998</v>
      </c>
      <c r="Q18" s="173">
        <v>3.6211259999999998</v>
      </c>
      <c r="T18" s="176" t="s">
        <v>402</v>
      </c>
      <c r="U18" s="164" t="s">
        <v>79</v>
      </c>
      <c r="V18" s="182">
        <v>2931.514439</v>
      </c>
      <c r="W18" s="172">
        <v>0.19071818346467964</v>
      </c>
      <c r="X18" s="173">
        <v>2927.1798680000002</v>
      </c>
      <c r="Y18" s="174">
        <v>4.3345710000000004</v>
      </c>
      <c r="Z18" s="181"/>
      <c r="AA18" s="183">
        <v>3211.908077</v>
      </c>
      <c r="AB18" s="172">
        <v>0.19425644934459377</v>
      </c>
      <c r="AC18" s="173">
        <v>3207.0321250000002</v>
      </c>
      <c r="AD18" s="174">
        <v>4.8759519999999998</v>
      </c>
      <c r="AE18" s="182">
        <v>3485.0392579999998</v>
      </c>
      <c r="AF18" s="172">
        <v>0.19684606777170233</v>
      </c>
      <c r="AG18" s="173">
        <v>3480.109833</v>
      </c>
      <c r="AH18" s="173">
        <v>4.9294250000000002</v>
      </c>
    </row>
    <row r="19" spans="1:34" s="96" customFormat="1" ht="21.2" customHeight="1" x14ac:dyDescent="0.25">
      <c r="C19" s="96" t="s">
        <v>120</v>
      </c>
      <c r="D19" s="164" t="s">
        <v>66</v>
      </c>
      <c r="E19" s="182">
        <v>3088.5298350000003</v>
      </c>
      <c r="F19" s="172">
        <v>0.24203248650298717</v>
      </c>
      <c r="G19" s="173">
        <v>3088.5298350000003</v>
      </c>
      <c r="H19" s="174">
        <v>0</v>
      </c>
      <c r="I19" s="173"/>
      <c r="J19" s="183">
        <v>3323.4245579999997</v>
      </c>
      <c r="K19" s="172">
        <v>0.2444832718240191</v>
      </c>
      <c r="L19" s="173">
        <v>3323.0055579999998</v>
      </c>
      <c r="M19" s="174">
        <v>0.41899999999999998</v>
      </c>
      <c r="N19" s="182">
        <v>3428.5636209999998</v>
      </c>
      <c r="O19" s="172">
        <v>0.24127038706850368</v>
      </c>
      <c r="P19" s="173">
        <v>3428.093621</v>
      </c>
      <c r="Q19" s="173">
        <v>0.47</v>
      </c>
      <c r="T19" s="96" t="s">
        <v>120</v>
      </c>
      <c r="U19" s="164" t="s">
        <v>66</v>
      </c>
      <c r="V19" s="182">
        <v>3583.4284079999998</v>
      </c>
      <c r="W19" s="172">
        <v>0.23313033954648343</v>
      </c>
      <c r="X19" s="173">
        <v>3583.2685079999997</v>
      </c>
      <c r="Y19" s="174">
        <v>0.15989999999999999</v>
      </c>
      <c r="Z19" s="181"/>
      <c r="AA19" s="183">
        <v>3252.8165829999998</v>
      </c>
      <c r="AB19" s="172">
        <v>0.19673059895692463</v>
      </c>
      <c r="AC19" s="173">
        <v>3252.8165829999998</v>
      </c>
      <c r="AD19" s="174">
        <v>0</v>
      </c>
      <c r="AE19" s="182">
        <v>3268.8460839999998</v>
      </c>
      <c r="AF19" s="172">
        <v>0.1846347917915844</v>
      </c>
      <c r="AG19" s="173">
        <v>3268.8460839999998</v>
      </c>
      <c r="AH19" s="173">
        <v>0</v>
      </c>
    </row>
    <row r="20" spans="1:34" s="96" customFormat="1" ht="21.2" customHeight="1" x14ac:dyDescent="0.25">
      <c r="C20" s="177" t="s">
        <v>81</v>
      </c>
      <c r="D20" s="164" t="s">
        <v>43</v>
      </c>
      <c r="E20" s="182">
        <v>1492.7110679999998</v>
      </c>
      <c r="F20" s="172">
        <v>0.11697622840627976</v>
      </c>
      <c r="G20" s="173">
        <v>1309.1648249999998</v>
      </c>
      <c r="H20" s="174">
        <v>183.546243</v>
      </c>
      <c r="I20" s="173"/>
      <c r="J20" s="183">
        <v>874.15376900000001</v>
      </c>
      <c r="K20" s="172">
        <v>6.4305950020129149E-2</v>
      </c>
      <c r="L20" s="173">
        <v>811.42586500000004</v>
      </c>
      <c r="M20" s="174">
        <v>62.727904000000002</v>
      </c>
      <c r="N20" s="182">
        <v>773.48614099999998</v>
      </c>
      <c r="O20" s="172">
        <v>5.4430753300929689E-2</v>
      </c>
      <c r="P20" s="173">
        <v>699.37520199999994</v>
      </c>
      <c r="Q20" s="173">
        <v>74.110939000000002</v>
      </c>
      <c r="T20" s="177" t="s">
        <v>81</v>
      </c>
      <c r="U20" s="164" t="s">
        <v>43</v>
      </c>
      <c r="V20" s="182">
        <v>1014.877208</v>
      </c>
      <c r="W20" s="172">
        <v>6.6025783456653081E-2</v>
      </c>
      <c r="X20" s="173">
        <v>929.99705900000004</v>
      </c>
      <c r="Y20" s="174">
        <v>84.880149000000003</v>
      </c>
      <c r="Z20" s="181"/>
      <c r="AA20" s="183">
        <v>1188.203966</v>
      </c>
      <c r="AB20" s="172">
        <v>7.1862667921652496E-2</v>
      </c>
      <c r="AC20" s="173">
        <v>1043.3257739999999</v>
      </c>
      <c r="AD20" s="174">
        <v>144.87819200000001</v>
      </c>
      <c r="AE20" s="182">
        <v>728.71017900000004</v>
      </c>
      <c r="AF20" s="172">
        <v>4.1159861528699992E-2</v>
      </c>
      <c r="AG20" s="173">
        <v>694.34743800000001</v>
      </c>
      <c r="AH20" s="173">
        <v>34.362741</v>
      </c>
    </row>
    <row r="21" spans="1:34" s="96" customFormat="1" ht="21.2" customHeight="1" x14ac:dyDescent="0.25">
      <c r="C21" s="177" t="s">
        <v>121</v>
      </c>
      <c r="D21" s="164" t="s">
        <v>67</v>
      </c>
      <c r="E21" s="182">
        <v>5326.87309</v>
      </c>
      <c r="F21" s="172">
        <v>0.41744014406082319</v>
      </c>
      <c r="G21" s="173">
        <v>5141.1450869999999</v>
      </c>
      <c r="H21" s="174">
        <v>185.728003</v>
      </c>
      <c r="I21" s="173"/>
      <c r="J21" s="183">
        <v>4598.7738139999992</v>
      </c>
      <c r="K21" s="172">
        <v>0.33830262995407007</v>
      </c>
      <c r="L21" s="173">
        <v>4592.7706179999996</v>
      </c>
      <c r="M21" s="174">
        <v>6.003196</v>
      </c>
      <c r="N21" s="182">
        <v>5986.6064230000002</v>
      </c>
      <c r="O21" s="172">
        <v>0.42128162360969068</v>
      </c>
      <c r="P21" s="173">
        <v>4651.174524</v>
      </c>
      <c r="Q21" s="173">
        <v>1335.4318989999999</v>
      </c>
      <c r="T21" s="184" t="s">
        <v>443</v>
      </c>
      <c r="U21" s="164" t="s">
        <v>444</v>
      </c>
      <c r="V21" s="182">
        <v>5479.127853</v>
      </c>
      <c r="W21" s="172">
        <v>0.35646057109353718</v>
      </c>
      <c r="X21" s="173">
        <v>4728.5229680000002</v>
      </c>
      <c r="Y21" s="174">
        <v>750.60488499999997</v>
      </c>
      <c r="Z21" s="181"/>
      <c r="AA21" s="183">
        <v>4408.0803070000002</v>
      </c>
      <c r="AB21" s="172">
        <v>0.26660103849032007</v>
      </c>
      <c r="AC21" s="173">
        <v>4405.6522400000003</v>
      </c>
      <c r="AD21" s="174">
        <v>2.428067</v>
      </c>
      <c r="AE21" s="182">
        <v>4815.5688769999997</v>
      </c>
      <c r="AF21" s="172">
        <v>0.27199859954095318</v>
      </c>
      <c r="AG21" s="173">
        <v>4811.5785999999998</v>
      </c>
      <c r="AH21" s="173">
        <v>3.9902769999999999</v>
      </c>
    </row>
    <row r="22" spans="1:34" s="96" customFormat="1" ht="21.2" customHeight="1" x14ac:dyDescent="0.25">
      <c r="C22" s="96" t="s">
        <v>122</v>
      </c>
      <c r="D22" s="164" t="s">
        <v>63</v>
      </c>
      <c r="E22" s="182">
        <v>1201.6315099999999</v>
      </c>
      <c r="F22" s="172">
        <v>9.4165793358974972E-2</v>
      </c>
      <c r="G22" s="173">
        <v>884.17741199999989</v>
      </c>
      <c r="H22" s="174">
        <v>317.45409799999999</v>
      </c>
      <c r="I22" s="173"/>
      <c r="J22" s="183">
        <v>1015.1567050000001</v>
      </c>
      <c r="K22" s="172">
        <v>7.4678641961365269E-2</v>
      </c>
      <c r="L22" s="173">
        <v>860.51767900000004</v>
      </c>
      <c r="M22" s="174">
        <v>154.639026</v>
      </c>
      <c r="N22" s="182">
        <v>1218.5687290000001</v>
      </c>
      <c r="O22" s="172">
        <v>8.57515220410736E-2</v>
      </c>
      <c r="P22" s="173">
        <v>913.60963000000004</v>
      </c>
      <c r="Q22" s="173">
        <v>304.95909899999998</v>
      </c>
      <c r="T22" s="96" t="s">
        <v>122</v>
      </c>
      <c r="U22" s="164" t="s">
        <v>63</v>
      </c>
      <c r="V22" s="182">
        <v>1511.604797</v>
      </c>
      <c r="W22" s="172">
        <v>9.8341839004783368E-2</v>
      </c>
      <c r="X22" s="173">
        <v>1261.9088609999999</v>
      </c>
      <c r="Y22" s="174">
        <v>249.69593599999999</v>
      </c>
      <c r="Z22" s="181"/>
      <c r="AA22" s="183">
        <v>1451.632779</v>
      </c>
      <c r="AB22" s="172">
        <v>8.7794862941454402E-2</v>
      </c>
      <c r="AC22" s="173">
        <v>1166.435334</v>
      </c>
      <c r="AD22" s="174">
        <v>285.19744500000002</v>
      </c>
      <c r="AE22" s="182">
        <v>1554.093112</v>
      </c>
      <c r="AF22" s="172">
        <v>8.7780106736544489E-2</v>
      </c>
      <c r="AG22" s="173">
        <v>1270.754015</v>
      </c>
      <c r="AH22" s="173">
        <v>283.33909699999998</v>
      </c>
    </row>
    <row r="23" spans="1:34" s="96" customFormat="1" ht="21.2" customHeight="1" x14ac:dyDescent="0.25">
      <c r="C23" s="178" t="s">
        <v>403</v>
      </c>
      <c r="D23" s="164" t="s">
        <v>18</v>
      </c>
      <c r="E23" s="182">
        <v>11.520580000000001</v>
      </c>
      <c r="F23" s="172">
        <v>9.0280967719924381E-4</v>
      </c>
      <c r="G23" s="173">
        <v>11.520580000000001</v>
      </c>
      <c r="H23" s="185">
        <v>0</v>
      </c>
      <c r="I23" s="186"/>
      <c r="J23" s="183">
        <v>19.767388</v>
      </c>
      <c r="K23" s="172">
        <v>1.4541613956668771E-3</v>
      </c>
      <c r="L23" s="186">
        <v>19.767388</v>
      </c>
      <c r="M23" s="185">
        <v>0</v>
      </c>
      <c r="N23" s="182">
        <v>12.919952</v>
      </c>
      <c r="O23" s="172">
        <v>9.0918593455684594E-4</v>
      </c>
      <c r="P23" s="186">
        <v>12.919952</v>
      </c>
      <c r="Q23" s="186">
        <v>0</v>
      </c>
      <c r="T23" s="178" t="s">
        <v>403</v>
      </c>
      <c r="U23" s="164" t="s">
        <v>18</v>
      </c>
      <c r="V23" s="182">
        <v>12.52154</v>
      </c>
      <c r="W23" s="172">
        <v>8.1462514092031906E-4</v>
      </c>
      <c r="X23" s="173">
        <v>12.52154</v>
      </c>
      <c r="Y23" s="174">
        <v>0</v>
      </c>
      <c r="Z23" s="181"/>
      <c r="AA23" s="183">
        <v>10.142011</v>
      </c>
      <c r="AB23" s="172">
        <v>6.1338961104826569E-4</v>
      </c>
      <c r="AC23" s="173">
        <v>10.142011</v>
      </c>
      <c r="AD23" s="174">
        <v>0</v>
      </c>
      <c r="AE23" s="182">
        <v>12.270788</v>
      </c>
      <c r="AF23" s="172">
        <v>6.9309301486789499E-4</v>
      </c>
      <c r="AG23" s="173">
        <v>12.270788</v>
      </c>
      <c r="AH23" s="173">
        <v>0</v>
      </c>
    </row>
    <row r="24" spans="1:34" s="96" customFormat="1" ht="21.2" customHeight="1" x14ac:dyDescent="0.25">
      <c r="C24" s="179" t="s">
        <v>123</v>
      </c>
      <c r="D24" s="164" t="s">
        <v>17</v>
      </c>
      <c r="E24" s="182">
        <v>134.65146100000001</v>
      </c>
      <c r="F24" s="172">
        <v>1.0551955026553922E-2</v>
      </c>
      <c r="G24" s="173">
        <v>134.65146100000001</v>
      </c>
      <c r="H24" s="187">
        <v>0</v>
      </c>
      <c r="I24" s="250"/>
      <c r="J24" s="183">
        <v>125.233746</v>
      </c>
      <c r="K24" s="172">
        <v>9.2126526209710229E-3</v>
      </c>
      <c r="L24" s="186">
        <v>125.233746</v>
      </c>
      <c r="M24" s="185">
        <v>0</v>
      </c>
      <c r="N24" s="182">
        <v>127.528746</v>
      </c>
      <c r="O24" s="172">
        <v>8.97428582667123E-3</v>
      </c>
      <c r="P24" s="186">
        <v>127.528746</v>
      </c>
      <c r="Q24" s="186">
        <v>0</v>
      </c>
      <c r="T24" s="179" t="s">
        <v>123</v>
      </c>
      <c r="U24" s="164" t="s">
        <v>17</v>
      </c>
      <c r="V24" s="182">
        <v>125.682633</v>
      </c>
      <c r="W24" s="172">
        <v>8.1766486086265536E-3</v>
      </c>
      <c r="X24" s="173">
        <v>124.148082</v>
      </c>
      <c r="Y24" s="174">
        <v>1.534551</v>
      </c>
      <c r="Z24" s="181"/>
      <c r="AA24" s="183">
        <v>130.965892</v>
      </c>
      <c r="AB24" s="172">
        <v>7.9208272949486212E-3</v>
      </c>
      <c r="AC24" s="173">
        <v>130.965892</v>
      </c>
      <c r="AD24" s="174">
        <v>0</v>
      </c>
      <c r="AE24" s="182">
        <v>140.628107</v>
      </c>
      <c r="AF24" s="172">
        <v>7.9431213916983101E-3</v>
      </c>
      <c r="AG24" s="173">
        <v>140.32810699999999</v>
      </c>
      <c r="AH24" s="173">
        <v>0.3</v>
      </c>
    </row>
    <row r="25" spans="1:34" s="96" customFormat="1" ht="21.2" customHeight="1" x14ac:dyDescent="0.25">
      <c r="C25" s="178" t="s">
        <v>405</v>
      </c>
      <c r="D25" s="164" t="s">
        <v>45</v>
      </c>
      <c r="E25" s="182">
        <v>10.100784000000001</v>
      </c>
      <c r="F25" s="172">
        <v>7.9154743446070317E-4</v>
      </c>
      <c r="G25" s="173">
        <v>8.2347840000000012</v>
      </c>
      <c r="H25" s="185">
        <v>1.8660000000000001</v>
      </c>
      <c r="I25" s="186"/>
      <c r="J25" s="183">
        <v>8.4899710000000006</v>
      </c>
      <c r="K25" s="172">
        <v>6.2455333393219735E-4</v>
      </c>
      <c r="L25" s="186">
        <v>6.9579709999999997</v>
      </c>
      <c r="M25" s="185">
        <v>1.532</v>
      </c>
      <c r="N25" s="182">
        <v>10.197225000000001</v>
      </c>
      <c r="O25" s="172">
        <v>7.1758575740153165E-4</v>
      </c>
      <c r="P25" s="186">
        <v>9.5416450000000008</v>
      </c>
      <c r="Q25" s="186">
        <v>0.65558000000000005</v>
      </c>
      <c r="T25" s="178" t="s">
        <v>445</v>
      </c>
      <c r="U25" s="164" t="s">
        <v>446</v>
      </c>
      <c r="V25" s="182">
        <v>17.498911</v>
      </c>
      <c r="W25" s="172">
        <v>1.1384424630937664E-3</v>
      </c>
      <c r="X25" s="173">
        <v>16.398910999999998</v>
      </c>
      <c r="Y25" s="174">
        <v>1.1000000000000001</v>
      </c>
      <c r="Z25" s="181"/>
      <c r="AA25" s="183">
        <v>21.975059999999999</v>
      </c>
      <c r="AB25" s="172">
        <v>1.329053331352362E-3</v>
      </c>
      <c r="AC25" s="173">
        <v>20.554870999999999</v>
      </c>
      <c r="AD25" s="174">
        <v>1.4201889999999999</v>
      </c>
      <c r="AE25" s="182">
        <v>22.319544</v>
      </c>
      <c r="AF25" s="172">
        <v>1.2606786166818821E-3</v>
      </c>
      <c r="AG25" s="173">
        <v>14.737094000000001</v>
      </c>
      <c r="AH25" s="173">
        <v>7.5824499999999997</v>
      </c>
    </row>
    <row r="26" spans="1:34" s="96" customFormat="1" ht="21.2" customHeight="1" x14ac:dyDescent="0.25">
      <c r="C26" s="179" t="s">
        <v>124</v>
      </c>
      <c r="D26" s="164" t="s">
        <v>41</v>
      </c>
      <c r="E26" s="182">
        <v>1385.9479229999999</v>
      </c>
      <c r="F26" s="172">
        <v>0.10860973987234952</v>
      </c>
      <c r="G26" s="173">
        <v>1383.909795</v>
      </c>
      <c r="H26" s="174">
        <v>2.0381279999999999</v>
      </c>
      <c r="I26" s="173"/>
      <c r="J26" s="183">
        <v>1850.7482279999999</v>
      </c>
      <c r="K26" s="172">
        <v>0.13614781205571921</v>
      </c>
      <c r="L26" s="173">
        <v>1842.668801</v>
      </c>
      <c r="M26" s="174">
        <v>8.0794270000000008</v>
      </c>
      <c r="N26" s="182">
        <v>1873.7502119999999</v>
      </c>
      <c r="O26" s="172">
        <v>0.13185709495076359</v>
      </c>
      <c r="P26" s="173">
        <v>1867.456987</v>
      </c>
      <c r="Q26" s="173">
        <v>6.2932249999999996</v>
      </c>
      <c r="T26" s="179" t="s">
        <v>124</v>
      </c>
      <c r="U26" s="164" t="s">
        <v>41</v>
      </c>
      <c r="V26" s="182">
        <v>2059.1106789999999</v>
      </c>
      <c r="W26" s="172">
        <v>0.13396142383851414</v>
      </c>
      <c r="X26" s="173">
        <v>2050.3482519999998</v>
      </c>
      <c r="Y26" s="174">
        <v>8.7624270000000006</v>
      </c>
      <c r="Z26" s="181"/>
      <c r="AA26" s="183">
        <v>1931.519479</v>
      </c>
      <c r="AB26" s="172">
        <v>0.11681844773743183</v>
      </c>
      <c r="AC26" s="173">
        <v>1920.6218229999999</v>
      </c>
      <c r="AD26" s="174">
        <v>10.897656</v>
      </c>
      <c r="AE26" s="182">
        <v>1929.300221</v>
      </c>
      <c r="AF26" s="172">
        <v>0.10897299397220343</v>
      </c>
      <c r="AG26" s="173">
        <v>1925.078268</v>
      </c>
      <c r="AH26" s="173">
        <v>4.2219530000000001</v>
      </c>
    </row>
    <row r="27" spans="1:34" s="96" customFormat="1" ht="21.2" customHeight="1" x14ac:dyDescent="0.25">
      <c r="C27" s="178" t="s">
        <v>404</v>
      </c>
      <c r="D27" s="164" t="s">
        <v>32</v>
      </c>
      <c r="E27" s="182">
        <v>148.61126200000001</v>
      </c>
      <c r="F27" s="172">
        <v>1.1645914135780687E-2</v>
      </c>
      <c r="G27" s="173">
        <v>101.775763</v>
      </c>
      <c r="H27" s="174">
        <v>46.835498999999999</v>
      </c>
      <c r="I27" s="173"/>
      <c r="J27" s="183">
        <v>111.414322</v>
      </c>
      <c r="K27" s="172">
        <v>8.1960452224036293E-3</v>
      </c>
      <c r="L27" s="173">
        <v>76.235155000000006</v>
      </c>
      <c r="M27" s="174">
        <v>35.179167</v>
      </c>
      <c r="N27" s="182">
        <v>115.74984500000001</v>
      </c>
      <c r="O27" s="172">
        <v>8.1453964380931963E-3</v>
      </c>
      <c r="P27" s="173">
        <v>78.378206000000006</v>
      </c>
      <c r="Q27" s="173">
        <v>37.371639000000002</v>
      </c>
      <c r="T27" s="178" t="s">
        <v>404</v>
      </c>
      <c r="U27" s="164" t="s">
        <v>32</v>
      </c>
      <c r="V27" s="182">
        <v>118.64053699999999</v>
      </c>
      <c r="W27" s="172">
        <v>7.7185046066607869E-3</v>
      </c>
      <c r="X27" s="173">
        <v>82.960184999999996</v>
      </c>
      <c r="Y27" s="174">
        <v>35.680351999999999</v>
      </c>
      <c r="Z27" s="181"/>
      <c r="AA27" s="183">
        <v>88.695509999999999</v>
      </c>
      <c r="AB27" s="172">
        <v>5.3643113166242434E-3</v>
      </c>
      <c r="AC27" s="173">
        <v>59.617313000000003</v>
      </c>
      <c r="AD27" s="174">
        <v>29.078196999999999</v>
      </c>
      <c r="AE27" s="182">
        <v>81.844593000000003</v>
      </c>
      <c r="AF27" s="172">
        <v>4.6228421282321734E-3</v>
      </c>
      <c r="AG27" s="173">
        <v>49.009656999999997</v>
      </c>
      <c r="AH27" s="173">
        <v>32.834935999999999</v>
      </c>
    </row>
    <row r="28" spans="1:34" s="96" customFormat="1" ht="21.2" customHeight="1" x14ac:dyDescent="0.25">
      <c r="C28" s="178" t="s">
        <v>100</v>
      </c>
      <c r="D28" s="164" t="s">
        <v>97</v>
      </c>
      <c r="E28" s="182">
        <v>87.435912000000002</v>
      </c>
      <c r="F28" s="172">
        <v>6.8519108836830687E-3</v>
      </c>
      <c r="G28" s="173">
        <v>85.143331000000003</v>
      </c>
      <c r="H28" s="174">
        <v>2.2925810000000002</v>
      </c>
      <c r="I28" s="173"/>
      <c r="J28" s="183">
        <v>222.05722600000001</v>
      </c>
      <c r="K28" s="172">
        <v>1.6335342113893606E-2</v>
      </c>
      <c r="L28" s="173">
        <v>219.50710100000001</v>
      </c>
      <c r="M28" s="174">
        <v>2.550125</v>
      </c>
      <c r="N28" s="182">
        <v>187.47465300000002</v>
      </c>
      <c r="O28" s="172">
        <v>1.3192720653569408E-2</v>
      </c>
      <c r="P28" s="173">
        <v>183.61310200000003</v>
      </c>
      <c r="Q28" s="173">
        <v>3.861551</v>
      </c>
      <c r="T28" s="178" t="s">
        <v>100</v>
      </c>
      <c r="U28" s="164" t="s">
        <v>97</v>
      </c>
      <c r="V28" s="182">
        <v>1200.5677310000001</v>
      </c>
      <c r="W28" s="172">
        <v>7.8106419581797662E-2</v>
      </c>
      <c r="X28" s="173">
        <v>1123.786838</v>
      </c>
      <c r="Y28" s="174">
        <v>76.780893000000006</v>
      </c>
      <c r="Z28" s="181"/>
      <c r="AA28" s="183">
        <v>1912.1137879999999</v>
      </c>
      <c r="AB28" s="172">
        <v>0.11564479004226537</v>
      </c>
      <c r="AC28" s="173">
        <v>1891.245093</v>
      </c>
      <c r="AD28" s="174">
        <v>20.868694999999999</v>
      </c>
      <c r="AE28" s="182">
        <v>1967.783357</v>
      </c>
      <c r="AF28" s="172">
        <v>0.11114664351710725</v>
      </c>
      <c r="AG28" s="173">
        <v>1963.9484660000001</v>
      </c>
      <c r="AH28" s="173">
        <v>3.8348909999999998</v>
      </c>
    </row>
    <row r="29" spans="1:34" s="100" customFormat="1" ht="22.15" customHeight="1" x14ac:dyDescent="0.25">
      <c r="A29" s="90"/>
      <c r="B29" s="90"/>
      <c r="C29" s="98" t="s">
        <v>412</v>
      </c>
      <c r="D29" s="99" t="s">
        <v>413</v>
      </c>
      <c r="E29" s="244">
        <v>19780.618870999999</v>
      </c>
      <c r="F29" s="87">
        <v>1.5501072114189374</v>
      </c>
      <c r="G29" s="88">
        <v>18958.714392999998</v>
      </c>
      <c r="H29" s="125">
        <v>821.90447800000004</v>
      </c>
      <c r="I29" s="88"/>
      <c r="J29" s="248">
        <v>20913.880445999999</v>
      </c>
      <c r="K29" s="87">
        <v>1.5385015753303151</v>
      </c>
      <c r="L29" s="88">
        <v>19987.348446</v>
      </c>
      <c r="M29" s="125">
        <v>926.53200000000004</v>
      </c>
      <c r="N29" s="244">
        <v>20554.033086000003</v>
      </c>
      <c r="O29" s="87">
        <v>1.4464014866469506</v>
      </c>
      <c r="P29" s="88">
        <v>18936.860114000003</v>
      </c>
      <c r="Q29" s="88">
        <v>1617.1729719999998</v>
      </c>
      <c r="R29" s="90"/>
      <c r="S29" s="90"/>
      <c r="T29" s="98" t="s">
        <v>412</v>
      </c>
      <c r="U29" s="99" t="s">
        <v>413</v>
      </c>
      <c r="V29" s="244">
        <v>21082.031152000003</v>
      </c>
      <c r="W29" s="87">
        <v>1.3715527481511507</v>
      </c>
      <c r="X29" s="88">
        <v>19224.736258000004</v>
      </c>
      <c r="Y29" s="125">
        <v>1857.2948940000001</v>
      </c>
      <c r="Z29" s="170"/>
      <c r="AA29" s="248">
        <v>22249.933066000001</v>
      </c>
      <c r="AB29" s="87">
        <v>1.3456776756802655</v>
      </c>
      <c r="AC29" s="88">
        <v>20987.728606000001</v>
      </c>
      <c r="AD29" s="125">
        <v>1262.2044599999999</v>
      </c>
      <c r="AE29" s="170">
        <v>24518.951959000002</v>
      </c>
      <c r="AF29" s="87">
        <v>1.3849081521630389</v>
      </c>
      <c r="AG29" s="88">
        <v>23469.739000000001</v>
      </c>
      <c r="AH29" s="88">
        <v>1049.212959</v>
      </c>
    </row>
    <row r="30" spans="1:34" s="96" customFormat="1" ht="21.2" customHeight="1" x14ac:dyDescent="0.25">
      <c r="C30" s="96" t="s">
        <v>125</v>
      </c>
      <c r="D30" s="164" t="s">
        <v>60</v>
      </c>
      <c r="E30" s="182">
        <v>1601.5315699999999</v>
      </c>
      <c r="F30" s="172">
        <v>0.12550394161892006</v>
      </c>
      <c r="G30" s="173">
        <v>1558.14357</v>
      </c>
      <c r="H30" s="174">
        <v>43.387999999999998</v>
      </c>
      <c r="I30" s="173"/>
      <c r="J30" s="183">
        <v>1432.5809999999999</v>
      </c>
      <c r="K30" s="172">
        <v>0.10538590057350269</v>
      </c>
      <c r="L30" s="173">
        <v>1405.86</v>
      </c>
      <c r="M30" s="174">
        <v>26.721</v>
      </c>
      <c r="N30" s="182">
        <v>1927.366</v>
      </c>
      <c r="O30" s="172">
        <v>0.13563007493705004</v>
      </c>
      <c r="P30" s="173">
        <v>1758.404</v>
      </c>
      <c r="Q30" s="173">
        <v>168.96199999999999</v>
      </c>
      <c r="T30" s="96" t="s">
        <v>125</v>
      </c>
      <c r="U30" s="164" t="s">
        <v>60</v>
      </c>
      <c r="V30" s="182">
        <v>1865.386772000001</v>
      </c>
      <c r="W30" s="172">
        <v>0.12135815259236482</v>
      </c>
      <c r="X30" s="173">
        <v>1690.8037270000009</v>
      </c>
      <c r="Y30" s="174">
        <v>174.58304500000003</v>
      </c>
      <c r="Z30" s="181"/>
      <c r="AA30" s="183">
        <v>2122.7847410000004</v>
      </c>
      <c r="AB30" s="172">
        <v>0.12838618560176907</v>
      </c>
      <c r="AC30" s="173">
        <v>2018.6681500000004</v>
      </c>
      <c r="AD30" s="174">
        <v>104.116591</v>
      </c>
      <c r="AE30" s="182">
        <v>2550.161959</v>
      </c>
      <c r="AF30" s="172">
        <v>0.14404123358375415</v>
      </c>
      <c r="AG30" s="173">
        <v>2456.2730000000001</v>
      </c>
      <c r="AH30" s="173">
        <v>93.888959</v>
      </c>
    </row>
    <row r="31" spans="1:34" s="96" customFormat="1" ht="21.2" customHeight="1" x14ac:dyDescent="0.25">
      <c r="C31" s="96" t="s">
        <v>126</v>
      </c>
      <c r="D31" s="164" t="s">
        <v>58</v>
      </c>
      <c r="E31" s="182">
        <v>5187.3965929999995</v>
      </c>
      <c r="F31" s="172">
        <v>0.40651007532874101</v>
      </c>
      <c r="G31" s="173">
        <v>5136.4386869999998</v>
      </c>
      <c r="H31" s="174">
        <v>50.957906000000001</v>
      </c>
      <c r="I31" s="173"/>
      <c r="J31" s="183">
        <v>5323.4350000000004</v>
      </c>
      <c r="K31" s="172">
        <v>0.39161135853365664</v>
      </c>
      <c r="L31" s="173">
        <v>5237.8770000000004</v>
      </c>
      <c r="M31" s="174">
        <v>85.558000000000007</v>
      </c>
      <c r="N31" s="182">
        <v>5287.3106530000005</v>
      </c>
      <c r="O31" s="172">
        <v>0.37207169789331823</v>
      </c>
      <c r="P31" s="173">
        <v>5184.3046020000002</v>
      </c>
      <c r="Q31" s="173">
        <v>103.006051</v>
      </c>
      <c r="T31" s="96" t="s">
        <v>126</v>
      </c>
      <c r="U31" s="164" t="s">
        <v>58</v>
      </c>
      <c r="V31" s="182">
        <v>5711.3176729999996</v>
      </c>
      <c r="W31" s="172">
        <v>0.37156635399546167</v>
      </c>
      <c r="X31" s="173">
        <v>5256.7317229999999</v>
      </c>
      <c r="Y31" s="174">
        <v>454.58595000000003</v>
      </c>
      <c r="Z31" s="181"/>
      <c r="AA31" s="183">
        <v>6311.2107970000006</v>
      </c>
      <c r="AB31" s="172">
        <v>0.38170251797355031</v>
      </c>
      <c r="AC31" s="173">
        <v>6271.9390000000003</v>
      </c>
      <c r="AD31" s="174">
        <v>39.271796999999999</v>
      </c>
      <c r="AE31" s="182">
        <v>6401.1669999999995</v>
      </c>
      <c r="AF31" s="172">
        <v>0.36155820919592768</v>
      </c>
      <c r="AG31" s="173">
        <v>6144.4639999999999</v>
      </c>
      <c r="AH31" s="173">
        <v>256.70299999999997</v>
      </c>
    </row>
    <row r="32" spans="1:34" s="96" customFormat="1" ht="21.2" customHeight="1" x14ac:dyDescent="0.25">
      <c r="C32" s="96" t="s">
        <v>127</v>
      </c>
      <c r="D32" s="164" t="s">
        <v>64</v>
      </c>
      <c r="E32" s="182">
        <v>1158.46</v>
      </c>
      <c r="F32" s="172">
        <v>9.0782660130673626E-2</v>
      </c>
      <c r="G32" s="173">
        <v>1133.5640000000001</v>
      </c>
      <c r="H32" s="174">
        <v>24.896000000000001</v>
      </c>
      <c r="I32" s="173"/>
      <c r="J32" s="183">
        <v>1236.136</v>
      </c>
      <c r="K32" s="172">
        <v>9.0934687526448649E-2</v>
      </c>
      <c r="L32" s="173">
        <v>1218.606</v>
      </c>
      <c r="M32" s="174">
        <v>17.53</v>
      </c>
      <c r="N32" s="182">
        <v>975.02</v>
      </c>
      <c r="O32" s="172">
        <v>6.8612829978905165E-2</v>
      </c>
      <c r="P32" s="173">
        <v>945.37199999999996</v>
      </c>
      <c r="Q32" s="173">
        <v>29.648</v>
      </c>
      <c r="T32" s="96" t="s">
        <v>127</v>
      </c>
      <c r="U32" s="164" t="s">
        <v>64</v>
      </c>
      <c r="V32" s="182">
        <v>1105.597</v>
      </c>
      <c r="W32" s="172">
        <v>7.1927822929614235E-2</v>
      </c>
      <c r="X32" s="173">
        <v>1083.2909999999999</v>
      </c>
      <c r="Y32" s="174">
        <v>22.306000000000001</v>
      </c>
      <c r="Z32" s="181"/>
      <c r="AA32" s="183">
        <v>1269.2470000000001</v>
      </c>
      <c r="AB32" s="172">
        <v>7.6764156896909116E-2</v>
      </c>
      <c r="AC32" s="173">
        <v>1224.3820000000001</v>
      </c>
      <c r="AD32" s="174">
        <v>44.865000000000002</v>
      </c>
      <c r="AE32" s="182">
        <v>1330.3969999999999</v>
      </c>
      <c r="AF32" s="172">
        <v>7.5145041027618015E-2</v>
      </c>
      <c r="AG32" s="173">
        <v>1316.3309999999999</v>
      </c>
      <c r="AH32" s="173">
        <v>14.066000000000001</v>
      </c>
    </row>
    <row r="33" spans="1:34" s="96" customFormat="1" ht="21.2" customHeight="1" x14ac:dyDescent="0.25">
      <c r="C33" s="96" t="s">
        <v>128</v>
      </c>
      <c r="D33" s="164" t="s">
        <v>61</v>
      </c>
      <c r="E33" s="182">
        <v>1590.481342</v>
      </c>
      <c r="F33" s="172">
        <v>0.12463799105274563</v>
      </c>
      <c r="G33" s="173">
        <v>1548.1348909999999</v>
      </c>
      <c r="H33" s="174">
        <v>42.346451000000002</v>
      </c>
      <c r="I33" s="173"/>
      <c r="J33" s="183">
        <v>1547.4359999999999</v>
      </c>
      <c r="K33" s="172">
        <v>0.1138350546599869</v>
      </c>
      <c r="L33" s="173">
        <v>1448.7249999999999</v>
      </c>
      <c r="M33" s="174">
        <v>98.710999999999999</v>
      </c>
      <c r="N33" s="182">
        <v>1513.8948230000001</v>
      </c>
      <c r="O33" s="172">
        <v>0.10653382299485523</v>
      </c>
      <c r="P33" s="173">
        <v>1432.0926440000001</v>
      </c>
      <c r="Q33" s="173">
        <v>81.802178999999995</v>
      </c>
      <c r="T33" s="96" t="s">
        <v>128</v>
      </c>
      <c r="U33" s="164" t="s">
        <v>61</v>
      </c>
      <c r="V33" s="182">
        <v>1778.0376250000013</v>
      </c>
      <c r="W33" s="172">
        <v>0.11567540021652731</v>
      </c>
      <c r="X33" s="173">
        <v>1613.8989400000014</v>
      </c>
      <c r="Y33" s="174">
        <v>164.13868500000001</v>
      </c>
      <c r="Z33" s="181"/>
      <c r="AA33" s="183">
        <v>1732.6365280000002</v>
      </c>
      <c r="AB33" s="172">
        <v>0.10478999145218217</v>
      </c>
      <c r="AC33" s="173">
        <v>1615.1104560000003</v>
      </c>
      <c r="AD33" s="174">
        <v>117.52607199999998</v>
      </c>
      <c r="AE33" s="182">
        <v>2331.27</v>
      </c>
      <c r="AF33" s="172">
        <v>0.13167752166943783</v>
      </c>
      <c r="AG33" s="173">
        <v>2303.136</v>
      </c>
      <c r="AH33" s="173">
        <v>28.134</v>
      </c>
    </row>
    <row r="34" spans="1:34" s="96" customFormat="1" ht="21.2" customHeight="1" x14ac:dyDescent="0.25">
      <c r="C34" s="96" t="s">
        <v>129</v>
      </c>
      <c r="D34" s="164" t="s">
        <v>62</v>
      </c>
      <c r="E34" s="182">
        <v>1216.3456880000001</v>
      </c>
      <c r="F34" s="172">
        <v>9.5318869184187971E-2</v>
      </c>
      <c r="G34" s="173">
        <v>1180.126567</v>
      </c>
      <c r="H34" s="174">
        <v>36.219121000000001</v>
      </c>
      <c r="I34" s="173"/>
      <c r="J34" s="183">
        <v>1245.3230000000001</v>
      </c>
      <c r="K34" s="172">
        <v>9.1610516864244387E-2</v>
      </c>
      <c r="L34" s="173">
        <v>1214.3440000000001</v>
      </c>
      <c r="M34" s="174">
        <v>30.978999999999999</v>
      </c>
      <c r="N34" s="182">
        <v>1229.9363599999999</v>
      </c>
      <c r="O34" s="172">
        <v>8.6551470076053308E-2</v>
      </c>
      <c r="P34" s="173">
        <v>1096.718408</v>
      </c>
      <c r="Q34" s="173">
        <v>133.217952</v>
      </c>
      <c r="T34" s="96" t="s">
        <v>129</v>
      </c>
      <c r="U34" s="164" t="s">
        <v>62</v>
      </c>
      <c r="V34" s="182">
        <v>1180.9499999999998</v>
      </c>
      <c r="W34" s="172">
        <v>7.6830131131622029E-2</v>
      </c>
      <c r="X34" s="173">
        <v>1103.8119999999999</v>
      </c>
      <c r="Y34" s="174">
        <v>77.138000000000005</v>
      </c>
      <c r="Z34" s="181"/>
      <c r="AA34" s="183">
        <v>1151.1029999999998</v>
      </c>
      <c r="AB34" s="172">
        <v>6.9618798623516734E-2</v>
      </c>
      <c r="AC34" s="173">
        <v>1118.6969999999999</v>
      </c>
      <c r="AD34" s="174">
        <v>32.405999999999999</v>
      </c>
      <c r="AE34" s="182">
        <v>1410.1109999999999</v>
      </c>
      <c r="AF34" s="172">
        <v>7.9647540507454151E-2</v>
      </c>
      <c r="AG34" s="173">
        <v>1372.386</v>
      </c>
      <c r="AH34" s="173">
        <v>37.725000000000001</v>
      </c>
    </row>
    <row r="35" spans="1:34" s="96" customFormat="1" ht="21.2" customHeight="1" x14ac:dyDescent="0.25">
      <c r="C35" s="96" t="s">
        <v>130</v>
      </c>
      <c r="D35" s="164" t="s">
        <v>59</v>
      </c>
      <c r="E35" s="182">
        <v>2115.023678</v>
      </c>
      <c r="F35" s="172">
        <v>0.16574372505585114</v>
      </c>
      <c r="G35" s="173">
        <v>1701.3936779999999</v>
      </c>
      <c r="H35" s="174">
        <v>413.63</v>
      </c>
      <c r="I35" s="173"/>
      <c r="J35" s="183">
        <v>2224.1244459999998</v>
      </c>
      <c r="K35" s="172">
        <v>0.16361473293953552</v>
      </c>
      <c r="L35" s="173">
        <v>2105.1354459999998</v>
      </c>
      <c r="M35" s="174">
        <v>118.989</v>
      </c>
      <c r="N35" s="182">
        <v>2561.8726489999999</v>
      </c>
      <c r="O35" s="172">
        <v>0.18028074551644518</v>
      </c>
      <c r="P35" s="173">
        <v>2379.984993</v>
      </c>
      <c r="Q35" s="173">
        <v>181.88765599999999</v>
      </c>
      <c r="T35" s="96" t="s">
        <v>130</v>
      </c>
      <c r="U35" s="164" t="s">
        <v>59</v>
      </c>
      <c r="V35" s="182">
        <v>2285.1810820000005</v>
      </c>
      <c r="W35" s="172">
        <v>0.14866909029981115</v>
      </c>
      <c r="X35" s="173">
        <v>2168.2858680000004</v>
      </c>
      <c r="Y35" s="174">
        <v>116.895214</v>
      </c>
      <c r="Z35" s="181"/>
      <c r="AA35" s="183">
        <v>2868.95</v>
      </c>
      <c r="AB35" s="172">
        <v>0.17351431827641692</v>
      </c>
      <c r="AC35" s="173">
        <v>2665.7539999999999</v>
      </c>
      <c r="AD35" s="174">
        <v>203.196</v>
      </c>
      <c r="AE35" s="182">
        <v>2689.4639999999999</v>
      </c>
      <c r="AF35" s="172">
        <v>0.15190945456303773</v>
      </c>
      <c r="AG35" s="173">
        <v>2675.6210000000001</v>
      </c>
      <c r="AH35" s="173">
        <v>13.843</v>
      </c>
    </row>
    <row r="36" spans="1:34" s="96" customFormat="1" ht="21.2" customHeight="1" x14ac:dyDescent="0.25">
      <c r="C36" s="96" t="s">
        <v>131</v>
      </c>
      <c r="D36" s="164" t="s">
        <v>98</v>
      </c>
      <c r="E36" s="182">
        <v>6911.3799999999992</v>
      </c>
      <c r="F36" s="172">
        <v>0.5416099490478179</v>
      </c>
      <c r="G36" s="173">
        <v>6700.9129999999996</v>
      </c>
      <c r="H36" s="174">
        <v>210.46700000000001</v>
      </c>
      <c r="I36" s="173"/>
      <c r="J36" s="183">
        <v>7904.8450000000003</v>
      </c>
      <c r="K36" s="172">
        <v>0.58150932423294033</v>
      </c>
      <c r="L36" s="173">
        <v>7356.8010000000004</v>
      </c>
      <c r="M36" s="174">
        <v>548.04399999999998</v>
      </c>
      <c r="N36" s="182">
        <v>7058.6326010000002</v>
      </c>
      <c r="O36" s="172">
        <v>0.49672084525032328</v>
      </c>
      <c r="P36" s="173">
        <v>6139.983467</v>
      </c>
      <c r="Q36" s="173">
        <v>918.649134</v>
      </c>
      <c r="T36" s="96" t="s">
        <v>131</v>
      </c>
      <c r="U36" s="164" t="s">
        <v>98</v>
      </c>
      <c r="V36" s="182">
        <v>7155.5609999999997</v>
      </c>
      <c r="W36" s="172">
        <v>0.46552579698574925</v>
      </c>
      <c r="X36" s="173">
        <v>6307.9129999999996</v>
      </c>
      <c r="Y36" s="174">
        <v>847.64800000000002</v>
      </c>
      <c r="Z36" s="181"/>
      <c r="AA36" s="183">
        <v>6794.0010000000002</v>
      </c>
      <c r="AB36" s="172">
        <v>0.41090170685592114</v>
      </c>
      <c r="AC36" s="173">
        <v>6073.1779999999999</v>
      </c>
      <c r="AD36" s="174">
        <v>720.82299999999998</v>
      </c>
      <c r="AE36" s="182">
        <v>7806.3810000000003</v>
      </c>
      <c r="AF36" s="172">
        <v>0.44092915161580931</v>
      </c>
      <c r="AG36" s="173">
        <v>7201.5280000000002</v>
      </c>
      <c r="AH36" s="173">
        <v>604.85299999999995</v>
      </c>
    </row>
    <row r="37" spans="1:34" s="100" customFormat="1" ht="22.15" customHeight="1" x14ac:dyDescent="0.25">
      <c r="A37" s="90"/>
      <c r="B37" s="90"/>
      <c r="C37" s="95" t="s">
        <v>453</v>
      </c>
      <c r="D37" s="101" t="s">
        <v>4</v>
      </c>
      <c r="E37" s="124">
        <v>16190.328573999999</v>
      </c>
      <c r="F37" s="87">
        <v>1.2687542913327829</v>
      </c>
      <c r="G37" s="88">
        <v>0</v>
      </c>
      <c r="H37" s="129">
        <v>16190.328573999999</v>
      </c>
      <c r="I37" s="45"/>
      <c r="J37" s="153">
        <v>18293.685407000001</v>
      </c>
      <c r="K37" s="87">
        <v>1.3457504402369145</v>
      </c>
      <c r="L37" s="88">
        <v>0</v>
      </c>
      <c r="M37" s="129">
        <v>18293.685407000001</v>
      </c>
      <c r="N37" s="124">
        <v>18778.833709999999</v>
      </c>
      <c r="O37" s="87">
        <v>1.3214794820068951</v>
      </c>
      <c r="P37" s="88">
        <v>0</v>
      </c>
      <c r="Q37" s="45">
        <v>18778.833709999999</v>
      </c>
      <c r="R37" s="90"/>
      <c r="S37" s="90"/>
      <c r="T37" s="95" t="s">
        <v>453</v>
      </c>
      <c r="U37" s="101" t="s">
        <v>4</v>
      </c>
      <c r="V37" s="124">
        <v>20651.269834999999</v>
      </c>
      <c r="W37" s="87">
        <v>1.3435283199606762</v>
      </c>
      <c r="X37" s="88">
        <v>0</v>
      </c>
      <c r="Y37" s="129">
        <v>20651.269834999999</v>
      </c>
      <c r="Z37" s="197"/>
      <c r="AA37" s="153">
        <v>23168.992865</v>
      </c>
      <c r="AB37" s="87">
        <v>1.4012624835293899</v>
      </c>
      <c r="AC37" s="88">
        <v>0</v>
      </c>
      <c r="AD37" s="129">
        <v>23168.992865</v>
      </c>
      <c r="AE37" s="124">
        <v>25011.785307999999</v>
      </c>
      <c r="AF37" s="87">
        <v>1.4127449424071414</v>
      </c>
      <c r="AG37" s="88">
        <v>0</v>
      </c>
      <c r="AH37" s="45">
        <v>25011.785307999999</v>
      </c>
    </row>
    <row r="38" spans="1:34" s="100" customFormat="1" ht="22.15" customHeight="1" x14ac:dyDescent="0.25">
      <c r="A38" s="90"/>
      <c r="B38" s="90"/>
      <c r="C38" s="95" t="s">
        <v>414</v>
      </c>
      <c r="D38" s="101" t="s">
        <v>441</v>
      </c>
      <c r="E38" s="124">
        <v>605293.54815799999</v>
      </c>
      <c r="F38" s="87">
        <v>47.43379871701849</v>
      </c>
      <c r="G38" s="88">
        <v>605293.54815799999</v>
      </c>
      <c r="H38" s="130">
        <v>0</v>
      </c>
      <c r="I38" s="87"/>
      <c r="J38" s="153">
        <v>638282.17354199989</v>
      </c>
      <c r="K38" s="87">
        <v>46.954372338273643</v>
      </c>
      <c r="L38" s="88">
        <v>638282.17354199989</v>
      </c>
      <c r="M38" s="130">
        <v>0</v>
      </c>
      <c r="N38" s="124">
        <v>661966.228627</v>
      </c>
      <c r="O38" s="87">
        <v>46.583020139649875</v>
      </c>
      <c r="P38" s="88">
        <v>661966.228627</v>
      </c>
      <c r="Q38" s="87">
        <v>0</v>
      </c>
      <c r="R38" s="90"/>
      <c r="S38" s="90"/>
      <c r="T38" s="95" t="s">
        <v>414</v>
      </c>
      <c r="U38" s="101" t="s">
        <v>441</v>
      </c>
      <c r="V38" s="124">
        <v>700793.870108</v>
      </c>
      <c r="W38" s="87">
        <v>45.592179970900162</v>
      </c>
      <c r="X38" s="88">
        <v>700793.870108</v>
      </c>
      <c r="Y38" s="130">
        <v>0</v>
      </c>
      <c r="Z38" s="198"/>
      <c r="AA38" s="153">
        <v>732658.09540699993</v>
      </c>
      <c r="AB38" s="87">
        <v>44.311218374054498</v>
      </c>
      <c r="AC38" s="88">
        <v>732658.09540699993</v>
      </c>
      <c r="AD38" s="130">
        <v>0</v>
      </c>
      <c r="AE38" s="124">
        <v>754336.82951699989</v>
      </c>
      <c r="AF38" s="87">
        <v>42.607336007746753</v>
      </c>
      <c r="AG38" s="88">
        <v>754336.82951699989</v>
      </c>
      <c r="AH38" s="88">
        <v>0</v>
      </c>
    </row>
    <row r="39" spans="1:34" s="83" customFormat="1" ht="22.15" customHeight="1" x14ac:dyDescent="0.25">
      <c r="A39" s="84" t="s">
        <v>82</v>
      </c>
      <c r="B39" s="84"/>
      <c r="C39" s="102"/>
      <c r="D39" s="94" t="s">
        <v>33</v>
      </c>
      <c r="E39" s="170">
        <v>556276.76038200001</v>
      </c>
      <c r="F39" s="87">
        <v>43.592600587289404</v>
      </c>
      <c r="G39" s="88">
        <v>491892.28466299997</v>
      </c>
      <c r="H39" s="125">
        <v>64384.475719000002</v>
      </c>
      <c r="I39" s="88"/>
      <c r="J39" s="88">
        <v>592505.537549</v>
      </c>
      <c r="K39" s="87">
        <v>43.586875485147914</v>
      </c>
      <c r="L39" s="88">
        <v>520454.55561399995</v>
      </c>
      <c r="M39" s="88">
        <v>72050.981935000003</v>
      </c>
      <c r="N39" s="170">
        <v>617871.06094799994</v>
      </c>
      <c r="O39" s="87">
        <v>43.480012772774792</v>
      </c>
      <c r="P39" s="88">
        <v>551401.58049099997</v>
      </c>
      <c r="Q39" s="88">
        <v>66469.480456999998</v>
      </c>
      <c r="R39" s="84" t="s">
        <v>82</v>
      </c>
      <c r="S39" s="84"/>
      <c r="T39" s="102"/>
      <c r="U39" s="94" t="s">
        <v>33</v>
      </c>
      <c r="V39" s="170">
        <v>655507.52801300003</v>
      </c>
      <c r="W39" s="87">
        <v>42.645945497272706</v>
      </c>
      <c r="X39" s="88">
        <v>580858.24337000004</v>
      </c>
      <c r="Y39" s="125">
        <v>74649.284643000006</v>
      </c>
      <c r="Z39" s="170"/>
      <c r="AA39" s="88">
        <v>667236.3497599999</v>
      </c>
      <c r="AB39" s="87">
        <v>40.354506128671211</v>
      </c>
      <c r="AC39" s="88">
        <v>589554.13105499989</v>
      </c>
      <c r="AD39" s="88">
        <v>77682.218705000007</v>
      </c>
      <c r="AE39" s="170">
        <v>703126.39423099998</v>
      </c>
      <c r="AF39" s="87">
        <v>39.714808243020407</v>
      </c>
      <c r="AG39" s="88">
        <v>632203.69175900007</v>
      </c>
      <c r="AH39" s="88">
        <v>70922.702472000004</v>
      </c>
    </row>
    <row r="40" spans="1:34" s="100" customFormat="1" ht="22.15" customHeight="1" x14ac:dyDescent="0.25">
      <c r="A40" s="90"/>
      <c r="B40" s="90"/>
      <c r="C40" s="103" t="s">
        <v>415</v>
      </c>
      <c r="D40" s="104" t="s">
        <v>71</v>
      </c>
      <c r="E40" s="105">
        <v>481437.39218999998</v>
      </c>
      <c r="F40" s="93">
        <v>37.727817230964035</v>
      </c>
      <c r="G40" s="106">
        <v>481437.39218999998</v>
      </c>
      <c r="H40" s="131">
        <v>0</v>
      </c>
      <c r="I40" s="106"/>
      <c r="J40" s="122">
        <v>509580.99535099999</v>
      </c>
      <c r="K40" s="93">
        <v>37.486642717031025</v>
      </c>
      <c r="L40" s="106">
        <v>509580.99535099999</v>
      </c>
      <c r="M40" s="131">
        <v>0</v>
      </c>
      <c r="N40" s="105">
        <v>539543.48336099996</v>
      </c>
      <c r="O40" s="93">
        <v>37.968047106802466</v>
      </c>
      <c r="P40" s="106">
        <v>539543.48336099996</v>
      </c>
      <c r="Q40" s="106">
        <v>0</v>
      </c>
      <c r="R40" s="90"/>
      <c r="S40" s="90"/>
      <c r="T40" s="103" t="s">
        <v>415</v>
      </c>
      <c r="U40" s="104" t="s">
        <v>71</v>
      </c>
      <c r="V40" s="105">
        <v>568136.33415500005</v>
      </c>
      <c r="W40" s="93">
        <v>36.961758799075064</v>
      </c>
      <c r="X40" s="106">
        <v>568136.33415500005</v>
      </c>
      <c r="Y40" s="131">
        <v>0</v>
      </c>
      <c r="Z40" s="199"/>
      <c r="AA40" s="122">
        <v>575667.72056499997</v>
      </c>
      <c r="AB40" s="93">
        <v>34.816428340533946</v>
      </c>
      <c r="AC40" s="106">
        <v>575667.72056499997</v>
      </c>
      <c r="AD40" s="131">
        <v>0</v>
      </c>
      <c r="AE40" s="105">
        <v>618205.48086000001</v>
      </c>
      <c r="AF40" s="93">
        <v>34.91820578573391</v>
      </c>
      <c r="AG40" s="106">
        <v>618205.48086000001</v>
      </c>
      <c r="AH40" s="106">
        <v>0</v>
      </c>
    </row>
    <row r="41" spans="1:34" s="100" customFormat="1" ht="32.450000000000003" customHeight="1" x14ac:dyDescent="0.25">
      <c r="A41" s="90"/>
      <c r="B41" s="90"/>
      <c r="C41" s="107" t="s">
        <v>107</v>
      </c>
      <c r="D41" s="104" t="s">
        <v>112</v>
      </c>
      <c r="E41" s="105">
        <v>65754.665598000007</v>
      </c>
      <c r="F41" s="93">
        <v>5.152861090576569</v>
      </c>
      <c r="G41" s="106">
        <v>1370.189879</v>
      </c>
      <c r="H41" s="132">
        <v>64384.475719000002</v>
      </c>
      <c r="I41" s="44"/>
      <c r="J41" s="122">
        <v>73477.505974</v>
      </c>
      <c r="K41" s="93">
        <v>5.4052742141386165</v>
      </c>
      <c r="L41" s="106">
        <v>1426.5240389999999</v>
      </c>
      <c r="M41" s="132">
        <v>72050.981935000003</v>
      </c>
      <c r="N41" s="105">
        <v>67954.721680999995</v>
      </c>
      <c r="O41" s="93">
        <v>4.7820206405635517</v>
      </c>
      <c r="P41" s="106">
        <v>1485.2412240000001</v>
      </c>
      <c r="Q41" s="44">
        <v>66469.480456999998</v>
      </c>
      <c r="R41" s="90"/>
      <c r="S41" s="90"/>
      <c r="T41" s="107" t="s">
        <v>107</v>
      </c>
      <c r="U41" s="104" t="s">
        <v>112</v>
      </c>
      <c r="V41" s="105">
        <v>76195.645946000004</v>
      </c>
      <c r="W41" s="93">
        <v>4.9571289806425556</v>
      </c>
      <c r="X41" s="106">
        <v>1546.3613029999999</v>
      </c>
      <c r="Y41" s="132">
        <v>74649.284643000006</v>
      </c>
      <c r="Z41" s="200"/>
      <c r="AA41" s="122">
        <v>79292.200799000013</v>
      </c>
      <c r="AB41" s="93">
        <v>4.7955984476115825</v>
      </c>
      <c r="AC41" s="106">
        <v>1609.982094</v>
      </c>
      <c r="AD41" s="132">
        <v>77682.218705000007</v>
      </c>
      <c r="AE41" s="105">
        <v>72598.937955000001</v>
      </c>
      <c r="AF41" s="93">
        <v>4.1006182148561452</v>
      </c>
      <c r="AG41" s="106">
        <v>1676.2354829999999</v>
      </c>
      <c r="AH41" s="44">
        <v>70922.702472000004</v>
      </c>
    </row>
    <row r="42" spans="1:34" s="100" customFormat="1" ht="39.200000000000003" customHeight="1" x14ac:dyDescent="0.25">
      <c r="A42" s="108"/>
      <c r="B42" s="109"/>
      <c r="C42" s="110" t="s">
        <v>113</v>
      </c>
      <c r="D42" s="111" t="s">
        <v>95</v>
      </c>
      <c r="E42" s="112">
        <v>9084.7025940000003</v>
      </c>
      <c r="F42" s="113">
        <v>0.7119222657487968</v>
      </c>
      <c r="G42" s="114">
        <v>9084.7025940000003</v>
      </c>
      <c r="H42" s="133">
        <v>0</v>
      </c>
      <c r="I42" s="106"/>
      <c r="J42" s="123">
        <v>9447.0362239999995</v>
      </c>
      <c r="K42" s="113">
        <v>0.69495855397826878</v>
      </c>
      <c r="L42" s="114">
        <v>9447.0362239999995</v>
      </c>
      <c r="M42" s="133">
        <v>0</v>
      </c>
      <c r="N42" s="112">
        <v>10372.855906000001</v>
      </c>
      <c r="O42" s="113">
        <v>0.72994502540877149</v>
      </c>
      <c r="P42" s="114">
        <v>10372.855906000001</v>
      </c>
      <c r="Q42" s="114">
        <v>0</v>
      </c>
      <c r="R42" s="108"/>
      <c r="S42" s="109"/>
      <c r="T42" s="110" t="s">
        <v>113</v>
      </c>
      <c r="U42" s="111" t="s">
        <v>95</v>
      </c>
      <c r="V42" s="112">
        <v>11175.547912</v>
      </c>
      <c r="W42" s="113">
        <v>0.72705771755509119</v>
      </c>
      <c r="X42" s="114">
        <v>11175.547912</v>
      </c>
      <c r="Y42" s="133">
        <v>0</v>
      </c>
      <c r="Z42" s="199"/>
      <c r="AA42" s="123">
        <v>12276.428395999999</v>
      </c>
      <c r="AB42" s="113">
        <v>0.74247934052569287</v>
      </c>
      <c r="AC42" s="114">
        <v>12276.428395999999</v>
      </c>
      <c r="AD42" s="133">
        <v>0</v>
      </c>
      <c r="AE42" s="112">
        <v>12321.975415999999</v>
      </c>
      <c r="AF42" s="113">
        <v>0.69598424243035772</v>
      </c>
      <c r="AG42" s="114">
        <v>12321.975415999999</v>
      </c>
      <c r="AH42" s="114">
        <v>0</v>
      </c>
    </row>
    <row r="43" spans="1:34" s="118" customFormat="1" x14ac:dyDescent="0.25">
      <c r="A43" s="115" t="s">
        <v>558</v>
      </c>
      <c r="B43" s="115"/>
      <c r="C43" s="116"/>
      <c r="D43" s="117"/>
      <c r="E43" s="117"/>
      <c r="F43" s="117"/>
      <c r="G43" s="117"/>
      <c r="H43" s="117"/>
      <c r="I43" s="117"/>
      <c r="J43" s="117" t="s">
        <v>687</v>
      </c>
      <c r="K43" s="117"/>
      <c r="L43" s="117"/>
      <c r="M43" s="117"/>
      <c r="N43" s="135"/>
      <c r="O43" s="135"/>
      <c r="P43" s="135"/>
      <c r="Q43" s="135"/>
      <c r="R43" s="115" t="s">
        <v>558</v>
      </c>
      <c r="S43" s="115"/>
      <c r="T43" s="116"/>
      <c r="U43" s="117"/>
      <c r="V43" s="117"/>
      <c r="W43" s="117"/>
      <c r="X43" s="117"/>
      <c r="Y43" s="117"/>
      <c r="Z43" s="117"/>
      <c r="AA43" s="117" t="s">
        <v>687</v>
      </c>
      <c r="AB43" s="117"/>
      <c r="AC43" s="117"/>
      <c r="AD43" s="117"/>
      <c r="AE43" s="135"/>
      <c r="AF43" s="135"/>
      <c r="AG43" s="135"/>
      <c r="AH43" s="135"/>
    </row>
    <row r="44" spans="1:34" s="118" customFormat="1" ht="15" x14ac:dyDescent="0.25">
      <c r="A44" s="117"/>
      <c r="B44" s="116"/>
      <c r="C44" s="116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</row>
    <row r="45" spans="1:34" s="118" customFormat="1" ht="15" x14ac:dyDescent="0.25">
      <c r="A45" s="119"/>
      <c r="B45" s="115"/>
      <c r="C45" s="116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</row>
    <row r="46" spans="1:34" s="118" customFormat="1" ht="15" x14ac:dyDescent="0.25">
      <c r="A46" s="119"/>
      <c r="B46" s="115"/>
      <c r="C46" s="116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</row>
    <row r="47" spans="1:34" ht="16.5" x14ac:dyDescent="0.25">
      <c r="A47" s="120"/>
      <c r="B47" s="120"/>
      <c r="C47" s="121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117"/>
      <c r="O47" s="117"/>
      <c r="P47" s="117"/>
      <c r="Q47" s="117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</row>
    <row r="48" spans="1:34" x14ac:dyDescent="0.25"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</row>
  </sheetData>
  <mergeCells count="64">
    <mergeCell ref="R10:T10"/>
    <mergeCell ref="AE5:AE7"/>
    <mergeCell ref="AG5:AG7"/>
    <mergeCell ref="AH5:AH7"/>
    <mergeCell ref="V8:V9"/>
    <mergeCell ref="W8:W9"/>
    <mergeCell ref="X8:X9"/>
    <mergeCell ref="Y8:Y9"/>
    <mergeCell ref="AA8:AA9"/>
    <mergeCell ref="AB8:AB9"/>
    <mergeCell ref="AC8:AC9"/>
    <mergeCell ref="AD8:AD9"/>
    <mergeCell ref="AE8:AE9"/>
    <mergeCell ref="AF8:AF9"/>
    <mergeCell ref="AG8:AG9"/>
    <mergeCell ref="AH8:AH9"/>
    <mergeCell ref="V4:Y4"/>
    <mergeCell ref="AA4:AD4"/>
    <mergeCell ref="AE4:AH4"/>
    <mergeCell ref="V5:V7"/>
    <mergeCell ref="X5:X7"/>
    <mergeCell ref="Y5:Y7"/>
    <mergeCell ref="AA5:AA7"/>
    <mergeCell ref="AC5:AC7"/>
    <mergeCell ref="AD5:AD7"/>
    <mergeCell ref="R1:Y1"/>
    <mergeCell ref="AA1:AH1"/>
    <mergeCell ref="V3:Y3"/>
    <mergeCell ref="AA3:AD3"/>
    <mergeCell ref="AE3:AH3"/>
    <mergeCell ref="G5:G7"/>
    <mergeCell ref="H5:H7"/>
    <mergeCell ref="J5:J7"/>
    <mergeCell ref="L5:L7"/>
    <mergeCell ref="M5:M7"/>
    <mergeCell ref="J4:M4"/>
    <mergeCell ref="N4:Q4"/>
    <mergeCell ref="M8:M9"/>
    <mergeCell ref="N8:N9"/>
    <mergeCell ref="O8:O9"/>
    <mergeCell ref="P8:P9"/>
    <mergeCell ref="Q8:Q9"/>
    <mergeCell ref="A1:H1"/>
    <mergeCell ref="J1:Q1"/>
    <mergeCell ref="E3:H3"/>
    <mergeCell ref="J3:M3"/>
    <mergeCell ref="N3:Q3"/>
    <mergeCell ref="A3:D3"/>
    <mergeCell ref="A8:D9"/>
    <mergeCell ref="R3:U3"/>
    <mergeCell ref="R8:U9"/>
    <mergeCell ref="A10:C10"/>
    <mergeCell ref="N5:N7"/>
    <mergeCell ref="P5:P7"/>
    <mergeCell ref="Q5:Q7"/>
    <mergeCell ref="E8:E9"/>
    <mergeCell ref="F8:F9"/>
    <mergeCell ref="G8:G9"/>
    <mergeCell ref="H8:H9"/>
    <mergeCell ref="J8:J9"/>
    <mergeCell ref="K8:K9"/>
    <mergeCell ref="L8:L9"/>
    <mergeCell ref="E5:E7"/>
    <mergeCell ref="E4:H4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4" firstPageNumber="50" fitToWidth="2" orientation="portrait" r:id="rId1"/>
  <headerFooter alignWithMargins="0"/>
  <colBreaks count="3" manualBreakCount="3">
    <brk id="9" max="42" man="1"/>
    <brk id="17" max="42" man="1"/>
    <brk id="26" max="42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T46"/>
  <sheetViews>
    <sheetView view="pageBreakPreview" zoomScale="70" zoomScaleNormal="55" zoomScaleSheetLayoutView="70" workbookViewId="0">
      <pane xSplit="1" ySplit="9" topLeftCell="B10" activePane="bottomRight" state="frozen"/>
      <selection activeCell="F11" sqref="F11"/>
      <selection pane="topRight" activeCell="F11" sqref="F11"/>
      <selection pane="bottomLeft" activeCell="F11" sqref="F11"/>
      <selection pane="bottomRight" activeCell="M10" sqref="M10"/>
    </sheetView>
  </sheetViews>
  <sheetFormatPr defaultColWidth="8.875" defaultRowHeight="15.75" x14ac:dyDescent="0.25"/>
  <cols>
    <col min="1" max="1" width="2.625" style="79" customWidth="1"/>
    <col min="2" max="2" width="2.75" style="79" customWidth="1"/>
    <col min="3" max="3" width="26.875" style="79" customWidth="1"/>
    <col min="4" max="4" width="26.125" style="79" customWidth="1"/>
    <col min="5" max="5" width="12.625" style="79" bestFit="1" customWidth="1"/>
    <col min="6" max="6" width="9.625" style="79" customWidth="1"/>
    <col min="7" max="7" width="14.625" style="79" customWidth="1"/>
    <col min="8" max="8" width="13.625" style="79" customWidth="1"/>
    <col min="9" max="9" width="2.625" style="79" customWidth="1"/>
    <col min="10" max="10" width="2.75" style="79" customWidth="1"/>
    <col min="11" max="11" width="26.875" style="79" customWidth="1"/>
    <col min="12" max="12" width="25.5" style="79" customWidth="1"/>
    <col min="13" max="13" width="12.625" style="79" customWidth="1"/>
    <col min="14" max="14" width="9.75" style="79" customWidth="1"/>
    <col min="15" max="15" width="14.625" style="79" customWidth="1"/>
    <col min="16" max="16" width="13.625" style="79" customWidth="1"/>
    <col min="17" max="17" width="25.5" style="79" bestFit="1" customWidth="1"/>
    <col min="18" max="18" width="4.75" style="79" bestFit="1" customWidth="1"/>
    <col min="19" max="16384" width="8.875" style="79"/>
  </cols>
  <sheetData>
    <row r="1" spans="1:20" ht="40.9" customHeight="1" x14ac:dyDescent="0.25">
      <c r="A1" s="685" t="s">
        <v>673</v>
      </c>
      <c r="B1" s="652"/>
      <c r="C1" s="652"/>
      <c r="D1" s="652"/>
      <c r="E1" s="652"/>
      <c r="F1" s="652"/>
      <c r="G1" s="652"/>
      <c r="H1" s="652"/>
      <c r="I1" s="661" t="s">
        <v>574</v>
      </c>
      <c r="J1" s="661"/>
      <c r="K1" s="661"/>
      <c r="L1" s="661"/>
      <c r="M1" s="661"/>
      <c r="N1" s="661"/>
      <c r="O1" s="661"/>
      <c r="P1" s="661"/>
      <c r="Q1" s="256"/>
      <c r="R1" s="256"/>
      <c r="S1" s="256"/>
      <c r="T1" s="256"/>
    </row>
    <row r="2" spans="1:20" ht="22.7" customHeight="1" x14ac:dyDescent="0.25">
      <c r="A2" s="77" t="s">
        <v>103</v>
      </c>
      <c r="B2" s="77"/>
      <c r="C2" s="77"/>
      <c r="D2" s="77"/>
      <c r="E2" s="78"/>
      <c r="G2" s="80"/>
      <c r="H2" s="81" t="s">
        <v>68</v>
      </c>
      <c r="I2" s="77" t="s">
        <v>103</v>
      </c>
      <c r="J2" s="77"/>
      <c r="K2" s="194"/>
      <c r="L2" s="194"/>
      <c r="P2" s="81" t="s">
        <v>68</v>
      </c>
    </row>
    <row r="3" spans="1:20" ht="16.899999999999999" customHeight="1" x14ac:dyDescent="0.25">
      <c r="A3" s="686" t="s">
        <v>465</v>
      </c>
      <c r="B3" s="686"/>
      <c r="C3" s="686"/>
      <c r="D3" s="687"/>
      <c r="E3" s="691" t="s">
        <v>544</v>
      </c>
      <c r="F3" s="692"/>
      <c r="G3" s="692"/>
      <c r="H3" s="693"/>
      <c r="I3" s="686" t="s">
        <v>465</v>
      </c>
      <c r="J3" s="686"/>
      <c r="K3" s="686"/>
      <c r="L3" s="687"/>
      <c r="M3" s="691" t="s">
        <v>575</v>
      </c>
      <c r="N3" s="692"/>
      <c r="O3" s="692"/>
      <c r="P3" s="692"/>
    </row>
    <row r="4" spans="1:20" ht="14.45" customHeight="1" x14ac:dyDescent="0.25">
      <c r="A4" s="90"/>
      <c r="B4" s="90"/>
      <c r="C4" s="90"/>
      <c r="D4" s="193"/>
      <c r="E4" s="616">
        <v>2023</v>
      </c>
      <c r="F4" s="624"/>
      <c r="G4" s="624"/>
      <c r="H4" s="625"/>
      <c r="I4" s="90"/>
      <c r="J4" s="90"/>
      <c r="K4" s="90"/>
      <c r="L4" s="193"/>
      <c r="M4" s="616">
        <v>2024</v>
      </c>
      <c r="N4" s="624"/>
      <c r="O4" s="624"/>
      <c r="P4" s="624"/>
    </row>
    <row r="5" spans="1:20" ht="10.9" customHeight="1" x14ac:dyDescent="0.25">
      <c r="A5" s="90"/>
      <c r="B5" s="90"/>
      <c r="C5" s="90"/>
      <c r="D5" s="193"/>
      <c r="E5" s="670" t="s">
        <v>80</v>
      </c>
      <c r="F5" s="82"/>
      <c r="G5" s="668" t="s">
        <v>429</v>
      </c>
      <c r="H5" s="672" t="s">
        <v>466</v>
      </c>
      <c r="I5" s="90"/>
      <c r="J5" s="90"/>
      <c r="K5" s="90"/>
      <c r="L5" s="193"/>
      <c r="M5" s="670" t="s">
        <v>80</v>
      </c>
      <c r="N5" s="82"/>
      <c r="O5" s="668" t="s">
        <v>429</v>
      </c>
      <c r="P5" s="667" t="s">
        <v>466</v>
      </c>
    </row>
    <row r="6" spans="1:20" ht="7.9" customHeight="1" x14ac:dyDescent="0.25">
      <c r="A6" s="90"/>
      <c r="B6" s="90"/>
      <c r="C6" s="90"/>
      <c r="D6" s="193"/>
      <c r="E6" s="670"/>
      <c r="F6" s="82"/>
      <c r="G6" s="668"/>
      <c r="H6" s="673"/>
      <c r="I6" s="90"/>
      <c r="J6" s="90"/>
      <c r="K6" s="90"/>
      <c r="L6" s="193"/>
      <c r="M6" s="670"/>
      <c r="N6" s="82"/>
      <c r="O6" s="668"/>
      <c r="P6" s="689"/>
    </row>
    <row r="7" spans="1:20" ht="19.149999999999999" customHeight="1" x14ac:dyDescent="0.25">
      <c r="A7" s="90"/>
      <c r="B7" s="90"/>
      <c r="C7" s="90"/>
      <c r="D7" s="193"/>
      <c r="E7" s="670"/>
      <c r="F7" s="56" t="s">
        <v>83</v>
      </c>
      <c r="G7" s="668"/>
      <c r="H7" s="673"/>
      <c r="I7" s="90"/>
      <c r="J7" s="90"/>
      <c r="K7" s="90"/>
      <c r="L7" s="193"/>
      <c r="M7" s="670"/>
      <c r="N7" s="56" t="s">
        <v>83</v>
      </c>
      <c r="O7" s="668"/>
      <c r="P7" s="689"/>
    </row>
    <row r="8" spans="1:20" s="286" customFormat="1" ht="10.15" customHeight="1" x14ac:dyDescent="0.25">
      <c r="A8" s="675" t="s">
        <v>464</v>
      </c>
      <c r="B8" s="675"/>
      <c r="C8" s="675"/>
      <c r="D8" s="676"/>
      <c r="E8" s="679" t="s">
        <v>20</v>
      </c>
      <c r="F8" s="655" t="s">
        <v>21</v>
      </c>
      <c r="G8" s="657" t="s">
        <v>408</v>
      </c>
      <c r="H8" s="674" t="s">
        <v>73</v>
      </c>
      <c r="I8" s="675" t="s">
        <v>464</v>
      </c>
      <c r="J8" s="675"/>
      <c r="K8" s="675"/>
      <c r="L8" s="676"/>
      <c r="M8" s="679" t="s">
        <v>20</v>
      </c>
      <c r="N8" s="655" t="s">
        <v>21</v>
      </c>
      <c r="O8" s="657" t="s">
        <v>408</v>
      </c>
      <c r="P8" s="659" t="s">
        <v>73</v>
      </c>
    </row>
    <row r="9" spans="1:20" s="286" customFormat="1" ht="21.6" customHeight="1" x14ac:dyDescent="0.25">
      <c r="A9" s="677"/>
      <c r="B9" s="677"/>
      <c r="C9" s="677"/>
      <c r="D9" s="678"/>
      <c r="E9" s="680"/>
      <c r="F9" s="656"/>
      <c r="G9" s="658"/>
      <c r="H9" s="657"/>
      <c r="I9" s="677"/>
      <c r="J9" s="677"/>
      <c r="K9" s="677"/>
      <c r="L9" s="678"/>
      <c r="M9" s="680"/>
      <c r="N9" s="656"/>
      <c r="O9" s="658"/>
      <c r="P9" s="660"/>
    </row>
    <row r="10" spans="1:20" s="84" customFormat="1" ht="19.899999999999999" customHeight="1" x14ac:dyDescent="0.25">
      <c r="A10" s="671" t="s">
        <v>217</v>
      </c>
      <c r="B10" s="671"/>
      <c r="C10" s="671"/>
      <c r="D10" s="86" t="s">
        <v>14</v>
      </c>
      <c r="E10" s="124">
        <v>1835284.8173930002</v>
      </c>
      <c r="F10" s="276">
        <v>100</v>
      </c>
      <c r="G10" s="153">
        <v>1710400.2372460002</v>
      </c>
      <c r="H10" s="254">
        <v>124884.580147</v>
      </c>
      <c r="I10" s="671" t="s">
        <v>217</v>
      </c>
      <c r="J10" s="671"/>
      <c r="K10" s="671"/>
      <c r="L10" s="86" t="s">
        <v>14</v>
      </c>
      <c r="M10" s="124">
        <v>1889666.1432149997</v>
      </c>
      <c r="N10" s="276">
        <v>100</v>
      </c>
      <c r="O10" s="247">
        <v>1764100.7931789998</v>
      </c>
      <c r="P10" s="247">
        <v>125565.35003599999</v>
      </c>
      <c r="Q10" s="588"/>
      <c r="R10" s="589"/>
    </row>
    <row r="11" spans="1:20" s="90" customFormat="1" ht="19.899999999999999" customHeight="1" x14ac:dyDescent="0.25">
      <c r="C11" s="91" t="s">
        <v>83</v>
      </c>
      <c r="D11" s="92" t="s">
        <v>21</v>
      </c>
      <c r="E11" s="126">
        <v>100</v>
      </c>
      <c r="F11" s="277"/>
      <c r="G11" s="169">
        <v>93.195356984187498</v>
      </c>
      <c r="H11" s="283">
        <v>6.8046430158125002</v>
      </c>
      <c r="K11" s="91" t="s">
        <v>83</v>
      </c>
      <c r="L11" s="92" t="s">
        <v>21</v>
      </c>
      <c r="M11" s="126">
        <v>100</v>
      </c>
      <c r="N11" s="277"/>
      <c r="O11" s="169">
        <v>93.355156915582555</v>
      </c>
      <c r="P11" s="169">
        <v>6.6448430844174569</v>
      </c>
      <c r="Q11" s="588"/>
    </row>
    <row r="12" spans="1:20" s="84" customFormat="1" ht="22.15" customHeight="1" x14ac:dyDescent="0.25">
      <c r="A12" s="84" t="s">
        <v>84</v>
      </c>
      <c r="C12" s="85"/>
      <c r="D12" s="94" t="s">
        <v>22</v>
      </c>
      <c r="E12" s="124">
        <v>1065167.2683410002</v>
      </c>
      <c r="F12" s="87">
        <v>58.038254239691113</v>
      </c>
      <c r="G12" s="153">
        <v>1031375.9461900002</v>
      </c>
      <c r="H12" s="254">
        <v>33791.322151</v>
      </c>
      <c r="I12" s="84" t="s">
        <v>84</v>
      </c>
      <c r="K12" s="85"/>
      <c r="L12" s="94" t="s">
        <v>22</v>
      </c>
      <c r="M12" s="124">
        <v>1080982.9436629997</v>
      </c>
      <c r="N12" s="87">
        <v>57.204969647382264</v>
      </c>
      <c r="O12" s="153">
        <v>1043453.8850889998</v>
      </c>
      <c r="P12" s="153">
        <v>37529.058573999995</v>
      </c>
      <c r="Q12" s="588"/>
    </row>
    <row r="13" spans="1:20" s="84" customFormat="1" ht="22.15" customHeight="1" x14ac:dyDescent="0.25">
      <c r="C13" s="95" t="s">
        <v>409</v>
      </c>
      <c r="D13" s="94" t="s">
        <v>226</v>
      </c>
      <c r="E13" s="243">
        <v>231589.29581700003</v>
      </c>
      <c r="F13" s="87">
        <v>12.618711473130901</v>
      </c>
      <c r="G13" s="88">
        <v>226147.56809500002</v>
      </c>
      <c r="H13" s="125">
        <v>5441.7277219999996</v>
      </c>
      <c r="K13" s="95" t="s">
        <v>409</v>
      </c>
      <c r="L13" s="94" t="s">
        <v>226</v>
      </c>
      <c r="M13" s="124">
        <v>208744.960288</v>
      </c>
      <c r="N13" s="87">
        <v>11.046658217247305</v>
      </c>
      <c r="O13" s="88">
        <v>202272.16078199999</v>
      </c>
      <c r="P13" s="88">
        <v>6472.7995060000003</v>
      </c>
      <c r="Q13" s="588"/>
    </row>
    <row r="14" spans="1:20" s="175" customFormat="1" ht="25.15" customHeight="1" x14ac:dyDescent="0.25">
      <c r="A14" s="96"/>
      <c r="B14" s="96"/>
      <c r="C14" s="96" t="s">
        <v>119</v>
      </c>
      <c r="D14" s="164" t="s">
        <v>65</v>
      </c>
      <c r="E14" s="182">
        <v>213526.76795900002</v>
      </c>
      <c r="F14" s="172">
        <v>11.634530288454748</v>
      </c>
      <c r="G14" s="173">
        <v>208544.50822700001</v>
      </c>
      <c r="H14" s="174">
        <v>4982.2597320000004</v>
      </c>
      <c r="I14" s="96"/>
      <c r="J14" s="96"/>
      <c r="K14" s="96" t="s">
        <v>119</v>
      </c>
      <c r="L14" s="164" t="s">
        <v>65</v>
      </c>
      <c r="M14" s="105">
        <v>187667.58100499999</v>
      </c>
      <c r="N14" s="172">
        <v>9.9312559352791361</v>
      </c>
      <c r="O14" s="173">
        <v>181606.33506099999</v>
      </c>
      <c r="P14" s="173">
        <v>6061.2459440000002</v>
      </c>
      <c r="Q14" s="588"/>
    </row>
    <row r="15" spans="1:20" s="175" customFormat="1" ht="21.2" customHeight="1" x14ac:dyDescent="0.25">
      <c r="A15" s="96"/>
      <c r="B15" s="96"/>
      <c r="C15" s="96" t="s">
        <v>102</v>
      </c>
      <c r="D15" s="164" t="s">
        <v>15</v>
      </c>
      <c r="E15" s="182">
        <v>286.44754599999999</v>
      </c>
      <c r="F15" s="172">
        <v>1.5607797944239263E-2</v>
      </c>
      <c r="G15" s="173">
        <v>283.41574600000001</v>
      </c>
      <c r="H15" s="174">
        <v>3.0318000000000001</v>
      </c>
      <c r="I15" s="96"/>
      <c r="J15" s="96"/>
      <c r="K15" s="96" t="s">
        <v>102</v>
      </c>
      <c r="L15" s="164" t="s">
        <v>15</v>
      </c>
      <c r="M15" s="105">
        <v>296.20570300000003</v>
      </c>
      <c r="N15" s="172">
        <v>1.5675028314580897E-2</v>
      </c>
      <c r="O15" s="173">
        <v>295.41295300000002</v>
      </c>
      <c r="P15" s="173">
        <v>0.79274999999999995</v>
      </c>
      <c r="Q15" s="588"/>
    </row>
    <row r="16" spans="1:20" s="175" customFormat="1" ht="21.2" customHeight="1" x14ac:dyDescent="0.25">
      <c r="A16" s="96"/>
      <c r="B16" s="96"/>
      <c r="C16" s="96" t="s">
        <v>117</v>
      </c>
      <c r="D16" s="164" t="s">
        <v>78</v>
      </c>
      <c r="E16" s="182">
        <v>1225.7676590000001</v>
      </c>
      <c r="F16" s="172">
        <v>6.6788960894973687E-2</v>
      </c>
      <c r="G16" s="173">
        <v>1207.2788270000001</v>
      </c>
      <c r="H16" s="174">
        <v>18.488831999999999</v>
      </c>
      <c r="I16" s="96"/>
      <c r="J16" s="96"/>
      <c r="K16" s="96" t="s">
        <v>117</v>
      </c>
      <c r="L16" s="164" t="s">
        <v>78</v>
      </c>
      <c r="M16" s="105">
        <v>1072.839041</v>
      </c>
      <c r="N16" s="172">
        <v>5.6773999198330136E-2</v>
      </c>
      <c r="O16" s="173">
        <v>1068.6290409999999</v>
      </c>
      <c r="P16" s="173">
        <v>4.21</v>
      </c>
      <c r="Q16" s="588"/>
    </row>
    <row r="17" spans="1:17" s="96" customFormat="1" ht="21.2" customHeight="1" x14ac:dyDescent="0.25">
      <c r="C17" s="96" t="s">
        <v>118</v>
      </c>
      <c r="D17" s="164" t="s">
        <v>42</v>
      </c>
      <c r="E17" s="182">
        <v>416.30275900000004</v>
      </c>
      <c r="F17" s="172">
        <v>2.2683278096930649E-2</v>
      </c>
      <c r="G17" s="173">
        <v>410.01276100000001</v>
      </c>
      <c r="H17" s="174">
        <v>6.2899979999999998</v>
      </c>
      <c r="K17" s="96" t="s">
        <v>118</v>
      </c>
      <c r="L17" s="164" t="s">
        <v>42</v>
      </c>
      <c r="M17" s="105">
        <v>525.78088300000002</v>
      </c>
      <c r="N17" s="172">
        <v>2.7824009277398504E-2</v>
      </c>
      <c r="O17" s="173">
        <v>520.11326099999997</v>
      </c>
      <c r="P17" s="173">
        <v>5.6676219999999997</v>
      </c>
      <c r="Q17" s="588"/>
    </row>
    <row r="18" spans="1:17" s="96" customFormat="1" ht="21.2" customHeight="1" x14ac:dyDescent="0.25">
      <c r="C18" s="176" t="s">
        <v>402</v>
      </c>
      <c r="D18" s="164" t="s">
        <v>79</v>
      </c>
      <c r="E18" s="182">
        <v>3102.392233</v>
      </c>
      <c r="F18" s="172">
        <v>0.1690414590475886</v>
      </c>
      <c r="G18" s="173">
        <v>3097.2361420000002</v>
      </c>
      <c r="H18" s="174">
        <v>5.156091</v>
      </c>
      <c r="K18" s="176" t="s">
        <v>402</v>
      </c>
      <c r="L18" s="164" t="s">
        <v>79</v>
      </c>
      <c r="M18" s="105">
        <v>3739.3277980000003</v>
      </c>
      <c r="N18" s="172">
        <v>0.19788298644320645</v>
      </c>
      <c r="O18" s="173">
        <v>3733.9475590000002</v>
      </c>
      <c r="P18" s="173">
        <v>5.3802390000000004</v>
      </c>
      <c r="Q18" s="588"/>
    </row>
    <row r="19" spans="1:17" s="96" customFormat="1" ht="21.2" customHeight="1" x14ac:dyDescent="0.25">
      <c r="C19" s="96" t="s">
        <v>120</v>
      </c>
      <c r="D19" s="164" t="s">
        <v>66</v>
      </c>
      <c r="E19" s="182">
        <v>4112.331999</v>
      </c>
      <c r="F19" s="172">
        <v>0.22407050720560734</v>
      </c>
      <c r="G19" s="173">
        <v>4112.331999</v>
      </c>
      <c r="H19" s="174">
        <v>0</v>
      </c>
      <c r="K19" s="96" t="s">
        <v>120</v>
      </c>
      <c r="L19" s="164" t="s">
        <v>66</v>
      </c>
      <c r="M19" s="105">
        <v>4968.9478090000002</v>
      </c>
      <c r="N19" s="172">
        <v>0.26295374062986798</v>
      </c>
      <c r="O19" s="173">
        <v>4968.9478090000002</v>
      </c>
      <c r="P19" s="173">
        <v>0</v>
      </c>
      <c r="Q19" s="588"/>
    </row>
    <row r="20" spans="1:17" s="96" customFormat="1" ht="21.2" customHeight="1" x14ac:dyDescent="0.25">
      <c r="C20" s="177" t="s">
        <v>81</v>
      </c>
      <c r="D20" s="164" t="s">
        <v>43</v>
      </c>
      <c r="E20" s="182">
        <v>649.14900999999998</v>
      </c>
      <c r="F20" s="172">
        <v>3.5370477859785726E-2</v>
      </c>
      <c r="G20" s="173">
        <v>591.90347199999997</v>
      </c>
      <c r="H20" s="174">
        <v>57.245538000000003</v>
      </c>
      <c r="K20" s="177" t="s">
        <v>81</v>
      </c>
      <c r="L20" s="164" t="s">
        <v>43</v>
      </c>
      <c r="M20" s="105">
        <v>518.47778399999993</v>
      </c>
      <c r="N20" s="172">
        <v>2.7437533654377871E-2</v>
      </c>
      <c r="O20" s="173">
        <v>440.37129299999998</v>
      </c>
      <c r="P20" s="173">
        <v>78.106491000000005</v>
      </c>
      <c r="Q20" s="588"/>
    </row>
    <row r="21" spans="1:17" s="96" customFormat="1" ht="27.75" customHeight="1" x14ac:dyDescent="0.25">
      <c r="C21" s="184" t="s">
        <v>443</v>
      </c>
      <c r="D21" s="171" t="s">
        <v>444</v>
      </c>
      <c r="E21" s="182">
        <v>4697.5403900000001</v>
      </c>
      <c r="F21" s="172">
        <v>0.25595702342663079</v>
      </c>
      <c r="G21" s="173">
        <v>4692.4921370000002</v>
      </c>
      <c r="H21" s="174">
        <v>5.0482529999999999</v>
      </c>
      <c r="K21" s="184" t="s">
        <v>443</v>
      </c>
      <c r="L21" s="164" t="s">
        <v>444</v>
      </c>
      <c r="M21" s="105">
        <v>5005.276683</v>
      </c>
      <c r="N21" s="172">
        <v>0.2648762428734755</v>
      </c>
      <c r="O21" s="173">
        <v>4998.0965480000004</v>
      </c>
      <c r="P21" s="173">
        <v>7.1801349999999999</v>
      </c>
      <c r="Q21" s="588"/>
    </row>
    <row r="22" spans="1:17" s="96" customFormat="1" ht="21.2" customHeight="1" x14ac:dyDescent="0.25">
      <c r="C22" s="96" t="s">
        <v>122</v>
      </c>
      <c r="D22" s="164" t="s">
        <v>63</v>
      </c>
      <c r="E22" s="182">
        <v>968.74607800000001</v>
      </c>
      <c r="F22" s="172">
        <v>5.2784508912142147E-2</v>
      </c>
      <c r="G22" s="173">
        <v>672.05510500000003</v>
      </c>
      <c r="H22" s="174">
        <v>296.69097299999999</v>
      </c>
      <c r="K22" s="96" t="s">
        <v>122</v>
      </c>
      <c r="L22" s="164" t="s">
        <v>63</v>
      </c>
      <c r="M22" s="105">
        <v>905.88907600000005</v>
      </c>
      <c r="N22" s="172">
        <v>4.7939107087919666E-2</v>
      </c>
      <c r="O22" s="173">
        <v>623.69013800000005</v>
      </c>
      <c r="P22" s="173">
        <v>282.198938</v>
      </c>
      <c r="Q22" s="588"/>
    </row>
    <row r="23" spans="1:17" s="96" customFormat="1" ht="21.2" customHeight="1" x14ac:dyDescent="0.25">
      <c r="C23" s="178" t="s">
        <v>403</v>
      </c>
      <c r="D23" s="164" t="s">
        <v>18</v>
      </c>
      <c r="E23" s="182">
        <v>11.915748000000001</v>
      </c>
      <c r="F23" s="172">
        <v>6.4925879008393783E-4</v>
      </c>
      <c r="G23" s="173">
        <v>11.915748000000001</v>
      </c>
      <c r="H23" s="174">
        <v>0</v>
      </c>
      <c r="K23" s="178" t="s">
        <v>403</v>
      </c>
      <c r="L23" s="164" t="s">
        <v>18</v>
      </c>
      <c r="M23" s="105">
        <v>11.955038999999999</v>
      </c>
      <c r="N23" s="172">
        <v>6.3265350035113569E-4</v>
      </c>
      <c r="O23" s="173">
        <v>11.955038999999999</v>
      </c>
      <c r="P23" s="173">
        <v>0</v>
      </c>
      <c r="Q23" s="588"/>
    </row>
    <row r="24" spans="1:17" s="96" customFormat="1" ht="21.2" customHeight="1" x14ac:dyDescent="0.25">
      <c r="C24" s="179" t="s">
        <v>123</v>
      </c>
      <c r="D24" s="164" t="s">
        <v>17</v>
      </c>
      <c r="E24" s="182">
        <v>145.55524</v>
      </c>
      <c r="F24" s="172">
        <v>7.9309346767636561E-3</v>
      </c>
      <c r="G24" s="173">
        <v>145.55524</v>
      </c>
      <c r="H24" s="174">
        <v>0</v>
      </c>
      <c r="K24" s="179" t="s">
        <v>123</v>
      </c>
      <c r="L24" s="164" t="s">
        <v>17</v>
      </c>
      <c r="M24" s="105">
        <v>152.47261599999999</v>
      </c>
      <c r="N24" s="172">
        <v>8.0687594762421568E-3</v>
      </c>
      <c r="O24" s="173">
        <v>152.47261599999999</v>
      </c>
      <c r="P24" s="173">
        <v>0</v>
      </c>
      <c r="Q24" s="588"/>
    </row>
    <row r="25" spans="1:17" s="96" customFormat="1" ht="21.2" customHeight="1" x14ac:dyDescent="0.25">
      <c r="C25" s="178" t="s">
        <v>445</v>
      </c>
      <c r="D25" s="164" t="s">
        <v>446</v>
      </c>
      <c r="E25" s="182">
        <v>11.756161000000001</v>
      </c>
      <c r="F25" s="172">
        <v>6.405633005071924E-4</v>
      </c>
      <c r="G25" s="173">
        <v>11.756161000000001</v>
      </c>
      <c r="H25" s="174">
        <v>0</v>
      </c>
      <c r="K25" s="178" t="s">
        <v>445</v>
      </c>
      <c r="L25" s="164" t="s">
        <v>446</v>
      </c>
      <c r="M25" s="105">
        <v>13.719742</v>
      </c>
      <c r="N25" s="172">
        <v>7.2604052569083977E-4</v>
      </c>
      <c r="O25" s="173">
        <v>13.687742</v>
      </c>
      <c r="P25" s="173">
        <v>3.2000000000000001E-2</v>
      </c>
      <c r="Q25" s="588"/>
    </row>
    <row r="26" spans="1:17" s="96" customFormat="1" ht="21.2" customHeight="1" x14ac:dyDescent="0.25">
      <c r="C26" s="179" t="s">
        <v>124</v>
      </c>
      <c r="D26" s="164" t="s">
        <v>41</v>
      </c>
      <c r="E26" s="182">
        <v>1981.265764</v>
      </c>
      <c r="F26" s="172">
        <v>0.10795413034661093</v>
      </c>
      <c r="G26" s="173">
        <v>1964.37465</v>
      </c>
      <c r="H26" s="174">
        <v>16.891114000000002</v>
      </c>
      <c r="K26" s="179" t="s">
        <v>124</v>
      </c>
      <c r="L26" s="164" t="s">
        <v>41</v>
      </c>
      <c r="M26" s="105">
        <v>3436.627661</v>
      </c>
      <c r="N26" s="172">
        <v>0.18186427657284815</v>
      </c>
      <c r="O26" s="173">
        <v>3428.2164050000001</v>
      </c>
      <c r="P26" s="173">
        <v>8.4112559999999998</v>
      </c>
      <c r="Q26" s="588"/>
    </row>
    <row r="27" spans="1:17" s="96" customFormat="1" ht="21.2" customHeight="1" x14ac:dyDescent="0.25">
      <c r="C27" s="178" t="s">
        <v>404</v>
      </c>
      <c r="D27" s="164" t="s">
        <v>32</v>
      </c>
      <c r="E27" s="182">
        <v>84.044879000000009</v>
      </c>
      <c r="F27" s="172">
        <v>4.5793916128715507E-3</v>
      </c>
      <c r="G27" s="173">
        <v>55.968052</v>
      </c>
      <c r="H27" s="174">
        <v>28.076827000000002</v>
      </c>
      <c r="K27" s="178" t="s">
        <v>404</v>
      </c>
      <c r="L27" s="164" t="s">
        <v>32</v>
      </c>
      <c r="M27" s="105">
        <v>66.055213000000009</v>
      </c>
      <c r="N27" s="172">
        <v>3.4956022912923873E-3</v>
      </c>
      <c r="O27" s="173">
        <v>49.309299000000003</v>
      </c>
      <c r="P27" s="173">
        <v>16.745913999999999</v>
      </c>
      <c r="Q27" s="588"/>
    </row>
    <row r="28" spans="1:17" s="96" customFormat="1" ht="21.2" customHeight="1" x14ac:dyDescent="0.25">
      <c r="C28" s="178" t="s">
        <v>100</v>
      </c>
      <c r="D28" s="164" t="s">
        <v>97</v>
      </c>
      <c r="E28" s="182">
        <v>369.31239199999999</v>
      </c>
      <c r="F28" s="172">
        <v>2.0122892561417458E-2</v>
      </c>
      <c r="G28" s="173">
        <v>346.76382799999999</v>
      </c>
      <c r="H28" s="174">
        <v>22.548563999999999</v>
      </c>
      <c r="K28" s="178" t="s">
        <v>100</v>
      </c>
      <c r="L28" s="164" t="s">
        <v>97</v>
      </c>
      <c r="M28" s="105">
        <v>363.80423500000001</v>
      </c>
      <c r="N28" s="172">
        <v>1.9252302122587567E-2</v>
      </c>
      <c r="O28" s="173">
        <v>360.97601800000001</v>
      </c>
      <c r="P28" s="173">
        <v>2.828217</v>
      </c>
      <c r="Q28" s="588"/>
    </row>
    <row r="29" spans="1:17" s="135" customFormat="1" ht="22.15" customHeight="1" x14ac:dyDescent="0.25">
      <c r="A29" s="90"/>
      <c r="B29" s="90"/>
      <c r="C29" s="98" t="s">
        <v>412</v>
      </c>
      <c r="D29" s="99" t="s">
        <v>413</v>
      </c>
      <c r="E29" s="170">
        <v>24296.811556000001</v>
      </c>
      <c r="F29" s="87">
        <v>1.3238714408651475</v>
      </c>
      <c r="G29" s="88">
        <v>22807.530577000001</v>
      </c>
      <c r="H29" s="125">
        <v>1489.2809790000001</v>
      </c>
      <c r="I29" s="90"/>
      <c r="J29" s="90"/>
      <c r="K29" s="98" t="s">
        <v>412</v>
      </c>
      <c r="L29" s="99" t="s">
        <v>413</v>
      </c>
      <c r="M29" s="170">
        <v>26677.325887999999</v>
      </c>
      <c r="N29" s="87">
        <v>1.4117481007842108</v>
      </c>
      <c r="O29" s="88">
        <v>24264.085999999999</v>
      </c>
      <c r="P29" s="88">
        <v>2413.2398880000001</v>
      </c>
      <c r="Q29" s="588"/>
    </row>
    <row r="30" spans="1:17" s="96" customFormat="1" ht="21.2" customHeight="1" x14ac:dyDescent="0.25">
      <c r="C30" s="96" t="s">
        <v>125</v>
      </c>
      <c r="D30" s="164" t="s">
        <v>60</v>
      </c>
      <c r="E30" s="182">
        <v>2298.2619790000003</v>
      </c>
      <c r="F30" s="172">
        <v>0.12522644753660925</v>
      </c>
      <c r="G30" s="173">
        <v>2239.5430000000001</v>
      </c>
      <c r="H30" s="174">
        <v>58.718978999999997</v>
      </c>
      <c r="K30" s="96" t="s">
        <v>125</v>
      </c>
      <c r="L30" s="164" t="s">
        <v>60</v>
      </c>
      <c r="M30" s="182">
        <v>3158.4038599999999</v>
      </c>
      <c r="N30" s="172">
        <v>0.16714083973724705</v>
      </c>
      <c r="O30" s="173">
        <v>3057.8679999999999</v>
      </c>
      <c r="P30" s="173">
        <v>100.53586</v>
      </c>
      <c r="Q30" s="588"/>
    </row>
    <row r="31" spans="1:17" s="96" customFormat="1" ht="21.2" customHeight="1" x14ac:dyDescent="0.25">
      <c r="C31" s="96" t="s">
        <v>126</v>
      </c>
      <c r="D31" s="164" t="s">
        <v>58</v>
      </c>
      <c r="E31" s="182">
        <v>5492.183</v>
      </c>
      <c r="F31" s="172">
        <v>0.29925507735641704</v>
      </c>
      <c r="G31" s="173">
        <v>5303.201</v>
      </c>
      <c r="H31" s="174">
        <v>188.982</v>
      </c>
      <c r="K31" s="96" t="s">
        <v>126</v>
      </c>
      <c r="L31" s="164" t="s">
        <v>58</v>
      </c>
      <c r="M31" s="182">
        <v>5590.5480279999992</v>
      </c>
      <c r="N31" s="172">
        <v>0.29584845175288332</v>
      </c>
      <c r="O31" s="173">
        <v>5528.5559999999996</v>
      </c>
      <c r="P31" s="173">
        <v>61.992027999999998</v>
      </c>
      <c r="Q31" s="588"/>
    </row>
    <row r="32" spans="1:17" s="96" customFormat="1" ht="21.2" customHeight="1" x14ac:dyDescent="0.25">
      <c r="C32" s="96" t="s">
        <v>127</v>
      </c>
      <c r="D32" s="164" t="s">
        <v>64</v>
      </c>
      <c r="E32" s="182">
        <v>1267.3030000000001</v>
      </c>
      <c r="F32" s="172">
        <v>6.9052115943518164E-2</v>
      </c>
      <c r="G32" s="173">
        <v>1258.403</v>
      </c>
      <c r="H32" s="174">
        <v>8.9</v>
      </c>
      <c r="K32" s="96" t="s">
        <v>127</v>
      </c>
      <c r="L32" s="164" t="s">
        <v>64</v>
      </c>
      <c r="M32" s="182">
        <v>1635.325</v>
      </c>
      <c r="N32" s="172">
        <v>8.6540419103753735E-2</v>
      </c>
      <c r="O32" s="173">
        <v>1529.396</v>
      </c>
      <c r="P32" s="173">
        <v>105.929</v>
      </c>
      <c r="Q32" s="588"/>
    </row>
    <row r="33" spans="1:17" s="96" customFormat="1" ht="21.2" customHeight="1" x14ac:dyDescent="0.25">
      <c r="C33" s="96" t="s">
        <v>128</v>
      </c>
      <c r="D33" s="164" t="s">
        <v>61</v>
      </c>
      <c r="E33" s="182">
        <v>2070.1309999999999</v>
      </c>
      <c r="F33" s="172">
        <v>0.11279617094749335</v>
      </c>
      <c r="G33" s="173">
        <v>2036.356</v>
      </c>
      <c r="H33" s="174">
        <v>33.774999999999999</v>
      </c>
      <c r="K33" s="96" t="s">
        <v>128</v>
      </c>
      <c r="L33" s="164" t="s">
        <v>61</v>
      </c>
      <c r="M33" s="182">
        <v>2201.1179999999999</v>
      </c>
      <c r="N33" s="172">
        <v>0.11648184563729913</v>
      </c>
      <c r="O33" s="173">
        <v>2158.558</v>
      </c>
      <c r="P33" s="173">
        <v>42.56</v>
      </c>
      <c r="Q33" s="588"/>
    </row>
    <row r="34" spans="1:17" s="96" customFormat="1" ht="21.2" customHeight="1" x14ac:dyDescent="0.25">
      <c r="C34" s="96" t="s">
        <v>129</v>
      </c>
      <c r="D34" s="164" t="s">
        <v>62</v>
      </c>
      <c r="E34" s="182">
        <v>1511.0500000000002</v>
      </c>
      <c r="F34" s="172">
        <v>8.2333269783511229E-2</v>
      </c>
      <c r="G34" s="173">
        <v>1476.4680000000001</v>
      </c>
      <c r="H34" s="174">
        <v>34.582000000000001</v>
      </c>
      <c r="K34" s="96" t="s">
        <v>129</v>
      </c>
      <c r="L34" s="164" t="s">
        <v>62</v>
      </c>
      <c r="M34" s="182">
        <v>1596.059</v>
      </c>
      <c r="N34" s="172">
        <v>8.4462485912169191E-2</v>
      </c>
      <c r="O34" s="173">
        <v>1526.604</v>
      </c>
      <c r="P34" s="173">
        <v>69.454999999999998</v>
      </c>
      <c r="Q34" s="588"/>
    </row>
    <row r="35" spans="1:17" s="96" customFormat="1" ht="21.2" customHeight="1" x14ac:dyDescent="0.25">
      <c r="C35" s="96" t="s">
        <v>130</v>
      </c>
      <c r="D35" s="164" t="s">
        <v>59</v>
      </c>
      <c r="E35" s="182">
        <v>3232.6945770000002</v>
      </c>
      <c r="F35" s="172">
        <v>0.17614130223078964</v>
      </c>
      <c r="G35" s="173">
        <v>3176.5965770000003</v>
      </c>
      <c r="H35" s="174">
        <v>56.097999999999999</v>
      </c>
      <c r="K35" s="96" t="s">
        <v>130</v>
      </c>
      <c r="L35" s="164" t="s">
        <v>59</v>
      </c>
      <c r="M35" s="182">
        <v>2483.9140000000002</v>
      </c>
      <c r="N35" s="172">
        <v>0.13144724050429205</v>
      </c>
      <c r="O35" s="173">
        <v>2465.922</v>
      </c>
      <c r="P35" s="173">
        <v>17.992000000000001</v>
      </c>
      <c r="Q35" s="588"/>
    </row>
    <row r="36" spans="1:17" s="96" customFormat="1" ht="21.2" customHeight="1" x14ac:dyDescent="0.25">
      <c r="C36" s="96" t="s">
        <v>131</v>
      </c>
      <c r="D36" s="164" t="s">
        <v>98</v>
      </c>
      <c r="E36" s="182">
        <v>8425.1880000000001</v>
      </c>
      <c r="F36" s="172">
        <v>0.45906705706680873</v>
      </c>
      <c r="G36" s="173">
        <v>7316.9629999999997</v>
      </c>
      <c r="H36" s="174">
        <v>1108.2249999999999</v>
      </c>
      <c r="K36" s="96" t="s">
        <v>131</v>
      </c>
      <c r="L36" s="164" t="s">
        <v>98</v>
      </c>
      <c r="M36" s="182">
        <v>10011.958000000001</v>
      </c>
      <c r="N36" s="172">
        <v>0.52982681813656618</v>
      </c>
      <c r="O36" s="173">
        <v>7997.1819999999998</v>
      </c>
      <c r="P36" s="173">
        <v>2014.7760000000001</v>
      </c>
      <c r="Q36" s="588"/>
    </row>
    <row r="37" spans="1:17" s="135" customFormat="1" ht="22.15" customHeight="1" x14ac:dyDescent="0.25">
      <c r="A37" s="90"/>
      <c r="B37" s="90"/>
      <c r="C37" s="95" t="s">
        <v>453</v>
      </c>
      <c r="D37" s="101" t="s">
        <v>4</v>
      </c>
      <c r="E37" s="124">
        <v>26860.313450000001</v>
      </c>
      <c r="F37" s="87">
        <v>1.4635501364935144</v>
      </c>
      <c r="G37" s="88">
        <v>0</v>
      </c>
      <c r="H37" s="125">
        <v>26860.313450000001</v>
      </c>
      <c r="I37" s="90"/>
      <c r="J37" s="90"/>
      <c r="K37" s="95" t="s">
        <v>453</v>
      </c>
      <c r="L37" s="101" t="s">
        <v>4</v>
      </c>
      <c r="M37" s="124">
        <v>28643.019179999999</v>
      </c>
      <c r="N37" s="87">
        <v>1.5157714119420034</v>
      </c>
      <c r="O37" s="88">
        <v>0</v>
      </c>
      <c r="P37" s="88">
        <v>28643.019179999999</v>
      </c>
      <c r="Q37" s="588"/>
    </row>
    <row r="38" spans="1:17" s="135" customFormat="1" ht="22.15" customHeight="1" x14ac:dyDescent="0.25">
      <c r="A38" s="90"/>
      <c r="B38" s="90"/>
      <c r="C38" s="95" t="s">
        <v>414</v>
      </c>
      <c r="D38" s="101" t="s">
        <v>441</v>
      </c>
      <c r="E38" s="124">
        <v>782420.84751800017</v>
      </c>
      <c r="F38" s="87">
        <v>42.632121189201548</v>
      </c>
      <c r="G38" s="88">
        <v>782420.84751800017</v>
      </c>
      <c r="H38" s="130">
        <v>0</v>
      </c>
      <c r="I38" s="90"/>
      <c r="J38" s="90"/>
      <c r="K38" s="95" t="s">
        <v>414</v>
      </c>
      <c r="L38" s="101" t="s">
        <v>441</v>
      </c>
      <c r="M38" s="124">
        <v>816917.63830699981</v>
      </c>
      <c r="N38" s="87">
        <v>43.230791917408759</v>
      </c>
      <c r="O38" s="153">
        <v>816917.63830699981</v>
      </c>
      <c r="P38" s="87">
        <v>0</v>
      </c>
      <c r="Q38" s="588"/>
    </row>
    <row r="39" spans="1:17" s="286" customFormat="1" ht="22.15" customHeight="1" x14ac:dyDescent="0.25">
      <c r="A39" s="84" t="s">
        <v>82</v>
      </c>
      <c r="B39" s="84"/>
      <c r="C39" s="102"/>
      <c r="D39" s="94" t="s">
        <v>33</v>
      </c>
      <c r="E39" s="170">
        <v>770117.54905199993</v>
      </c>
      <c r="F39" s="87">
        <v>41.961745760308879</v>
      </c>
      <c r="G39" s="88">
        <v>679024.29105599993</v>
      </c>
      <c r="H39" s="125">
        <v>91093.257996</v>
      </c>
      <c r="I39" s="84" t="s">
        <v>82</v>
      </c>
      <c r="J39" s="84"/>
      <c r="K39" s="102"/>
      <c r="L39" s="94" t="s">
        <v>33</v>
      </c>
      <c r="M39" s="170">
        <v>808683.19955200003</v>
      </c>
      <c r="N39" s="87">
        <v>42.795030352617736</v>
      </c>
      <c r="O39" s="88">
        <v>720646.90809000004</v>
      </c>
      <c r="P39" s="88">
        <v>88036.291461999994</v>
      </c>
      <c r="Q39" s="588"/>
    </row>
    <row r="40" spans="1:17" s="135" customFormat="1" ht="22.15" customHeight="1" x14ac:dyDescent="0.25">
      <c r="A40" s="90"/>
      <c r="B40" s="90"/>
      <c r="C40" s="103" t="s">
        <v>415</v>
      </c>
      <c r="D40" s="104" t="s">
        <v>71</v>
      </c>
      <c r="E40" s="199">
        <v>663264.55498499994</v>
      </c>
      <c r="F40" s="93">
        <v>36.139597990417592</v>
      </c>
      <c r="G40" s="106">
        <v>663264.55498499994</v>
      </c>
      <c r="H40" s="131">
        <v>0</v>
      </c>
      <c r="I40" s="90"/>
      <c r="J40" s="90"/>
      <c r="K40" s="103" t="s">
        <v>415</v>
      </c>
      <c r="L40" s="104" t="s">
        <v>71</v>
      </c>
      <c r="M40" s="199">
        <v>703614.69786800002</v>
      </c>
      <c r="N40" s="93">
        <v>37.234868201157433</v>
      </c>
      <c r="O40" s="106">
        <v>703614.69786800002</v>
      </c>
      <c r="P40" s="106">
        <v>0</v>
      </c>
      <c r="Q40" s="588"/>
    </row>
    <row r="41" spans="1:17" s="135" customFormat="1" ht="32.450000000000003" customHeight="1" x14ac:dyDescent="0.25">
      <c r="A41" s="90"/>
      <c r="B41" s="90"/>
      <c r="C41" s="107" t="s">
        <v>107</v>
      </c>
      <c r="D41" s="104" t="s">
        <v>112</v>
      </c>
      <c r="E41" s="199">
        <v>92853.573113000006</v>
      </c>
      <c r="F41" s="93">
        <v>5.059354942242555</v>
      </c>
      <c r="G41" s="106">
        <v>1760.3151170000001</v>
      </c>
      <c r="H41" s="131">
        <v>91093.257996</v>
      </c>
      <c r="I41" s="90"/>
      <c r="J41" s="90"/>
      <c r="K41" s="107" t="s">
        <v>107</v>
      </c>
      <c r="L41" s="104" t="s">
        <v>112</v>
      </c>
      <c r="M41" s="199">
        <v>89899.913541999995</v>
      </c>
      <c r="N41" s="93">
        <v>4.7574495560918511</v>
      </c>
      <c r="O41" s="122">
        <v>1863.6220800000001</v>
      </c>
      <c r="P41" s="106">
        <v>88036.291461999994</v>
      </c>
      <c r="Q41" s="588"/>
    </row>
    <row r="42" spans="1:17" s="135" customFormat="1" ht="39.200000000000003" customHeight="1" x14ac:dyDescent="0.25">
      <c r="A42" s="108"/>
      <c r="B42" s="109"/>
      <c r="C42" s="110" t="s">
        <v>113</v>
      </c>
      <c r="D42" s="111" t="s">
        <v>95</v>
      </c>
      <c r="E42" s="112">
        <v>13999.420953999999</v>
      </c>
      <c r="F42" s="113">
        <v>0.76279282764873557</v>
      </c>
      <c r="G42" s="114">
        <v>13999.420953999999</v>
      </c>
      <c r="H42" s="133">
        <v>0</v>
      </c>
      <c r="I42" s="108"/>
      <c r="J42" s="109"/>
      <c r="K42" s="110" t="s">
        <v>113</v>
      </c>
      <c r="L42" s="111" t="s">
        <v>95</v>
      </c>
      <c r="M42" s="112">
        <v>15168.588142000001</v>
      </c>
      <c r="N42" s="113">
        <v>0.80271259536844919</v>
      </c>
      <c r="O42" s="123">
        <v>15168.588142000001</v>
      </c>
      <c r="P42" s="114">
        <v>0</v>
      </c>
      <c r="Q42" s="588"/>
    </row>
    <row r="43" spans="1:17" s="117" customFormat="1" ht="15" x14ac:dyDescent="0.25">
      <c r="A43" s="115" t="s">
        <v>558</v>
      </c>
      <c r="B43" s="115"/>
      <c r="C43" s="116"/>
      <c r="I43" s="117" t="s">
        <v>687</v>
      </c>
      <c r="J43" s="115"/>
      <c r="K43" s="116"/>
    </row>
    <row r="44" spans="1:17" s="117" customFormat="1" ht="13.5" x14ac:dyDescent="0.2"/>
    <row r="45" spans="1:17" s="117" customFormat="1" ht="13.5" x14ac:dyDescent="0.2"/>
    <row r="46" spans="1:17" s="117" customFormat="1" ht="13.5" x14ac:dyDescent="0.2"/>
  </sheetData>
  <mergeCells count="26">
    <mergeCell ref="I3:L3"/>
    <mergeCell ref="I8:L9"/>
    <mergeCell ref="I10:K10"/>
    <mergeCell ref="I1:P1"/>
    <mergeCell ref="A10:C10"/>
    <mergeCell ref="A1:H1"/>
    <mergeCell ref="A3:D3"/>
    <mergeCell ref="E3:H3"/>
    <mergeCell ref="E4:H4"/>
    <mergeCell ref="E5:E7"/>
    <mergeCell ref="G5:G7"/>
    <mergeCell ref="H5:H7"/>
    <mergeCell ref="A8:D9"/>
    <mergeCell ref="E8:E9"/>
    <mergeCell ref="F8:F9"/>
    <mergeCell ref="G8:G9"/>
    <mergeCell ref="H8:H9"/>
    <mergeCell ref="M8:M9"/>
    <mergeCell ref="N8:N9"/>
    <mergeCell ref="O8:O9"/>
    <mergeCell ref="P8:P9"/>
    <mergeCell ref="M3:P3"/>
    <mergeCell ref="M4:P4"/>
    <mergeCell ref="M5:M7"/>
    <mergeCell ref="O5:O7"/>
    <mergeCell ref="P5:P7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4" firstPageNumber="50" fitToWidth="2" orientation="portrait" r:id="rId1"/>
  <headerFooter alignWithMargins="0"/>
  <colBreaks count="1" manualBreakCount="1">
    <brk id="8" max="42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Z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I31" sqref="I31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9.2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8.875" style="518" customWidth="1"/>
    <col min="19" max="19" width="8.875" style="518" customWidth="1"/>
    <col min="20" max="20" width="16.875" style="518" customWidth="1"/>
    <col min="21" max="16384" width="8.875" style="518"/>
  </cols>
  <sheetData>
    <row r="1" spans="1:26" s="374" customFormat="1" ht="34.5" customHeight="1" x14ac:dyDescent="0.25">
      <c r="A1" s="715" t="s">
        <v>672</v>
      </c>
      <c r="B1" s="716"/>
      <c r="C1" s="716"/>
      <c r="D1" s="716"/>
      <c r="E1" s="716"/>
      <c r="F1" s="716"/>
      <c r="G1" s="716"/>
      <c r="H1" s="716"/>
      <c r="I1" s="716"/>
      <c r="J1" s="717" t="s">
        <v>471</v>
      </c>
      <c r="K1" s="717"/>
      <c r="L1" s="717"/>
      <c r="M1" s="717"/>
      <c r="N1" s="717"/>
      <c r="O1" s="717"/>
      <c r="P1" s="717"/>
    </row>
    <row r="2" spans="1:26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26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77</v>
      </c>
      <c r="H3" s="663"/>
      <c r="I3" s="664"/>
      <c r="J3" s="662" t="s">
        <v>77</v>
      </c>
      <c r="K3" s="663"/>
      <c r="L3" s="663"/>
      <c r="M3" s="663"/>
      <c r="N3" s="663"/>
      <c r="O3" s="663"/>
      <c r="P3" s="663"/>
      <c r="R3" s="590"/>
    </row>
    <row r="4" spans="1:26" ht="15.75" customHeight="1" x14ac:dyDescent="0.25">
      <c r="A4" s="520"/>
      <c r="B4" s="520"/>
      <c r="C4" s="520"/>
      <c r="D4" s="520"/>
      <c r="E4" s="520"/>
      <c r="F4" s="521"/>
      <c r="G4" s="684">
        <v>2014</v>
      </c>
      <c r="H4" s="665"/>
      <c r="I4" s="666"/>
      <c r="J4" s="665">
        <v>2014</v>
      </c>
      <c r="K4" s="665"/>
      <c r="L4" s="665"/>
      <c r="M4" s="665"/>
      <c r="N4" s="665"/>
      <c r="O4" s="665"/>
      <c r="P4" s="665"/>
      <c r="R4" s="591"/>
    </row>
    <row r="5" spans="1:26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26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26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26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26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1103266.0108601013</v>
      </c>
      <c r="H9" s="535">
        <v>100</v>
      </c>
      <c r="I9" s="535">
        <v>4.4927433246862547</v>
      </c>
      <c r="J9" s="536">
        <v>623535.43515300006</v>
      </c>
      <c r="K9" s="536">
        <v>99682.230004000055</v>
      </c>
      <c r="L9" s="536">
        <v>523853.20514899999</v>
      </c>
      <c r="M9" s="536">
        <v>479730.57570710115</v>
      </c>
      <c r="N9" s="536">
        <v>414697.12337577046</v>
      </c>
      <c r="O9" s="536">
        <v>57128.134139995716</v>
      </c>
      <c r="P9" s="536">
        <v>7905.3181913349454</v>
      </c>
      <c r="R9" s="593"/>
    </row>
    <row r="10" spans="1:26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56.517234195123493</v>
      </c>
      <c r="K10" s="538">
        <v>9.0351945063809431</v>
      </c>
      <c r="L10" s="538">
        <v>47.482039688742553</v>
      </c>
      <c r="M10" s="538">
        <v>43.482765804876493</v>
      </c>
      <c r="N10" s="538">
        <v>37.588135526125235</v>
      </c>
      <c r="O10" s="538">
        <v>5.1780924616230015</v>
      </c>
      <c r="P10" s="538">
        <v>0.71653781712825493</v>
      </c>
      <c r="R10" s="594"/>
    </row>
    <row r="11" spans="1:26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  <c r="R11" s="595"/>
    </row>
    <row r="12" spans="1:26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70094.327961449046</v>
      </c>
      <c r="H12" s="87">
        <v>6.3533479026335469</v>
      </c>
      <c r="I12" s="535">
        <v>15.04081331377154</v>
      </c>
      <c r="J12" s="536">
        <v>60974.822324944602</v>
      </c>
      <c r="K12" s="536">
        <v>55265.184785944599</v>
      </c>
      <c r="L12" s="536">
        <v>5709.6375390000003</v>
      </c>
      <c r="M12" s="536">
        <v>9119.505636504442</v>
      </c>
      <c r="N12" s="536">
        <v>0</v>
      </c>
      <c r="O12" s="536">
        <v>1214.1874451694971</v>
      </c>
      <c r="P12" s="544">
        <v>7905.3181913349454</v>
      </c>
      <c r="Q12" s="542"/>
      <c r="R12" s="595"/>
    </row>
    <row r="13" spans="1:26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26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962305.87046682579</v>
      </c>
      <c r="H14" s="546">
        <v>87.223376864172252</v>
      </c>
      <c r="I14" s="535">
        <v>3.700517671552328</v>
      </c>
      <c r="J14" s="536">
        <v>547608.74709105538</v>
      </c>
      <c r="K14" s="536">
        <v>29465.179481055449</v>
      </c>
      <c r="L14" s="536">
        <v>518143.56760999997</v>
      </c>
      <c r="M14" s="536">
        <v>414697.12337577046</v>
      </c>
      <c r="N14" s="536">
        <v>414697.12337577046</v>
      </c>
      <c r="O14" s="536">
        <v>0</v>
      </c>
      <c r="P14" s="536">
        <v>0</v>
      </c>
    </row>
    <row r="15" spans="1:26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454094.06156222528</v>
      </c>
      <c r="H15" s="546">
        <v>41.159072888343182</v>
      </c>
      <c r="I15" s="535">
        <v>3.1863550467005952</v>
      </c>
      <c r="J15" s="536">
        <v>353160.80383480608</v>
      </c>
      <c r="K15" s="536">
        <v>14156.328409347001</v>
      </c>
      <c r="L15" s="536">
        <v>339004.4754254591</v>
      </c>
      <c r="M15" s="536">
        <v>100933.2577274192</v>
      </c>
      <c r="N15" s="536">
        <v>100933.2577274192</v>
      </c>
      <c r="O15" s="536">
        <v>0</v>
      </c>
      <c r="P15" s="536">
        <v>0</v>
      </c>
    </row>
    <row r="16" spans="1:26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204170.27746630725</v>
      </c>
      <c r="H16" s="552">
        <v>18.5059881711698</v>
      </c>
      <c r="I16" s="386">
        <v>0.66047163890423644</v>
      </c>
      <c r="J16" s="542">
        <v>151171.81510305367</v>
      </c>
      <c r="K16" s="542">
        <v>5770.8648784207999</v>
      </c>
      <c r="L16" s="553">
        <v>145400.95022463286</v>
      </c>
      <c r="M16" s="542">
        <v>52998.462363253573</v>
      </c>
      <c r="N16" s="542">
        <v>52998.462363253573</v>
      </c>
      <c r="O16" s="542">
        <v>0</v>
      </c>
      <c r="P16" s="536">
        <v>0</v>
      </c>
      <c r="X16" s="592"/>
      <c r="Y16" s="592"/>
      <c r="Z16" s="592"/>
    </row>
    <row r="17" spans="1:2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249923.78409591806</v>
      </c>
      <c r="H17" s="552">
        <v>22.653084717173382</v>
      </c>
      <c r="I17" s="386">
        <v>5.3458728872709749</v>
      </c>
      <c r="J17" s="542">
        <v>201988.98873175241</v>
      </c>
      <c r="K17" s="542">
        <v>8385.4635309262012</v>
      </c>
      <c r="L17" s="542">
        <v>193603.5252008262</v>
      </c>
      <c r="M17" s="542">
        <v>47934.795364165635</v>
      </c>
      <c r="N17" s="542">
        <v>47934.795364165635</v>
      </c>
      <c r="O17" s="542">
        <v>0</v>
      </c>
      <c r="P17" s="536">
        <v>0</v>
      </c>
    </row>
    <row r="18" spans="1:2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99578.573072189087</v>
      </c>
      <c r="H18" s="552">
        <v>9.0257990450152707</v>
      </c>
      <c r="I18" s="386">
        <v>3.5148588818967985</v>
      </c>
      <c r="J18" s="542">
        <v>79852.302521991223</v>
      </c>
      <c r="K18" s="542">
        <v>180</v>
      </c>
      <c r="L18" s="553">
        <v>79672.302521991223</v>
      </c>
      <c r="M18" s="542">
        <v>19726.27055019786</v>
      </c>
      <c r="N18" s="542">
        <v>19726.27055019786</v>
      </c>
      <c r="O18" s="542">
        <v>0</v>
      </c>
      <c r="P18" s="536">
        <v>0</v>
      </c>
    </row>
    <row r="19" spans="1:2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150345.21102372897</v>
      </c>
      <c r="H19" s="552">
        <v>13.627285672158115</v>
      </c>
      <c r="I19" s="386">
        <v>6.594695822488772</v>
      </c>
      <c r="J19" s="542">
        <v>122136.68620976119</v>
      </c>
      <c r="K19" s="542">
        <v>8205.4635309262012</v>
      </c>
      <c r="L19" s="553">
        <v>113931.22267883498</v>
      </c>
      <c r="M19" s="542">
        <v>28208.524813967775</v>
      </c>
      <c r="N19" s="542">
        <v>28208.524813967775</v>
      </c>
      <c r="O19" s="542">
        <v>0</v>
      </c>
      <c r="P19" s="536">
        <v>0</v>
      </c>
    </row>
    <row r="20" spans="1:2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244085.35592859442</v>
      </c>
      <c r="H20" s="546">
        <v>22.123889753324907</v>
      </c>
      <c r="I20" s="535">
        <v>2.7872751120477934</v>
      </c>
      <c r="J20" s="536">
        <v>141233.63775903001</v>
      </c>
      <c r="K20" s="536">
        <v>1291.38455937802</v>
      </c>
      <c r="L20" s="536">
        <v>139942.25319965198</v>
      </c>
      <c r="M20" s="536">
        <v>102851.71816956441</v>
      </c>
      <c r="N20" s="536">
        <v>102851.71816956441</v>
      </c>
      <c r="O20" s="536">
        <v>0</v>
      </c>
      <c r="P20" s="536">
        <v>0</v>
      </c>
    </row>
    <row r="21" spans="1:2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120645.35880498866</v>
      </c>
      <c r="H21" s="552">
        <v>10.935291907609306</v>
      </c>
      <c r="I21" s="386">
        <v>2.3436452775458472</v>
      </c>
      <c r="J21" s="542">
        <v>93182.247403330446</v>
      </c>
      <c r="K21" s="542">
        <v>1291.38455937802</v>
      </c>
      <c r="L21" s="542">
        <v>91890.862843952433</v>
      </c>
      <c r="M21" s="542">
        <v>27463.111401658214</v>
      </c>
      <c r="N21" s="542">
        <v>27463.111401658214</v>
      </c>
      <c r="O21" s="542">
        <v>0</v>
      </c>
      <c r="P21" s="536">
        <v>0</v>
      </c>
      <c r="X21" s="592"/>
      <c r="Y21" s="592"/>
      <c r="Z21" s="592"/>
    </row>
    <row r="22" spans="1:2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21629.789870079068</v>
      </c>
      <c r="H22" s="552">
        <v>1.9605235416630464</v>
      </c>
      <c r="I22" s="386">
        <v>3.0813982703082887</v>
      </c>
      <c r="J22" s="542">
        <v>16652.818365351104</v>
      </c>
      <c r="K22" s="542">
        <v>0</v>
      </c>
      <c r="L22" s="555">
        <v>16652.818365351104</v>
      </c>
      <c r="M22" s="542">
        <v>4976.971504727966</v>
      </c>
      <c r="N22" s="556">
        <v>4976.971504727966</v>
      </c>
      <c r="O22" s="542">
        <v>0</v>
      </c>
      <c r="P22" s="536">
        <v>0</v>
      </c>
      <c r="X22" s="592"/>
      <c r="Y22" s="592"/>
      <c r="Z22" s="592"/>
    </row>
    <row r="23" spans="1:2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99015.568934909592</v>
      </c>
      <c r="H23" s="552">
        <v>8.9747683659462592</v>
      </c>
      <c r="I23" s="386">
        <v>2.1838875356916088</v>
      </c>
      <c r="J23" s="542">
        <v>76529.429037979338</v>
      </c>
      <c r="K23" s="542">
        <v>1291.38455937802</v>
      </c>
      <c r="L23" s="553">
        <v>75238.044478601325</v>
      </c>
      <c r="M23" s="542">
        <v>22486.139896930246</v>
      </c>
      <c r="N23" s="542">
        <v>22486.139896930246</v>
      </c>
      <c r="O23" s="542">
        <v>0</v>
      </c>
      <c r="P23" s="536">
        <v>0</v>
      </c>
      <c r="X23" s="592"/>
      <c r="Y23" s="592"/>
      <c r="Z23" s="592"/>
    </row>
    <row r="24" spans="1:2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23174.037567633735</v>
      </c>
      <c r="H24" s="552">
        <v>2.100494109264488</v>
      </c>
      <c r="I24" s="386">
        <v>1.9151846345379475</v>
      </c>
      <c r="J24" s="542">
        <v>16287.00049055355</v>
      </c>
      <c r="K24" s="542">
        <v>0</v>
      </c>
      <c r="L24" s="542">
        <v>16287.00049055355</v>
      </c>
      <c r="M24" s="542">
        <v>6887.0370770801865</v>
      </c>
      <c r="N24" s="542">
        <v>6887.0370770801865</v>
      </c>
      <c r="O24" s="542">
        <v>0</v>
      </c>
      <c r="P24" s="536">
        <v>0</v>
      </c>
      <c r="X24" s="592"/>
      <c r="Y24" s="592"/>
      <c r="Z24" s="592"/>
    </row>
    <row r="25" spans="1:2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7455.0657898177333</v>
      </c>
      <c r="H25" s="552">
        <v>0.67572695219766599</v>
      </c>
      <c r="I25" s="386">
        <v>1.4719477063765751</v>
      </c>
      <c r="J25" s="542">
        <v>5239.5125286865787</v>
      </c>
      <c r="K25" s="542">
        <v>0</v>
      </c>
      <c r="L25" s="557">
        <v>5239.5125286865787</v>
      </c>
      <c r="M25" s="542">
        <v>2215.5532611311546</v>
      </c>
      <c r="N25" s="556">
        <v>2215.5532611311546</v>
      </c>
      <c r="O25" s="542">
        <v>0</v>
      </c>
      <c r="P25" s="536">
        <v>0</v>
      </c>
      <c r="X25" s="592"/>
      <c r="Y25" s="592"/>
      <c r="Z25" s="592"/>
    </row>
    <row r="26" spans="1:2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15718.971777816003</v>
      </c>
      <c r="H26" s="552">
        <v>1.4247671570668221</v>
      </c>
      <c r="I26" s="386">
        <v>2.1267559677999204</v>
      </c>
      <c r="J26" s="542">
        <v>11047.487961866971</v>
      </c>
      <c r="K26" s="542">
        <v>0</v>
      </c>
      <c r="L26" s="553">
        <v>11047.487961866971</v>
      </c>
      <c r="M26" s="542">
        <v>4671.4838159490319</v>
      </c>
      <c r="N26" s="542">
        <v>4671.4838159490319</v>
      </c>
      <c r="O26" s="542">
        <v>0</v>
      </c>
      <c r="P26" s="536">
        <v>0</v>
      </c>
      <c r="X26" s="592"/>
      <c r="Y26" s="592"/>
      <c r="Z26" s="592"/>
    </row>
    <row r="27" spans="1:2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100265.95955597203</v>
      </c>
      <c r="H27" s="552">
        <v>9.0881037364511155</v>
      </c>
      <c r="I27" s="386">
        <v>3.5320327803943785</v>
      </c>
      <c r="J27" s="542">
        <v>31764.389865146015</v>
      </c>
      <c r="K27" s="542">
        <v>0</v>
      </c>
      <c r="L27" s="542">
        <v>31764.389865146015</v>
      </c>
      <c r="M27" s="542">
        <v>68501.569690826014</v>
      </c>
      <c r="N27" s="542">
        <v>68501.569690826014</v>
      </c>
      <c r="O27" s="542">
        <v>0</v>
      </c>
      <c r="P27" s="536">
        <v>0</v>
      </c>
    </row>
    <row r="28" spans="1:2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7.7673781473528729</v>
      </c>
      <c r="H28" s="552">
        <v>7.0403493544566459E-4</v>
      </c>
      <c r="I28" s="386">
        <v>-9.1318768031355404</v>
      </c>
      <c r="J28" s="542">
        <v>2.4607157682942331</v>
      </c>
      <c r="K28" s="542">
        <v>0</v>
      </c>
      <c r="L28" s="553">
        <v>2.4607157682942331</v>
      </c>
      <c r="M28" s="542">
        <v>5.3066623790586398</v>
      </c>
      <c r="N28" s="556">
        <v>5.3066623790586398</v>
      </c>
      <c r="O28" s="542">
        <v>0</v>
      </c>
      <c r="P28" s="536">
        <v>0</v>
      </c>
    </row>
    <row r="29" spans="1:2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100258.19217782468</v>
      </c>
      <c r="H29" s="552">
        <v>9.08739970151567</v>
      </c>
      <c r="I29" s="386">
        <v>3.5331506476959484</v>
      </c>
      <c r="J29" s="542">
        <v>31761.92914937772</v>
      </c>
      <c r="K29" s="542">
        <v>0</v>
      </c>
      <c r="L29" s="553">
        <v>31761.92914937772</v>
      </c>
      <c r="M29" s="542">
        <v>68496.263028446949</v>
      </c>
      <c r="N29" s="542">
        <v>68496.263028446949</v>
      </c>
      <c r="O29" s="542">
        <v>0</v>
      </c>
      <c r="P29" s="536">
        <v>0</v>
      </c>
    </row>
    <row r="30" spans="1:2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107845.16167046936</v>
      </c>
      <c r="H30" s="546">
        <v>9.7750824016044646</v>
      </c>
      <c r="I30" s="535">
        <v>7.5328752201257121</v>
      </c>
      <c r="J30" s="536">
        <v>28436.293232649099</v>
      </c>
      <c r="K30" s="536">
        <v>13265.41222433043</v>
      </c>
      <c r="L30" s="536">
        <v>15170.881008318669</v>
      </c>
      <c r="M30" s="536">
        <v>79408.86843782026</v>
      </c>
      <c r="N30" s="536">
        <v>79408.86843782026</v>
      </c>
      <c r="O30" s="536">
        <v>0</v>
      </c>
      <c r="P30" s="536">
        <v>0</v>
      </c>
    </row>
    <row r="31" spans="1:2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7777.044854550094</v>
      </c>
      <c r="H31" s="552">
        <v>0.70491112551243595</v>
      </c>
      <c r="I31" s="386">
        <v>3.0793343728823253</v>
      </c>
      <c r="J31" s="542">
        <v>7588.1170815500936</v>
      </c>
      <c r="K31" s="542">
        <v>0</v>
      </c>
      <c r="L31" s="553">
        <v>7588.1170815500936</v>
      </c>
      <c r="M31" s="542">
        <v>188.927773</v>
      </c>
      <c r="N31" s="542">
        <v>188.927773</v>
      </c>
      <c r="O31" s="542">
        <v>0</v>
      </c>
      <c r="P31" s="536">
        <v>0</v>
      </c>
    </row>
    <row r="32" spans="1:2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41141.185429353762</v>
      </c>
      <c r="H32" s="552">
        <v>3.7290358829490522</v>
      </c>
      <c r="I32" s="386">
        <v>16.295688116328666</v>
      </c>
      <c r="J32" s="542">
        <v>15494.120736787037</v>
      </c>
      <c r="K32" s="542">
        <v>13039.35834833043</v>
      </c>
      <c r="L32" s="553">
        <v>2454.7623884566065</v>
      </c>
      <c r="M32" s="542">
        <v>25647.064692566721</v>
      </c>
      <c r="N32" s="542">
        <v>25647.064692566721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3431.6540316048668</v>
      </c>
      <c r="H33" s="552">
        <v>0.31104502430284825</v>
      </c>
      <c r="I33" s="386">
        <v>-6.1949534444395216</v>
      </c>
      <c r="J33" s="542">
        <v>0</v>
      </c>
      <c r="K33" s="542">
        <v>0</v>
      </c>
      <c r="L33" s="553">
        <v>0</v>
      </c>
      <c r="M33" s="542">
        <v>3431.6540316048668</v>
      </c>
      <c r="N33" s="542">
        <v>3431.6540316048668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55495.277354960635</v>
      </c>
      <c r="H34" s="552">
        <v>5.0300903688401277</v>
      </c>
      <c r="I34" s="386">
        <v>3.3219078021768933</v>
      </c>
      <c r="J34" s="542">
        <v>5354.055414311968</v>
      </c>
      <c r="K34" s="542">
        <v>226.053876</v>
      </c>
      <c r="L34" s="553">
        <v>5128.001538311968</v>
      </c>
      <c r="M34" s="542">
        <v>50141.221940648669</v>
      </c>
      <c r="N34" s="542">
        <v>50141.221940648669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127577.09441412626</v>
      </c>
      <c r="H35" s="546">
        <v>11.563584227041284</v>
      </c>
      <c r="I35" s="535">
        <v>3.1854009418013751</v>
      </c>
      <c r="J35" s="536">
        <v>23711.315918570257</v>
      </c>
      <c r="K35" s="536">
        <v>20.150894999999998</v>
      </c>
      <c r="L35" s="536">
        <v>23691.165023570258</v>
      </c>
      <c r="M35" s="536">
        <v>103865.77849555601</v>
      </c>
      <c r="N35" s="536">
        <v>103865.77849555601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37342.883166485059</v>
      </c>
      <c r="H36" s="552">
        <v>3.3847578733412362</v>
      </c>
      <c r="I36" s="386">
        <v>4.9456024383347286</v>
      </c>
      <c r="J36" s="542">
        <v>23701.525330570257</v>
      </c>
      <c r="K36" s="542">
        <v>10.360307000000001</v>
      </c>
      <c r="L36" s="559">
        <v>23691.165023570258</v>
      </c>
      <c r="M36" s="542">
        <v>13641.3578359148</v>
      </c>
      <c r="N36" s="542">
        <v>13641.3578359148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20367.589071515406</v>
      </c>
      <c r="H37" s="552">
        <v>1.8461176970037283</v>
      </c>
      <c r="I37" s="386">
        <v>-3.3575001522617498</v>
      </c>
      <c r="J37" s="542">
        <v>0</v>
      </c>
      <c r="K37" s="542">
        <v>0</v>
      </c>
      <c r="L37" s="553">
        <v>0</v>
      </c>
      <c r="M37" s="542">
        <v>20367.589071515406</v>
      </c>
      <c r="N37" s="542">
        <v>20367.589071515406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69866.622176125806</v>
      </c>
      <c r="H38" s="552">
        <v>6.3327086566963207</v>
      </c>
      <c r="I38" s="386">
        <v>4.3090048365880707</v>
      </c>
      <c r="J38" s="542">
        <v>9.7905879999999996</v>
      </c>
      <c r="K38" s="542">
        <v>9.7905879999999996</v>
      </c>
      <c r="L38" s="553">
        <v>0</v>
      </c>
      <c r="M38" s="542">
        <v>69856.831588125802</v>
      </c>
      <c r="N38" s="542">
        <v>69856.831588125802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28369.403938410611</v>
      </c>
      <c r="H39" s="546">
        <v>2.5714019700737403</v>
      </c>
      <c r="I39" s="535">
        <v>8.3798155448491229</v>
      </c>
      <c r="J39" s="536">
        <v>731.90339300000005</v>
      </c>
      <c r="K39" s="536">
        <v>731.90339300000005</v>
      </c>
      <c r="L39" s="544">
        <v>0</v>
      </c>
      <c r="M39" s="536">
        <v>27637.50054541061</v>
      </c>
      <c r="N39" s="536">
        <v>27637.50054541061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334.79295300000001</v>
      </c>
      <c r="H40" s="546">
        <v>3.0345623784693312E-2</v>
      </c>
      <c r="I40" s="535">
        <v>3.6626587180545789</v>
      </c>
      <c r="J40" s="536">
        <v>334.79295300000001</v>
      </c>
      <c r="K40" s="536">
        <v>0</v>
      </c>
      <c r="L40" s="544">
        <v>334.79295300000001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70865.812431826227</v>
      </c>
      <c r="H42" s="546">
        <v>6.4232752331941727</v>
      </c>
      <c r="I42" s="535">
        <v>5.8741816534200852</v>
      </c>
      <c r="J42" s="536">
        <v>14951.865737</v>
      </c>
      <c r="K42" s="536">
        <v>14951.865737</v>
      </c>
      <c r="L42" s="536">
        <v>0</v>
      </c>
      <c r="M42" s="536">
        <v>55913.94669482622</v>
      </c>
      <c r="N42" s="536">
        <v>0</v>
      </c>
      <c r="O42" s="536">
        <v>55913.94669482622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6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0" firstPageNumber="78" fitToWidth="2" orientation="portrait" r:id="rId1"/>
  <headerFooter alignWithMargins="0"/>
  <colBreaks count="1" manualBreakCount="1">
    <brk id="9" max="4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Z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R22" sqref="R22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8.875" style="518" customWidth="1"/>
    <col min="19" max="19" width="8.875" style="518" customWidth="1"/>
    <col min="20" max="20" width="16.875" style="518" customWidth="1"/>
    <col min="21" max="16384" width="8.875" style="518"/>
  </cols>
  <sheetData>
    <row r="1" spans="1:26" s="374" customFormat="1" ht="34.5" customHeight="1" x14ac:dyDescent="0.25">
      <c r="A1" s="715" t="s">
        <v>671</v>
      </c>
      <c r="B1" s="716"/>
      <c r="C1" s="716"/>
      <c r="D1" s="716"/>
      <c r="E1" s="716"/>
      <c r="F1" s="716"/>
      <c r="G1" s="716"/>
      <c r="H1" s="716"/>
      <c r="I1" s="716"/>
      <c r="J1" s="717" t="s">
        <v>472</v>
      </c>
      <c r="K1" s="717"/>
      <c r="L1" s="717"/>
      <c r="M1" s="717"/>
      <c r="N1" s="717"/>
      <c r="O1" s="717"/>
      <c r="P1" s="717"/>
    </row>
    <row r="2" spans="1:26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26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99</v>
      </c>
      <c r="H3" s="663"/>
      <c r="I3" s="664"/>
      <c r="J3" s="662" t="s">
        <v>99</v>
      </c>
      <c r="K3" s="663"/>
      <c r="L3" s="663"/>
      <c r="M3" s="663"/>
      <c r="N3" s="663"/>
      <c r="O3" s="663"/>
      <c r="P3" s="663"/>
      <c r="R3" s="590"/>
    </row>
    <row r="4" spans="1:26" ht="15.75" customHeight="1" x14ac:dyDescent="0.25">
      <c r="A4" s="520"/>
      <c r="B4" s="520"/>
      <c r="C4" s="520"/>
      <c r="D4" s="520"/>
      <c r="E4" s="520"/>
      <c r="F4" s="521"/>
      <c r="G4" s="684">
        <v>2015</v>
      </c>
      <c r="H4" s="665"/>
      <c r="I4" s="666"/>
      <c r="J4" s="665">
        <v>2015</v>
      </c>
      <c r="K4" s="665"/>
      <c r="L4" s="665"/>
      <c r="M4" s="665"/>
      <c r="N4" s="665"/>
      <c r="O4" s="665"/>
      <c r="P4" s="665"/>
      <c r="R4" s="591"/>
    </row>
    <row r="5" spans="1:26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26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26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26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26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1145899.7639589766</v>
      </c>
      <c r="H9" s="535">
        <v>100</v>
      </c>
      <c r="I9" s="535">
        <v>3.8643221742721945</v>
      </c>
      <c r="J9" s="536">
        <v>649499.84515652864</v>
      </c>
      <c r="K9" s="536">
        <v>105851.6020695287</v>
      </c>
      <c r="L9" s="536">
        <v>543648.24308699998</v>
      </c>
      <c r="M9" s="536">
        <v>496399.91880244785</v>
      </c>
      <c r="N9" s="536">
        <v>428166.47483047273</v>
      </c>
      <c r="O9" s="536">
        <v>59527.668499277912</v>
      </c>
      <c r="P9" s="536">
        <v>8705.7754726972289</v>
      </c>
      <c r="R9" s="596"/>
    </row>
    <row r="10" spans="1:26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56.680336761093955</v>
      </c>
      <c r="K10" s="538">
        <v>9.2374224516655197</v>
      </c>
      <c r="L10" s="538">
        <v>47.442914309428438</v>
      </c>
      <c r="M10" s="538">
        <v>43.319663238906038</v>
      </c>
      <c r="N10" s="538">
        <v>37.365089713536335</v>
      </c>
      <c r="O10" s="538">
        <v>5.1948408029700071</v>
      </c>
      <c r="P10" s="538">
        <v>0.75973272239969647</v>
      </c>
      <c r="R10" s="594"/>
    </row>
    <row r="11" spans="1:26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  <c r="R11" s="595"/>
    </row>
    <row r="12" spans="1:26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75179.79009455425</v>
      </c>
      <c r="H12" s="87">
        <v>6.5607649516232645</v>
      </c>
      <c r="I12" s="535">
        <v>7.2551692569221116</v>
      </c>
      <c r="J12" s="536">
        <v>65210.077719953399</v>
      </c>
      <c r="K12" s="536">
        <v>59637.656250953398</v>
      </c>
      <c r="L12" s="536">
        <v>5572.421468999999</v>
      </c>
      <c r="M12" s="536">
        <v>9969.7123746008583</v>
      </c>
      <c r="N12" s="536">
        <v>0</v>
      </c>
      <c r="O12" s="536">
        <v>1263.9369019036299</v>
      </c>
      <c r="P12" s="544">
        <v>8705.7754726972289</v>
      </c>
      <c r="Q12" s="542"/>
      <c r="R12" s="595"/>
    </row>
    <row r="13" spans="1:26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26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997520.10253804794</v>
      </c>
      <c r="H14" s="546">
        <v>87.051252990201263</v>
      </c>
      <c r="I14" s="535">
        <v>3.6593595811838187</v>
      </c>
      <c r="J14" s="536">
        <v>569353.62770757522</v>
      </c>
      <c r="K14" s="536">
        <v>31277.806089575304</v>
      </c>
      <c r="L14" s="536">
        <v>538075.82161799993</v>
      </c>
      <c r="M14" s="536">
        <v>428166.47483047273</v>
      </c>
      <c r="N14" s="536">
        <v>428166.47483047273</v>
      </c>
      <c r="O14" s="536">
        <v>0</v>
      </c>
      <c r="P14" s="536">
        <v>0</v>
      </c>
    </row>
    <row r="15" spans="1:26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472670.83918979432</v>
      </c>
      <c r="H15" s="546">
        <v>41.248881800687414</v>
      </c>
      <c r="I15" s="535">
        <v>4.0909536591734241</v>
      </c>
      <c r="J15" s="536">
        <v>369375.24600795389</v>
      </c>
      <c r="K15" s="536">
        <v>13117.387130519674</v>
      </c>
      <c r="L15" s="536">
        <v>356257.85887743422</v>
      </c>
      <c r="M15" s="536">
        <v>103295.59318184044</v>
      </c>
      <c r="N15" s="536">
        <v>103295.59318184044</v>
      </c>
      <c r="O15" s="536">
        <v>0</v>
      </c>
      <c r="P15" s="536">
        <v>0</v>
      </c>
    </row>
    <row r="16" spans="1:26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220009.25799213437</v>
      </c>
      <c r="H16" s="552">
        <v>19.199694852193961</v>
      </c>
      <c r="I16" s="386">
        <v>7.7577308129195721</v>
      </c>
      <c r="J16" s="542">
        <v>164715.02230176871</v>
      </c>
      <c r="K16" s="542">
        <v>5173.8748762540645</v>
      </c>
      <c r="L16" s="542">
        <v>159541.14742551465</v>
      </c>
      <c r="M16" s="542">
        <v>55294.235690365647</v>
      </c>
      <c r="N16" s="542">
        <v>55294.235690365647</v>
      </c>
      <c r="O16" s="542">
        <v>0</v>
      </c>
      <c r="P16" s="536">
        <v>0</v>
      </c>
      <c r="X16" s="592"/>
      <c r="Y16" s="592"/>
      <c r="Z16" s="592"/>
    </row>
    <row r="17" spans="1:2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252661.58119765995</v>
      </c>
      <c r="H17" s="552">
        <v>22.049186948493453</v>
      </c>
      <c r="I17" s="386">
        <v>1.095452804400221</v>
      </c>
      <c r="J17" s="542">
        <v>204660.22370618518</v>
      </c>
      <c r="K17" s="542">
        <v>7943.51225426561</v>
      </c>
      <c r="L17" s="542">
        <v>196716.71145191957</v>
      </c>
      <c r="M17" s="542">
        <v>48001.357491474788</v>
      </c>
      <c r="N17" s="542">
        <v>48001.357491474788</v>
      </c>
      <c r="O17" s="542">
        <v>0</v>
      </c>
      <c r="P17" s="536">
        <v>0</v>
      </c>
    </row>
    <row r="18" spans="1:2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99580.6941419129</v>
      </c>
      <c r="H18" s="552">
        <v>8.690174941468781</v>
      </c>
      <c r="I18" s="386">
        <v>2.1300463125539792E-3</v>
      </c>
      <c r="J18" s="542">
        <v>80083.285246003506</v>
      </c>
      <c r="K18" s="542">
        <v>180</v>
      </c>
      <c r="L18" s="553">
        <v>79903.285246003506</v>
      </c>
      <c r="M18" s="542">
        <v>19497.40889590939</v>
      </c>
      <c r="N18" s="542">
        <v>19497.40889590939</v>
      </c>
      <c r="O18" s="542">
        <v>0</v>
      </c>
      <c r="P18" s="536">
        <v>0</v>
      </c>
    </row>
    <row r="19" spans="1:2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153080.88705574707</v>
      </c>
      <c r="H19" s="552">
        <v>13.359012007024674</v>
      </c>
      <c r="I19" s="386">
        <v>1.8195963897954304</v>
      </c>
      <c r="J19" s="542">
        <v>124576.93846018167</v>
      </c>
      <c r="K19" s="542">
        <v>7763.51225426561</v>
      </c>
      <c r="L19" s="553">
        <v>116813.42620591607</v>
      </c>
      <c r="M19" s="542">
        <v>28503.948595565398</v>
      </c>
      <c r="N19" s="542">
        <v>28503.948595565398</v>
      </c>
      <c r="O19" s="542">
        <v>0</v>
      </c>
      <c r="P19" s="536">
        <v>0</v>
      </c>
    </row>
    <row r="20" spans="1:2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249479.20045912056</v>
      </c>
      <c r="H20" s="546">
        <v>21.771468003204159</v>
      </c>
      <c r="I20" s="535">
        <v>2.209818983201961</v>
      </c>
      <c r="J20" s="536">
        <v>142606.18401239789</v>
      </c>
      <c r="K20" s="536">
        <v>1794.3615696526103</v>
      </c>
      <c r="L20" s="536">
        <v>140811.8224427453</v>
      </c>
      <c r="M20" s="536">
        <v>106873.01644672269</v>
      </c>
      <c r="N20" s="536">
        <v>106873.01644672269</v>
      </c>
      <c r="O20" s="536">
        <v>0</v>
      </c>
      <c r="P20" s="536">
        <v>0</v>
      </c>
    </row>
    <row r="21" spans="1:2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120124.85485612162</v>
      </c>
      <c r="H21" s="552">
        <v>10.483015935102515</v>
      </c>
      <c r="I21" s="386">
        <v>-0.4314330480863271</v>
      </c>
      <c r="J21" s="542">
        <v>94161.42044469378</v>
      </c>
      <c r="K21" s="542">
        <v>1686.0105696526102</v>
      </c>
      <c r="L21" s="542">
        <v>92475.409875041165</v>
      </c>
      <c r="M21" s="542">
        <v>25963.434411427843</v>
      </c>
      <c r="N21" s="542">
        <v>25963.434411427843</v>
      </c>
      <c r="O21" s="542">
        <v>0</v>
      </c>
      <c r="P21" s="536">
        <v>0</v>
      </c>
      <c r="X21" s="592"/>
      <c r="Y21" s="592"/>
      <c r="Z21" s="592"/>
    </row>
    <row r="22" spans="1:2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20832.09467266413</v>
      </c>
      <c r="H22" s="552">
        <v>1.8179683186853264</v>
      </c>
      <c r="I22" s="386">
        <v>-3.6879470499082689</v>
      </c>
      <c r="J22" s="542">
        <v>16265.411107446647</v>
      </c>
      <c r="K22" s="542">
        <v>0</v>
      </c>
      <c r="L22" s="555">
        <v>16265.411107446647</v>
      </c>
      <c r="M22" s="542">
        <v>4566.6835652174823</v>
      </c>
      <c r="N22" s="556">
        <v>4566.6835652174823</v>
      </c>
      <c r="O22" s="542">
        <v>0</v>
      </c>
      <c r="P22" s="536">
        <v>0</v>
      </c>
      <c r="X22" s="592"/>
      <c r="Y22" s="592"/>
      <c r="Z22" s="592"/>
    </row>
    <row r="23" spans="1:2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99292.760183457489</v>
      </c>
      <c r="H23" s="552">
        <v>8.6650476164171888</v>
      </c>
      <c r="I23" s="386">
        <v>0.27994713511176883</v>
      </c>
      <c r="J23" s="542">
        <v>77896.009337247131</v>
      </c>
      <c r="K23" s="542">
        <v>1686.0105696526102</v>
      </c>
      <c r="L23" s="553">
        <v>76209.998767594516</v>
      </c>
      <c r="M23" s="542">
        <v>21396.750846210361</v>
      </c>
      <c r="N23" s="542">
        <v>21396.750846210361</v>
      </c>
      <c r="O23" s="542">
        <v>0</v>
      </c>
      <c r="P23" s="536">
        <v>0</v>
      </c>
      <c r="X23" s="592"/>
      <c r="Y23" s="592"/>
      <c r="Z23" s="592"/>
    </row>
    <row r="24" spans="1:2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22937.059523206524</v>
      </c>
      <c r="H24" s="552">
        <v>2.001663692115716</v>
      </c>
      <c r="I24" s="386">
        <v>-1.0226014510228865</v>
      </c>
      <c r="J24" s="542">
        <v>16329.516947689022</v>
      </c>
      <c r="K24" s="542">
        <v>0</v>
      </c>
      <c r="L24" s="542">
        <v>16329.516947689022</v>
      </c>
      <c r="M24" s="542">
        <v>6607.5425755175038</v>
      </c>
      <c r="N24" s="542">
        <v>6607.5425755175038</v>
      </c>
      <c r="O24" s="542">
        <v>0</v>
      </c>
      <c r="P24" s="536">
        <v>0</v>
      </c>
      <c r="X24" s="592"/>
      <c r="Y24" s="592"/>
      <c r="Z24" s="592"/>
    </row>
    <row r="25" spans="1:2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7388.4448352499257</v>
      </c>
      <c r="H25" s="552">
        <v>0.64477234987147036</v>
      </c>
      <c r="I25" s="386">
        <v>-0.89363335543999334</v>
      </c>
      <c r="J25" s="542">
        <v>5260.0349679614319</v>
      </c>
      <c r="K25" s="542">
        <v>0</v>
      </c>
      <c r="L25" s="557">
        <v>5260.0349679614319</v>
      </c>
      <c r="M25" s="542">
        <v>2128.4098672884943</v>
      </c>
      <c r="N25" s="556">
        <v>2128.4098672884943</v>
      </c>
      <c r="O25" s="542">
        <v>0</v>
      </c>
      <c r="P25" s="536">
        <v>0</v>
      </c>
      <c r="X25" s="592"/>
      <c r="Y25" s="592"/>
      <c r="Z25" s="592"/>
    </row>
    <row r="26" spans="1:2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15548.6146879566</v>
      </c>
      <c r="H26" s="552">
        <v>1.3568913422442457</v>
      </c>
      <c r="I26" s="386">
        <v>-1.0837673880159659</v>
      </c>
      <c r="J26" s="542">
        <v>11069.48197972759</v>
      </c>
      <c r="K26" s="542">
        <v>0</v>
      </c>
      <c r="L26" s="553">
        <v>11069.48197972759</v>
      </c>
      <c r="M26" s="542">
        <v>4479.1327082290099</v>
      </c>
      <c r="N26" s="542">
        <v>4479.1327082290099</v>
      </c>
      <c r="O26" s="542">
        <v>0</v>
      </c>
      <c r="P26" s="536">
        <v>0</v>
      </c>
      <c r="X26" s="592"/>
      <c r="Y26" s="592"/>
      <c r="Z26" s="592"/>
    </row>
    <row r="27" spans="1:2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106417.28607979244</v>
      </c>
      <c r="H27" s="552">
        <v>9.2867883759859282</v>
      </c>
      <c r="I27" s="386">
        <v>6.1350098787879448</v>
      </c>
      <c r="J27" s="542">
        <v>32115.246620015099</v>
      </c>
      <c r="K27" s="542">
        <v>108.351</v>
      </c>
      <c r="L27" s="542">
        <v>32006.895620015101</v>
      </c>
      <c r="M27" s="542">
        <v>74302.039459777341</v>
      </c>
      <c r="N27" s="542">
        <v>74302.039459777341</v>
      </c>
      <c r="O27" s="542">
        <v>0</v>
      </c>
      <c r="P27" s="536">
        <v>0</v>
      </c>
    </row>
    <row r="28" spans="1:2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6.5783910520896907</v>
      </c>
      <c r="H28" s="552">
        <v>5.7408084537533758E-4</v>
      </c>
      <c r="I28" s="386">
        <v>-15.307444451747077</v>
      </c>
      <c r="J28" s="542">
        <v>1.9805849394864159</v>
      </c>
      <c r="K28" s="542">
        <v>0</v>
      </c>
      <c r="L28" s="553">
        <v>1.9805849394864159</v>
      </c>
      <c r="M28" s="542">
        <v>4.5978061126032745</v>
      </c>
      <c r="N28" s="556">
        <v>4.5978061126032745</v>
      </c>
      <c r="O28" s="542">
        <v>0</v>
      </c>
      <c r="P28" s="536">
        <v>0</v>
      </c>
    </row>
    <row r="29" spans="1:2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106410.70768874034</v>
      </c>
      <c r="H29" s="552">
        <v>9.2862142951405531</v>
      </c>
      <c r="I29" s="386">
        <v>6.1366711061407786</v>
      </c>
      <c r="J29" s="542">
        <v>32113.266035075612</v>
      </c>
      <c r="K29" s="542">
        <v>108.351</v>
      </c>
      <c r="L29" s="553">
        <v>32004.915035075614</v>
      </c>
      <c r="M29" s="542">
        <v>74297.441653664733</v>
      </c>
      <c r="N29" s="542">
        <v>74297.441653664733</v>
      </c>
      <c r="O29" s="542">
        <v>0</v>
      </c>
      <c r="P29" s="536">
        <v>0</v>
      </c>
    </row>
    <row r="30" spans="1:2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110292.85506637787</v>
      </c>
      <c r="H30" s="546">
        <v>9.6250002430689374</v>
      </c>
      <c r="I30" s="535">
        <v>2.2696367254635419</v>
      </c>
      <c r="J30" s="536">
        <v>32026.763147395359</v>
      </c>
      <c r="K30" s="536">
        <v>15577.969131403022</v>
      </c>
      <c r="L30" s="536">
        <v>16448.794015992338</v>
      </c>
      <c r="M30" s="536">
        <v>78266.091918982507</v>
      </c>
      <c r="N30" s="536">
        <v>78266.091918982507</v>
      </c>
      <c r="O30" s="536">
        <v>0</v>
      </c>
      <c r="P30" s="536">
        <v>0</v>
      </c>
    </row>
    <row r="31" spans="1:2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8351.8510668797244</v>
      </c>
      <c r="H31" s="552">
        <v>0.72884656490589184</v>
      </c>
      <c r="I31" s="386">
        <v>7.3910620689467965</v>
      </c>
      <c r="J31" s="542">
        <v>8157.6387948797246</v>
      </c>
      <c r="K31" s="542">
        <v>0</v>
      </c>
      <c r="L31" s="553">
        <v>8157.6387948797246</v>
      </c>
      <c r="M31" s="542">
        <v>194.21227200000001</v>
      </c>
      <c r="N31" s="542">
        <v>194.21227200000001</v>
      </c>
      <c r="O31" s="542">
        <v>0</v>
      </c>
      <c r="P31" s="536">
        <v>0</v>
      </c>
    </row>
    <row r="32" spans="1:2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40036.238394298576</v>
      </c>
      <c r="H32" s="552">
        <v>3.4938691544866991</v>
      </c>
      <c r="I32" s="386">
        <v>-2.6857442816093924</v>
      </c>
      <c r="J32" s="542">
        <v>18193.33549491749</v>
      </c>
      <c r="K32" s="542">
        <v>15352.066536403023</v>
      </c>
      <c r="L32" s="553">
        <v>2841.2689585144658</v>
      </c>
      <c r="M32" s="542">
        <v>21842.902899381086</v>
      </c>
      <c r="N32" s="542">
        <v>21842.902899381086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3315.8277199745439</v>
      </c>
      <c r="H33" s="552">
        <v>0.2893645521418618</v>
      </c>
      <c r="I33" s="386">
        <v>-3.3752327759029588</v>
      </c>
      <c r="J33" s="542">
        <v>0</v>
      </c>
      <c r="K33" s="542">
        <v>0</v>
      </c>
      <c r="L33" s="553">
        <v>0</v>
      </c>
      <c r="M33" s="542">
        <v>3315.8277199745439</v>
      </c>
      <c r="N33" s="542">
        <v>3315.8277199745439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58588.937885225023</v>
      </c>
      <c r="H34" s="552">
        <v>5.1129199715344837</v>
      </c>
      <c r="I34" s="386">
        <v>5.5746374785670794</v>
      </c>
      <c r="J34" s="542">
        <v>5675.7888575981451</v>
      </c>
      <c r="K34" s="542">
        <v>225.90259499999999</v>
      </c>
      <c r="L34" s="553">
        <v>5449.8862625981455</v>
      </c>
      <c r="M34" s="542">
        <v>52913.149027626874</v>
      </c>
      <c r="N34" s="542">
        <v>52913.149027626874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137005.43998255889</v>
      </c>
      <c r="H35" s="546">
        <v>11.956145231169076</v>
      </c>
      <c r="I35" s="535">
        <v>7.3903121965040341</v>
      </c>
      <c r="J35" s="536">
        <v>24234.896597828152</v>
      </c>
      <c r="K35" s="536">
        <v>19.297575999999999</v>
      </c>
      <c r="L35" s="536">
        <v>24215.599021828151</v>
      </c>
      <c r="M35" s="536">
        <v>112770.54338473074</v>
      </c>
      <c r="N35" s="536">
        <v>112770.54338473074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38621.23886874161</v>
      </c>
      <c r="H36" s="552">
        <v>3.370385445870836</v>
      </c>
      <c r="I36" s="386">
        <v>3.4232913847527024</v>
      </c>
      <c r="J36" s="542">
        <v>24225.67539182815</v>
      </c>
      <c r="K36" s="542">
        <v>10.076370000000001</v>
      </c>
      <c r="L36" s="559">
        <v>24215.599021828151</v>
      </c>
      <c r="M36" s="542">
        <v>14395.563476913458</v>
      </c>
      <c r="N36" s="542">
        <v>14395.563476913458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21314.321771484745</v>
      </c>
      <c r="H37" s="552">
        <v>1.8600511529774433</v>
      </c>
      <c r="I37" s="386">
        <v>4.648231543974779</v>
      </c>
      <c r="J37" s="542">
        <v>0</v>
      </c>
      <c r="K37" s="542">
        <v>0</v>
      </c>
      <c r="L37" s="553">
        <v>0</v>
      </c>
      <c r="M37" s="542">
        <v>21314.321771484745</v>
      </c>
      <c r="N37" s="542">
        <v>21314.321771484745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77069.879342332541</v>
      </c>
      <c r="H38" s="552">
        <v>6.7257086323207984</v>
      </c>
      <c r="I38" s="386">
        <v>10.310012051317074</v>
      </c>
      <c r="J38" s="542">
        <v>9.2212060000000005</v>
      </c>
      <c r="K38" s="542">
        <v>9.2212060000000005</v>
      </c>
      <c r="L38" s="553">
        <v>0</v>
      </c>
      <c r="M38" s="542">
        <v>77060.658136332539</v>
      </c>
      <c r="N38" s="542">
        <v>77060.658136332539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27730.020580196371</v>
      </c>
      <c r="H39" s="546">
        <v>2.4199342256945529</v>
      </c>
      <c r="I39" s="535">
        <v>-2.2537779066572172</v>
      </c>
      <c r="J39" s="536">
        <v>768.79068200000017</v>
      </c>
      <c r="K39" s="536">
        <v>768.79068200000017</v>
      </c>
      <c r="L39" s="544">
        <v>0</v>
      </c>
      <c r="M39" s="536">
        <v>26961.229898196372</v>
      </c>
      <c r="N39" s="536">
        <v>26961.229898196372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341.74725999999998</v>
      </c>
      <c r="H40" s="546">
        <v>2.9823486377141325E-2</v>
      </c>
      <c r="I40" s="535">
        <v>2.0771963500677337</v>
      </c>
      <c r="J40" s="536">
        <v>341.74725999999998</v>
      </c>
      <c r="K40" s="536">
        <v>0</v>
      </c>
      <c r="L40" s="544">
        <v>341.74725999999998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73199.871326374283</v>
      </c>
      <c r="H42" s="546">
        <v>6.3879820581754521</v>
      </c>
      <c r="I42" s="535">
        <v>3.2936317449171248</v>
      </c>
      <c r="J42" s="536">
        <v>14936.139729</v>
      </c>
      <c r="K42" s="536">
        <v>14936.139729</v>
      </c>
      <c r="L42" s="536">
        <v>0</v>
      </c>
      <c r="M42" s="536">
        <v>58263.731597374281</v>
      </c>
      <c r="N42" s="536">
        <v>0</v>
      </c>
      <c r="O42" s="536">
        <v>58263.731597374281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Z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R27" sqref="R27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8.875" style="518" customWidth="1"/>
    <col min="19" max="19" width="8.875" style="518" customWidth="1"/>
    <col min="20" max="20" width="16.875" style="518" customWidth="1"/>
    <col min="21" max="16384" width="8.875" style="518"/>
  </cols>
  <sheetData>
    <row r="1" spans="1:26" s="374" customFormat="1" ht="34.5" customHeight="1" x14ac:dyDescent="0.25">
      <c r="A1" s="715" t="s">
        <v>670</v>
      </c>
      <c r="B1" s="716"/>
      <c r="C1" s="716"/>
      <c r="D1" s="716"/>
      <c r="E1" s="716"/>
      <c r="F1" s="716"/>
      <c r="G1" s="716"/>
      <c r="H1" s="716"/>
      <c r="I1" s="716"/>
      <c r="J1" s="717" t="s">
        <v>473</v>
      </c>
      <c r="K1" s="717"/>
      <c r="L1" s="717"/>
      <c r="M1" s="717"/>
      <c r="N1" s="717"/>
      <c r="O1" s="717"/>
      <c r="P1" s="717"/>
    </row>
    <row r="2" spans="1:26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26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111</v>
      </c>
      <c r="H3" s="663"/>
      <c r="I3" s="664"/>
      <c r="J3" s="662" t="s">
        <v>111</v>
      </c>
      <c r="K3" s="663"/>
      <c r="L3" s="663"/>
      <c r="M3" s="663"/>
      <c r="N3" s="663"/>
      <c r="O3" s="663"/>
      <c r="P3" s="663"/>
      <c r="R3" s="590"/>
    </row>
    <row r="4" spans="1:26" ht="15.75" customHeight="1" x14ac:dyDescent="0.25">
      <c r="A4" s="520"/>
      <c r="B4" s="520"/>
      <c r="C4" s="520"/>
      <c r="D4" s="520"/>
      <c r="E4" s="520"/>
      <c r="F4" s="521"/>
      <c r="G4" s="684">
        <v>2016</v>
      </c>
      <c r="H4" s="665"/>
      <c r="I4" s="666"/>
      <c r="J4" s="665">
        <v>2016</v>
      </c>
      <c r="K4" s="665"/>
      <c r="L4" s="665"/>
      <c r="M4" s="665"/>
      <c r="N4" s="665"/>
      <c r="O4" s="665"/>
      <c r="P4" s="665"/>
      <c r="R4" s="591"/>
    </row>
    <row r="5" spans="1:26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26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26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26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26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1205957.3201053394</v>
      </c>
      <c r="H9" s="535">
        <v>100</v>
      </c>
      <c r="I9" s="535">
        <v>5.2410828621579864</v>
      </c>
      <c r="J9" s="536">
        <v>679637.9200840001</v>
      </c>
      <c r="K9" s="536">
        <v>105711.938956</v>
      </c>
      <c r="L9" s="536">
        <v>573925.98112800007</v>
      </c>
      <c r="M9" s="536">
        <v>526319.4000213393</v>
      </c>
      <c r="N9" s="536">
        <v>445481.69800179778</v>
      </c>
      <c r="O9" s="536">
        <v>71717.367754426945</v>
      </c>
      <c r="P9" s="536">
        <v>9120.3342651145322</v>
      </c>
      <c r="R9" s="596"/>
    </row>
    <row r="10" spans="1:26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56.356714184929388</v>
      </c>
      <c r="K10" s="538">
        <v>8.7658109614332087</v>
      </c>
      <c r="L10" s="538">
        <v>47.590903223496177</v>
      </c>
      <c r="M10" s="538">
        <v>43.643285815070612</v>
      </c>
      <c r="N10" s="538">
        <v>36.940088224920373</v>
      </c>
      <c r="O10" s="538">
        <v>5.9469242035997167</v>
      </c>
      <c r="P10" s="538">
        <v>0.7562733865505189</v>
      </c>
      <c r="R10" s="594"/>
    </row>
    <row r="11" spans="1:26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  <c r="R11" s="595"/>
    </row>
    <row r="12" spans="1:26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71999.452594896575</v>
      </c>
      <c r="H12" s="87">
        <v>5.970315150838629</v>
      </c>
      <c r="I12" s="535">
        <v>-4.2303090972424133</v>
      </c>
      <c r="J12" s="536">
        <v>61563.120844543191</v>
      </c>
      <c r="K12" s="536">
        <v>55970.919587543191</v>
      </c>
      <c r="L12" s="536">
        <v>5592.2012569999997</v>
      </c>
      <c r="M12" s="536">
        <v>10436.331750353378</v>
      </c>
      <c r="N12" s="536">
        <v>0</v>
      </c>
      <c r="O12" s="536">
        <v>1315.9974852388464</v>
      </c>
      <c r="P12" s="544">
        <v>9120.3342651145322</v>
      </c>
      <c r="Q12" s="542"/>
      <c r="R12" s="595"/>
    </row>
    <row r="13" spans="1:26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26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1046888.8357662547</v>
      </c>
      <c r="H14" s="546">
        <v>86.809774965735087</v>
      </c>
      <c r="I14" s="535">
        <v>4.9491466991587574</v>
      </c>
      <c r="J14" s="536">
        <v>601407.13776445691</v>
      </c>
      <c r="K14" s="536">
        <v>33073.357893456814</v>
      </c>
      <c r="L14" s="536">
        <v>568333.77987100009</v>
      </c>
      <c r="M14" s="536">
        <v>445481.69800179778</v>
      </c>
      <c r="N14" s="536">
        <v>445481.69800179778</v>
      </c>
      <c r="O14" s="536">
        <v>0</v>
      </c>
      <c r="P14" s="536">
        <v>0</v>
      </c>
    </row>
    <row r="15" spans="1:26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498274.01689908264</v>
      </c>
      <c r="H15" s="546">
        <v>41.31771569292011</v>
      </c>
      <c r="I15" s="535">
        <v>5.4167034617948362</v>
      </c>
      <c r="J15" s="536">
        <v>389024.24518842745</v>
      </c>
      <c r="K15" s="536">
        <v>13139.519403846454</v>
      </c>
      <c r="L15" s="536">
        <v>375884.72578458098</v>
      </c>
      <c r="M15" s="536">
        <v>109249.7717106552</v>
      </c>
      <c r="N15" s="536">
        <v>109249.7717106552</v>
      </c>
      <c r="O15" s="536">
        <v>0</v>
      </c>
      <c r="P15" s="536">
        <v>0</v>
      </c>
    </row>
    <row r="16" spans="1:26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228400.06193190132</v>
      </c>
      <c r="H16" s="552">
        <v>18.939315523367839</v>
      </c>
      <c r="I16" s="386">
        <v>3.8138412975634584</v>
      </c>
      <c r="J16" s="542">
        <v>166900.11765957705</v>
      </c>
      <c r="K16" s="542">
        <v>4648.41875058407</v>
      </c>
      <c r="L16" s="542">
        <v>162251.69890899298</v>
      </c>
      <c r="M16" s="542">
        <v>61499.944272324283</v>
      </c>
      <c r="N16" s="542">
        <v>61499.944272324283</v>
      </c>
      <c r="O16" s="542">
        <v>0</v>
      </c>
      <c r="P16" s="536">
        <v>0</v>
      </c>
      <c r="X16" s="592"/>
      <c r="Y16" s="592"/>
      <c r="Z16" s="592"/>
    </row>
    <row r="17" spans="1:2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269873.95496718131</v>
      </c>
      <c r="H17" s="552">
        <v>22.378400169552272</v>
      </c>
      <c r="I17" s="386">
        <v>6.8124222479459373</v>
      </c>
      <c r="J17" s="542">
        <v>222124.12752885037</v>
      </c>
      <c r="K17" s="542">
        <v>8491.1006532623833</v>
      </c>
      <c r="L17" s="542">
        <v>213633.026875588</v>
      </c>
      <c r="M17" s="542">
        <v>47749.827438330918</v>
      </c>
      <c r="N17" s="542">
        <v>47749.827438330918</v>
      </c>
      <c r="O17" s="542">
        <v>0</v>
      </c>
      <c r="P17" s="536">
        <v>0</v>
      </c>
    </row>
    <row r="18" spans="1:2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106005.15452181836</v>
      </c>
      <c r="H18" s="552">
        <v>8.7901248870531248</v>
      </c>
      <c r="I18" s="386">
        <v>6.4515119474362503</v>
      </c>
      <c r="J18" s="542">
        <v>86684.359203477565</v>
      </c>
      <c r="K18" s="542">
        <v>243</v>
      </c>
      <c r="L18" s="542">
        <v>86441.359203477565</v>
      </c>
      <c r="M18" s="542">
        <v>19320.795318340788</v>
      </c>
      <c r="N18" s="542">
        <v>19320.795318340788</v>
      </c>
      <c r="O18" s="542">
        <v>0</v>
      </c>
      <c r="P18" s="536">
        <v>0</v>
      </c>
    </row>
    <row r="19" spans="1:2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163868.80044536293</v>
      </c>
      <c r="H19" s="552">
        <v>13.588275282499145</v>
      </c>
      <c r="I19" s="386">
        <v>7.0471981166971176</v>
      </c>
      <c r="J19" s="542">
        <v>135439.7683253728</v>
      </c>
      <c r="K19" s="542">
        <v>8248.1006532623833</v>
      </c>
      <c r="L19" s="542">
        <v>127191.66767211043</v>
      </c>
      <c r="M19" s="542">
        <v>28429.03211999013</v>
      </c>
      <c r="N19" s="542">
        <v>28429.03211999013</v>
      </c>
      <c r="O19" s="542">
        <v>0</v>
      </c>
      <c r="P19" s="536">
        <v>0</v>
      </c>
    </row>
    <row r="20" spans="1:2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257841.03553924599</v>
      </c>
      <c r="H20" s="546">
        <v>21.380610345043038</v>
      </c>
      <c r="I20" s="535">
        <v>3.3517163213354184</v>
      </c>
      <c r="J20" s="536">
        <v>149827.08255867023</v>
      </c>
      <c r="K20" s="536">
        <v>2417.560472610357</v>
      </c>
      <c r="L20" s="536">
        <v>147409.52208605988</v>
      </c>
      <c r="M20" s="536">
        <v>108013.95298057575</v>
      </c>
      <c r="N20" s="536">
        <v>108013.95298057575</v>
      </c>
      <c r="O20" s="536">
        <v>0</v>
      </c>
      <c r="P20" s="536">
        <v>0</v>
      </c>
    </row>
    <row r="21" spans="1:2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124650.66206024103</v>
      </c>
      <c r="H21" s="552">
        <v>10.33624158849609</v>
      </c>
      <c r="I21" s="386">
        <v>3.7675859917084997</v>
      </c>
      <c r="J21" s="542">
        <v>98949.876932823987</v>
      </c>
      <c r="K21" s="542">
        <v>2323.5014726103568</v>
      </c>
      <c r="L21" s="542">
        <v>96626.375460213632</v>
      </c>
      <c r="M21" s="542">
        <v>25700.785127417039</v>
      </c>
      <c r="N21" s="542">
        <v>25700.785127417039</v>
      </c>
      <c r="O21" s="542">
        <v>0</v>
      </c>
      <c r="P21" s="536">
        <v>0</v>
      </c>
      <c r="X21" s="592"/>
      <c r="Y21" s="592"/>
      <c r="Z21" s="592"/>
    </row>
    <row r="22" spans="1:2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21037.090891671636</v>
      </c>
      <c r="H22" s="552">
        <v>1.744430797089408</v>
      </c>
      <c r="I22" s="386">
        <v>0.98404035805628176</v>
      </c>
      <c r="J22" s="542">
        <v>16617.224117068632</v>
      </c>
      <c r="K22" s="542">
        <v>0</v>
      </c>
      <c r="L22" s="574">
        <v>16617.224117068632</v>
      </c>
      <c r="M22" s="542">
        <v>4419.8667746030033</v>
      </c>
      <c r="N22" s="556">
        <v>4419.8667746030033</v>
      </c>
      <c r="O22" s="542">
        <v>0</v>
      </c>
      <c r="P22" s="536">
        <v>0</v>
      </c>
      <c r="X22" s="592"/>
      <c r="Y22" s="592"/>
      <c r="Z22" s="592"/>
    </row>
    <row r="23" spans="1:2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103613.57116856938</v>
      </c>
      <c r="H23" s="552">
        <v>8.591810791406683</v>
      </c>
      <c r="I23" s="386">
        <v>4.3515871420318764</v>
      </c>
      <c r="J23" s="542">
        <v>82332.652815755355</v>
      </c>
      <c r="K23" s="542">
        <v>2323.5014726103568</v>
      </c>
      <c r="L23" s="542">
        <v>80009.151343145</v>
      </c>
      <c r="M23" s="542">
        <v>21280.918352814035</v>
      </c>
      <c r="N23" s="542">
        <v>21280.918352814035</v>
      </c>
      <c r="O23" s="542">
        <v>0</v>
      </c>
      <c r="P23" s="536">
        <v>0</v>
      </c>
      <c r="X23" s="592"/>
      <c r="Y23" s="592"/>
      <c r="Z23" s="592"/>
    </row>
    <row r="24" spans="1:2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23845.741047531257</v>
      </c>
      <c r="H24" s="552">
        <v>1.977328770262645</v>
      </c>
      <c r="I24" s="386">
        <v>3.9616304060482443</v>
      </c>
      <c r="J24" s="542">
        <v>17393.013954605438</v>
      </c>
      <c r="K24" s="542">
        <v>0</v>
      </c>
      <c r="L24" s="542">
        <v>17393.013954605438</v>
      </c>
      <c r="M24" s="542">
        <v>6452.7270929258211</v>
      </c>
      <c r="N24" s="542">
        <v>6452.7270929258211</v>
      </c>
      <c r="O24" s="542">
        <v>0</v>
      </c>
      <c r="P24" s="536">
        <v>0</v>
      </c>
      <c r="X24" s="592"/>
      <c r="Y24" s="592"/>
      <c r="Z24" s="592"/>
    </row>
    <row r="25" spans="1:2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7708.6970501956166</v>
      </c>
      <c r="H25" s="552">
        <v>0.63921806532276515</v>
      </c>
      <c r="I25" s="386">
        <v>4.3345009956328395</v>
      </c>
      <c r="J25" s="542">
        <v>5622.7011397391279</v>
      </c>
      <c r="K25" s="542">
        <v>0</v>
      </c>
      <c r="L25" s="556">
        <v>5622.7011397391279</v>
      </c>
      <c r="M25" s="542">
        <v>2085.9959104564882</v>
      </c>
      <c r="N25" s="556">
        <v>2085.9959104564882</v>
      </c>
      <c r="O25" s="542">
        <v>0</v>
      </c>
      <c r="P25" s="536">
        <v>0</v>
      </c>
      <c r="X25" s="592"/>
      <c r="Y25" s="592"/>
      <c r="Z25" s="592"/>
    </row>
    <row r="26" spans="1:2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16137.043997335642</v>
      </c>
      <c r="H26" s="552">
        <v>1.3381107049398802</v>
      </c>
      <c r="I26" s="386">
        <v>3.7844484617322038</v>
      </c>
      <c r="J26" s="542">
        <v>11770.312814866309</v>
      </c>
      <c r="K26" s="542">
        <v>0</v>
      </c>
      <c r="L26" s="542">
        <v>11770.312814866309</v>
      </c>
      <c r="M26" s="542">
        <v>4366.7311824693334</v>
      </c>
      <c r="N26" s="542">
        <v>4366.7311824693334</v>
      </c>
      <c r="O26" s="542">
        <v>0</v>
      </c>
      <c r="P26" s="536">
        <v>0</v>
      </c>
      <c r="X26" s="592"/>
      <c r="Y26" s="592"/>
      <c r="Z26" s="592"/>
    </row>
    <row r="27" spans="1:2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109344.63243147368</v>
      </c>
      <c r="H27" s="552">
        <v>9.0670399862842999</v>
      </c>
      <c r="I27" s="386">
        <v>2.7508184614728037</v>
      </c>
      <c r="J27" s="542">
        <v>33484.191671240798</v>
      </c>
      <c r="K27" s="542">
        <v>94.058999999999997</v>
      </c>
      <c r="L27" s="542">
        <v>33390.132671240797</v>
      </c>
      <c r="M27" s="542">
        <v>75860.440760232887</v>
      </c>
      <c r="N27" s="542">
        <v>75860.440760232887</v>
      </c>
      <c r="O27" s="542">
        <v>0</v>
      </c>
      <c r="P27" s="536">
        <v>0</v>
      </c>
    </row>
    <row r="28" spans="1:2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5.6887875341651517</v>
      </c>
      <c r="H28" s="552">
        <v>4.7172378651578155E-4</v>
      </c>
      <c r="I28" s="386">
        <v>-13.523116988339389</v>
      </c>
      <c r="J28" s="542">
        <v>1.7386578810354623</v>
      </c>
      <c r="K28" s="542">
        <v>0</v>
      </c>
      <c r="L28" s="542">
        <v>1.7386578810354623</v>
      </c>
      <c r="M28" s="542">
        <v>3.9501296531296894</v>
      </c>
      <c r="N28" s="556">
        <v>3.9501296531296894</v>
      </c>
      <c r="O28" s="542">
        <v>0</v>
      </c>
      <c r="P28" s="536">
        <v>0</v>
      </c>
    </row>
    <row r="29" spans="1:2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109338.94364393954</v>
      </c>
      <c r="H29" s="552">
        <v>9.0665682624977855</v>
      </c>
      <c r="I29" s="386">
        <v>2.7518245285657938</v>
      </c>
      <c r="J29" s="542">
        <v>33482.453013359765</v>
      </c>
      <c r="K29" s="542">
        <v>94.058999999999997</v>
      </c>
      <c r="L29" s="542">
        <v>33388.394013359764</v>
      </c>
      <c r="M29" s="542">
        <v>75856.490630579763</v>
      </c>
      <c r="N29" s="542">
        <v>75856.490630579763</v>
      </c>
      <c r="O29" s="542">
        <v>0</v>
      </c>
      <c r="P29" s="536">
        <v>0</v>
      </c>
    </row>
    <row r="30" spans="1:2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117977.90752201006</v>
      </c>
      <c r="H30" s="546">
        <v>9.7829256106430691</v>
      </c>
      <c r="I30" s="535">
        <v>6.9678606569818724</v>
      </c>
      <c r="J30" s="536">
        <v>34753.040573495062</v>
      </c>
      <c r="K30" s="536">
        <v>16609.838419</v>
      </c>
      <c r="L30" s="536">
        <v>18143.202154495062</v>
      </c>
      <c r="M30" s="536">
        <v>83224.866948515002</v>
      </c>
      <c r="N30" s="536">
        <v>83224.866948515002</v>
      </c>
      <c r="O30" s="536">
        <v>0</v>
      </c>
      <c r="P30" s="536">
        <v>0</v>
      </c>
    </row>
    <row r="31" spans="1:2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8675.9394168621966</v>
      </c>
      <c r="H31" s="552">
        <v>0.71942342172643059</v>
      </c>
      <c r="I31" s="386">
        <v>3.8804373711557538</v>
      </c>
      <c r="J31" s="542">
        <v>8469.688576862196</v>
      </c>
      <c r="K31" s="542">
        <v>0</v>
      </c>
      <c r="L31" s="542">
        <v>8469.688576862196</v>
      </c>
      <c r="M31" s="542">
        <v>206.25084000000001</v>
      </c>
      <c r="N31" s="542">
        <v>206.25084000000001</v>
      </c>
      <c r="O31" s="542">
        <v>0</v>
      </c>
      <c r="P31" s="536">
        <v>0</v>
      </c>
    </row>
    <row r="32" spans="1:2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43146.267792403654</v>
      </c>
      <c r="H32" s="552">
        <v>3.5777607609392725</v>
      </c>
      <c r="I32" s="386">
        <v>7.7680359665057042</v>
      </c>
      <c r="J32" s="542">
        <v>20080.358631079402</v>
      </c>
      <c r="K32" s="542">
        <v>16360.031032999999</v>
      </c>
      <c r="L32" s="542">
        <v>3720.3275980794024</v>
      </c>
      <c r="M32" s="542">
        <v>23065.909161324256</v>
      </c>
      <c r="N32" s="542">
        <v>23065.909161324256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3663.4185278320811</v>
      </c>
      <c r="H33" s="552">
        <v>0.30377679763261306</v>
      </c>
      <c r="I33" s="386">
        <v>10.482776465244271</v>
      </c>
      <c r="J33" s="542">
        <v>0</v>
      </c>
      <c r="K33" s="542">
        <v>0</v>
      </c>
      <c r="L33" s="542">
        <v>0</v>
      </c>
      <c r="M33" s="542">
        <v>3663.4185278320811</v>
      </c>
      <c r="N33" s="542">
        <v>3663.4185278320811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62492.281784912135</v>
      </c>
      <c r="H34" s="552">
        <v>5.1819646303447531</v>
      </c>
      <c r="I34" s="386">
        <v>6.6622540714660339</v>
      </c>
      <c r="J34" s="542">
        <v>6202.9933655534624</v>
      </c>
      <c r="K34" s="542">
        <v>249.80738600000001</v>
      </c>
      <c r="L34" s="542">
        <v>5953.1859795534619</v>
      </c>
      <c r="M34" s="542">
        <v>56289.288419358672</v>
      </c>
      <c r="N34" s="542">
        <v>56289.288419358672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142546.73983470441</v>
      </c>
      <c r="H35" s="546">
        <v>11.820214319214303</v>
      </c>
      <c r="I35" s="535">
        <v>4.0445838156871305</v>
      </c>
      <c r="J35" s="536">
        <v>26602.151037864201</v>
      </c>
      <c r="K35" s="536">
        <v>82.542310999999998</v>
      </c>
      <c r="L35" s="536">
        <v>26519.6087268642</v>
      </c>
      <c r="M35" s="536">
        <v>115944.58879684021</v>
      </c>
      <c r="N35" s="536">
        <v>115944.58879684021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40707.01733933395</v>
      </c>
      <c r="H36" s="552">
        <v>3.3754940295713141</v>
      </c>
      <c r="I36" s="386">
        <v>5.4005995967169262</v>
      </c>
      <c r="J36" s="542">
        <v>26581.453096864199</v>
      </c>
      <c r="K36" s="542">
        <v>61.844369999999998</v>
      </c>
      <c r="L36" s="559">
        <v>26519.6087268642</v>
      </c>
      <c r="M36" s="542">
        <v>14125.564242469749</v>
      </c>
      <c r="N36" s="542">
        <v>14125.564242469749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20138.20417178189</v>
      </c>
      <c r="H37" s="552">
        <v>1.6698936053576783</v>
      </c>
      <c r="I37" s="386">
        <v>-5.5179686799901706</v>
      </c>
      <c r="J37" s="542">
        <v>0</v>
      </c>
      <c r="K37" s="542">
        <v>0</v>
      </c>
      <c r="L37" s="542">
        <v>0</v>
      </c>
      <c r="M37" s="542">
        <v>20138.20417178189</v>
      </c>
      <c r="N37" s="542">
        <v>20138.20417178189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81701.518323588578</v>
      </c>
      <c r="H38" s="552">
        <v>6.774826684285312</v>
      </c>
      <c r="I38" s="386">
        <v>6.0096616483373611</v>
      </c>
      <c r="J38" s="542">
        <v>20.697941</v>
      </c>
      <c r="K38" s="542">
        <v>20.697941</v>
      </c>
      <c r="L38" s="542">
        <v>0</v>
      </c>
      <c r="M38" s="542">
        <v>81680.820382588572</v>
      </c>
      <c r="N38" s="542">
        <v>81680.820382588572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29872.414852211561</v>
      </c>
      <c r="H39" s="546">
        <v>2.4770706520196111</v>
      </c>
      <c r="I39" s="535">
        <v>7.7259022070297334</v>
      </c>
      <c r="J39" s="536">
        <v>823.89728700000001</v>
      </c>
      <c r="K39" s="536">
        <v>823.89728700000001</v>
      </c>
      <c r="L39" s="542">
        <v>0</v>
      </c>
      <c r="M39" s="536">
        <v>29048.517565211561</v>
      </c>
      <c r="N39" s="536">
        <v>29048.517565211561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376.72111899999999</v>
      </c>
      <c r="H40" s="546">
        <v>3.1238345894952044E-2</v>
      </c>
      <c r="I40" s="535">
        <v>10.233837427109149</v>
      </c>
      <c r="J40" s="536">
        <v>376.72111899999999</v>
      </c>
      <c r="K40" s="536">
        <v>0</v>
      </c>
      <c r="L40" s="536">
        <v>376.72111899999999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87069.031744188105</v>
      </c>
      <c r="H42" s="546">
        <v>7.21990988342628</v>
      </c>
      <c r="I42" s="535">
        <v>18.946973767174779</v>
      </c>
      <c r="J42" s="536">
        <v>16667.661475000001</v>
      </c>
      <c r="K42" s="536">
        <v>16667.661475000001</v>
      </c>
      <c r="L42" s="536">
        <v>0</v>
      </c>
      <c r="M42" s="536">
        <v>70401.370269188104</v>
      </c>
      <c r="N42" s="536">
        <v>0</v>
      </c>
      <c r="O42" s="536">
        <v>70401.370269188104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Q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T20" sqref="T20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6384" width="8.875" style="518"/>
  </cols>
  <sheetData>
    <row r="1" spans="1:17" s="374" customFormat="1" ht="34.5" customHeight="1" x14ac:dyDescent="0.25">
      <c r="A1" s="715" t="s">
        <v>669</v>
      </c>
      <c r="B1" s="716"/>
      <c r="C1" s="716"/>
      <c r="D1" s="716"/>
      <c r="E1" s="716"/>
      <c r="F1" s="716"/>
      <c r="G1" s="716"/>
      <c r="H1" s="716"/>
      <c r="I1" s="716"/>
      <c r="J1" s="717" t="s">
        <v>474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215</v>
      </c>
      <c r="H3" s="663"/>
      <c r="I3" s="664"/>
      <c r="J3" s="662" t="s">
        <v>215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2017</v>
      </c>
      <c r="H4" s="665"/>
      <c r="I4" s="666"/>
      <c r="J4" s="665">
        <v>2017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1276080.694631</v>
      </c>
      <c r="H9" s="535">
        <v>100</v>
      </c>
      <c r="I9" s="535">
        <v>5.8147476164028378</v>
      </c>
      <c r="J9" s="536">
        <v>719803.93424899993</v>
      </c>
      <c r="K9" s="536">
        <v>114510.38609099999</v>
      </c>
      <c r="L9" s="536">
        <v>605293.54815799999</v>
      </c>
      <c r="M9" s="536">
        <v>556276.76038200001</v>
      </c>
      <c r="N9" s="536">
        <v>481437.39218999998</v>
      </c>
      <c r="O9" s="536">
        <v>65754.665598000007</v>
      </c>
      <c r="P9" s="536">
        <v>9084.7025940000003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56.407399412710589</v>
      </c>
      <c r="K10" s="538">
        <v>8.9736006956920988</v>
      </c>
      <c r="L10" s="538">
        <v>47.43379871701849</v>
      </c>
      <c r="M10" s="538">
        <v>43.592600587289404</v>
      </c>
      <c r="N10" s="538">
        <v>37.727817230964035</v>
      </c>
      <c r="O10" s="538">
        <v>5.152861090576569</v>
      </c>
      <c r="P10" s="538">
        <v>0.7119222657487968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74854.539116</v>
      </c>
      <c r="H12" s="87">
        <v>5.8659722250280915</v>
      </c>
      <c r="I12" s="535">
        <v>3.9654280945266462</v>
      </c>
      <c r="J12" s="536">
        <v>64399.646643</v>
      </c>
      <c r="K12" s="536">
        <v>58837.406547999999</v>
      </c>
      <c r="L12" s="536">
        <v>5562.2400950000001</v>
      </c>
      <c r="M12" s="536">
        <v>10454.892473</v>
      </c>
      <c r="N12" s="536">
        <v>0</v>
      </c>
      <c r="O12" s="536">
        <v>1370.189879</v>
      </c>
      <c r="P12" s="544">
        <v>9084.7025940000003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1118271.7087339999</v>
      </c>
      <c r="H14" s="546">
        <v>87.63330668969698</v>
      </c>
      <c r="I14" s="535">
        <v>6.8185723764546236</v>
      </c>
      <c r="J14" s="536">
        <v>636834.31654399994</v>
      </c>
      <c r="K14" s="536">
        <v>37103.008480999997</v>
      </c>
      <c r="L14" s="536">
        <v>599731.30806299997</v>
      </c>
      <c r="M14" s="536">
        <v>481437.39218999998</v>
      </c>
      <c r="N14" s="536">
        <v>481437.39218999998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530606.4376970001</v>
      </c>
      <c r="H15" s="546">
        <v>41.580947030190259</v>
      </c>
      <c r="I15" s="535">
        <v>6.4888835663421407</v>
      </c>
      <c r="J15" s="536">
        <v>413237.00546500005</v>
      </c>
      <c r="K15" s="536">
        <v>12391.167353000001</v>
      </c>
      <c r="L15" s="536">
        <v>400845.83811200003</v>
      </c>
      <c r="M15" s="536">
        <v>117369.43223199999</v>
      </c>
      <c r="N15" s="536">
        <v>117369.43223199999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241010.37093899999</v>
      </c>
      <c r="H16" s="552">
        <v>18.886765700087025</v>
      </c>
      <c r="I16" s="386">
        <v>5.5211495568063818</v>
      </c>
      <c r="J16" s="542">
        <v>175343.54300099998</v>
      </c>
      <c r="K16" s="542">
        <v>4220.7899859999998</v>
      </c>
      <c r="L16" s="542">
        <v>171122.75301499999</v>
      </c>
      <c r="M16" s="542">
        <v>65666.827938000002</v>
      </c>
      <c r="N16" s="542">
        <v>65666.827938000002</v>
      </c>
      <c r="O16" s="542">
        <v>0</v>
      </c>
      <c r="P16" s="536">
        <v>0</v>
      </c>
    </row>
    <row r="17" spans="1:1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289596.066758</v>
      </c>
      <c r="H17" s="552">
        <v>22.694181330103227</v>
      </c>
      <c r="I17" s="386">
        <v>7.3078974194516366</v>
      </c>
      <c r="J17" s="542">
        <v>237893.46246400001</v>
      </c>
      <c r="K17" s="542">
        <v>8170.377367</v>
      </c>
      <c r="L17" s="542">
        <v>229723.085097</v>
      </c>
      <c r="M17" s="542">
        <v>51702.604293999997</v>
      </c>
      <c r="N17" s="542">
        <v>51702.604293999997</v>
      </c>
      <c r="O17" s="542">
        <v>0</v>
      </c>
      <c r="P17" s="536">
        <v>0</v>
      </c>
    </row>
    <row r="18" spans="1:1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116885.271643</v>
      </c>
      <c r="H18" s="552">
        <v>9.1597084835453391</v>
      </c>
      <c r="I18" s="386">
        <v>10.263762333313942</v>
      </c>
      <c r="J18" s="542">
        <v>95406.330344000002</v>
      </c>
      <c r="K18" s="542">
        <v>243</v>
      </c>
      <c r="L18" s="542">
        <v>95163.330344000002</v>
      </c>
      <c r="M18" s="542">
        <v>21478.941298999998</v>
      </c>
      <c r="N18" s="542">
        <v>21478.941298999998</v>
      </c>
      <c r="O18" s="542">
        <v>0</v>
      </c>
      <c r="P18" s="536">
        <v>0</v>
      </c>
    </row>
    <row r="19" spans="1:1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172710.79511499999</v>
      </c>
      <c r="H19" s="552">
        <v>13.534472846557888</v>
      </c>
      <c r="I19" s="386">
        <v>5.3957767711768634</v>
      </c>
      <c r="J19" s="542">
        <v>142487.13211999999</v>
      </c>
      <c r="K19" s="542">
        <v>7927.377367</v>
      </c>
      <c r="L19" s="542">
        <v>134559.75475299999</v>
      </c>
      <c r="M19" s="542">
        <v>30223.662994999999</v>
      </c>
      <c r="N19" s="542">
        <v>30223.662994999999</v>
      </c>
      <c r="O19" s="542">
        <v>0</v>
      </c>
      <c r="P19" s="536">
        <v>0</v>
      </c>
    </row>
    <row r="20" spans="1:1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266525.77143600001</v>
      </c>
      <c r="H20" s="546">
        <v>20.886278787649111</v>
      </c>
      <c r="I20" s="535">
        <v>3.3682520234185498</v>
      </c>
      <c r="J20" s="536">
        <v>154850.20742199998</v>
      </c>
      <c r="K20" s="536">
        <v>2605.7045070000004</v>
      </c>
      <c r="L20" s="536">
        <v>152244.50291499999</v>
      </c>
      <c r="M20" s="536">
        <v>111675.564014</v>
      </c>
      <c r="N20" s="536">
        <v>111675.564014</v>
      </c>
      <c r="O20" s="536">
        <v>0</v>
      </c>
      <c r="P20" s="536">
        <v>0</v>
      </c>
    </row>
    <row r="21" spans="1:1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128903.81049599999</v>
      </c>
      <c r="H21" s="552">
        <v>10.101540681428039</v>
      </c>
      <c r="I21" s="386">
        <v>3.4120544291240895</v>
      </c>
      <c r="J21" s="542">
        <v>101719.54777199999</v>
      </c>
      <c r="K21" s="542">
        <v>2521.7974170000002</v>
      </c>
      <c r="L21" s="542">
        <v>99197.750354999996</v>
      </c>
      <c r="M21" s="542">
        <v>27184.262724</v>
      </c>
      <c r="N21" s="542">
        <v>27184.262724</v>
      </c>
      <c r="O21" s="542">
        <v>0</v>
      </c>
      <c r="P21" s="536">
        <v>0</v>
      </c>
    </row>
    <row r="22" spans="1:1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20697.193857999999</v>
      </c>
      <c r="H22" s="552">
        <v>1.6219345645680296</v>
      </c>
      <c r="I22" s="386">
        <v>-1.6157035942940157</v>
      </c>
      <c r="J22" s="542">
        <v>16245.3107</v>
      </c>
      <c r="K22" s="542">
        <v>0</v>
      </c>
      <c r="L22" s="574">
        <v>16245.3107</v>
      </c>
      <c r="M22" s="542">
        <v>4451.8831579999996</v>
      </c>
      <c r="N22" s="556">
        <v>4451.8831579999996</v>
      </c>
      <c r="O22" s="542">
        <v>0</v>
      </c>
      <c r="P22" s="536">
        <v>0</v>
      </c>
    </row>
    <row r="23" spans="1:1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108206.61663799999</v>
      </c>
      <c r="H23" s="552">
        <v>8.4796061168600119</v>
      </c>
      <c r="I23" s="386">
        <v>4.4328608864934838</v>
      </c>
      <c r="J23" s="542">
        <v>85474.237071999989</v>
      </c>
      <c r="K23" s="542">
        <v>2521.7974170000002</v>
      </c>
      <c r="L23" s="542">
        <v>82952.439654999995</v>
      </c>
      <c r="M23" s="542">
        <v>22732.379566</v>
      </c>
      <c r="N23" s="542">
        <v>22732.379566</v>
      </c>
      <c r="O23" s="542">
        <v>0</v>
      </c>
      <c r="P23" s="536">
        <v>0</v>
      </c>
    </row>
    <row r="24" spans="1:1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24848.784077000004</v>
      </c>
      <c r="H24" s="552">
        <v>1.9472737250511765</v>
      </c>
      <c r="I24" s="386">
        <v>4.206382294722566</v>
      </c>
      <c r="J24" s="542">
        <v>17894.521444000002</v>
      </c>
      <c r="K24" s="542">
        <v>0</v>
      </c>
      <c r="L24" s="542">
        <v>17894.521444000002</v>
      </c>
      <c r="M24" s="542">
        <v>6954.2626330000003</v>
      </c>
      <c r="N24" s="542">
        <v>6954.2626330000003</v>
      </c>
      <c r="O24" s="542">
        <v>0</v>
      </c>
      <c r="P24" s="536">
        <v>0</v>
      </c>
    </row>
    <row r="25" spans="1:1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7910.3903350000001</v>
      </c>
      <c r="H25" s="552">
        <v>0.61989734413209818</v>
      </c>
      <c r="I25" s="386">
        <v>2.6164380762539574</v>
      </c>
      <c r="J25" s="542">
        <v>5696.5624170000001</v>
      </c>
      <c r="K25" s="542">
        <v>0</v>
      </c>
      <c r="L25" s="556">
        <v>5696.5624170000001</v>
      </c>
      <c r="M25" s="542">
        <v>2213.827918</v>
      </c>
      <c r="N25" s="556">
        <v>2213.827918</v>
      </c>
      <c r="O25" s="542">
        <v>0</v>
      </c>
      <c r="P25" s="536">
        <v>0</v>
      </c>
    </row>
    <row r="26" spans="1:1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16938.393742</v>
      </c>
      <c r="H26" s="552">
        <v>1.3273763809190779</v>
      </c>
      <c r="I26" s="386">
        <v>4.9659017153120821</v>
      </c>
      <c r="J26" s="542">
        <v>12197.959027000001</v>
      </c>
      <c r="K26" s="542">
        <v>0</v>
      </c>
      <c r="L26" s="542">
        <v>12197.959027000001</v>
      </c>
      <c r="M26" s="542">
        <v>4740.4347150000003</v>
      </c>
      <c r="N26" s="542">
        <v>4740.4347150000003</v>
      </c>
      <c r="O26" s="542">
        <v>0</v>
      </c>
      <c r="P26" s="536">
        <v>0</v>
      </c>
    </row>
    <row r="27" spans="1:1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112773.176863</v>
      </c>
      <c r="H27" s="552">
        <v>8.8374643811698945</v>
      </c>
      <c r="I27" s="386">
        <v>3.1355397656807504</v>
      </c>
      <c r="J27" s="542">
        <v>35236.138205999996</v>
      </c>
      <c r="K27" s="542">
        <v>83.907089999999997</v>
      </c>
      <c r="L27" s="542">
        <v>35152.231115999995</v>
      </c>
      <c r="M27" s="542">
        <v>77537.038657000012</v>
      </c>
      <c r="N27" s="542">
        <v>77537.038657000012</v>
      </c>
      <c r="O27" s="542">
        <v>0</v>
      </c>
      <c r="P27" s="536">
        <v>0</v>
      </c>
    </row>
    <row r="28" spans="1:1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5.2040839999999999</v>
      </c>
      <c r="H28" s="552">
        <v>4.0781778314613929E-4</v>
      </c>
      <c r="I28" s="386">
        <v>-8.5203311119314566</v>
      </c>
      <c r="J28" s="542">
        <v>1.623359</v>
      </c>
      <c r="K28" s="542">
        <v>0</v>
      </c>
      <c r="L28" s="542">
        <v>1.623359</v>
      </c>
      <c r="M28" s="542">
        <v>3.5807250000000002</v>
      </c>
      <c r="N28" s="556">
        <v>3.5807250000000002</v>
      </c>
      <c r="O28" s="542">
        <v>0</v>
      </c>
      <c r="P28" s="536">
        <v>0</v>
      </c>
    </row>
    <row r="29" spans="1:1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112767.972779</v>
      </c>
      <c r="H29" s="552">
        <v>8.8370565633867493</v>
      </c>
      <c r="I29" s="386">
        <v>3.1361462080949254</v>
      </c>
      <c r="J29" s="542">
        <v>35234.514846999999</v>
      </c>
      <c r="K29" s="542">
        <v>83.907089999999997</v>
      </c>
      <c r="L29" s="542">
        <v>35150.607756999998</v>
      </c>
      <c r="M29" s="542">
        <v>77533.457932000005</v>
      </c>
      <c r="N29" s="542">
        <v>77533.457932000005</v>
      </c>
      <c r="O29" s="542">
        <v>0</v>
      </c>
      <c r="P29" s="536">
        <v>0</v>
      </c>
    </row>
    <row r="30" spans="1:1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134917.41249400002</v>
      </c>
      <c r="H30" s="546">
        <v>10.572796302118936</v>
      </c>
      <c r="I30" s="535">
        <v>14.358200893527219</v>
      </c>
      <c r="J30" s="536">
        <v>39264.790717000003</v>
      </c>
      <c r="K30" s="536">
        <v>20985.429294000001</v>
      </c>
      <c r="L30" s="536">
        <v>18279.361423000002</v>
      </c>
      <c r="M30" s="536">
        <v>95652.621777000008</v>
      </c>
      <c r="N30" s="536">
        <v>95652.621777000008</v>
      </c>
      <c r="O30" s="536">
        <v>0</v>
      </c>
      <c r="P30" s="536">
        <v>0</v>
      </c>
    </row>
    <row r="31" spans="1:1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8378.1728700000003</v>
      </c>
      <c r="H31" s="552">
        <v>0.65655509916029942</v>
      </c>
      <c r="I31" s="386">
        <v>-3.4320957369004867</v>
      </c>
      <c r="J31" s="542">
        <v>8166.0977849999999</v>
      </c>
      <c r="K31" s="542">
        <v>0</v>
      </c>
      <c r="L31" s="542">
        <v>8166.0977849999999</v>
      </c>
      <c r="M31" s="542">
        <v>212.075085</v>
      </c>
      <c r="N31" s="542">
        <v>212.075085</v>
      </c>
      <c r="O31" s="542">
        <v>0</v>
      </c>
      <c r="P31" s="536">
        <v>0</v>
      </c>
    </row>
    <row r="32" spans="1:1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55773.116654698242</v>
      </c>
      <c r="H32" s="552">
        <v>4.3706575053880865</v>
      </c>
      <c r="I32" s="386">
        <v>29.265216919915549</v>
      </c>
      <c r="J32" s="542">
        <v>24583.844814000004</v>
      </c>
      <c r="K32" s="542">
        <v>20736.643800000002</v>
      </c>
      <c r="L32" s="542">
        <v>3847.2010140000002</v>
      </c>
      <c r="M32" s="542">
        <v>31189.271840698242</v>
      </c>
      <c r="N32" s="542">
        <v>31189.271840698242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3369.7669540000002</v>
      </c>
      <c r="H33" s="552">
        <v>0.2640716193088733</v>
      </c>
      <c r="I33" s="386">
        <v>-8.0157801136048867</v>
      </c>
      <c r="J33" s="542">
        <v>0</v>
      </c>
      <c r="K33" s="542">
        <v>0</v>
      </c>
      <c r="L33" s="542">
        <v>0</v>
      </c>
      <c r="M33" s="542">
        <v>3369.7669540000002</v>
      </c>
      <c r="N33" s="542">
        <v>3369.7669540000002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67396.356016000005</v>
      </c>
      <c r="H34" s="552">
        <v>5.2815120783163936</v>
      </c>
      <c r="I34" s="386">
        <v>7.8474878673287396</v>
      </c>
      <c r="J34" s="542">
        <v>6514.8481179999999</v>
      </c>
      <c r="K34" s="542">
        <v>248.785494</v>
      </c>
      <c r="L34" s="542">
        <v>6266.0626240000001</v>
      </c>
      <c r="M34" s="542">
        <v>60881.507898000003</v>
      </c>
      <c r="N34" s="542">
        <v>60881.507898000003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153202.465264</v>
      </c>
      <c r="H35" s="546">
        <v>12.005703550612921</v>
      </c>
      <c r="I35" s="535">
        <v>7.4752501822572981</v>
      </c>
      <c r="J35" s="536">
        <v>28235.892093999999</v>
      </c>
      <c r="K35" s="536">
        <v>238.33732000000001</v>
      </c>
      <c r="L35" s="536">
        <v>27997.554774</v>
      </c>
      <c r="M35" s="536">
        <v>124966.57317</v>
      </c>
      <c r="N35" s="536">
        <v>124966.57317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42431.962704000005</v>
      </c>
      <c r="H36" s="552">
        <v>3.3251786413295683</v>
      </c>
      <c r="I36" s="386">
        <v>4.2374643916720744</v>
      </c>
      <c r="J36" s="542">
        <v>28090.402727000001</v>
      </c>
      <c r="K36" s="542">
        <v>92.847953000000004</v>
      </c>
      <c r="L36" s="559">
        <v>27997.554774</v>
      </c>
      <c r="M36" s="542">
        <v>14341.559977000001</v>
      </c>
      <c r="N36" s="542">
        <v>14341.559977000001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21463.075519999999</v>
      </c>
      <c r="H37" s="552">
        <v>1.6819528428181734</v>
      </c>
      <c r="I37" s="386">
        <v>6.5788952029523395</v>
      </c>
      <c r="J37" s="542">
        <v>22.495818</v>
      </c>
      <c r="K37" s="542">
        <v>22.495818</v>
      </c>
      <c r="L37" s="542">
        <v>0</v>
      </c>
      <c r="M37" s="542">
        <v>21440.579701999999</v>
      </c>
      <c r="N37" s="542">
        <v>21440.579701999999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89307.42704000001</v>
      </c>
      <c r="H38" s="552">
        <v>6.9985720664651812</v>
      </c>
      <c r="I38" s="386">
        <v>9.3093847855890921</v>
      </c>
      <c r="J38" s="542">
        <v>122.993549</v>
      </c>
      <c r="K38" s="542">
        <v>122.993549</v>
      </c>
      <c r="L38" s="542">
        <v>0</v>
      </c>
      <c r="M38" s="542">
        <v>89184.433491000003</v>
      </c>
      <c r="N38" s="542">
        <v>89184.433491000003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32655.571004000001</v>
      </c>
      <c r="H39" s="546">
        <v>2.5590521932817816</v>
      </c>
      <c r="I39" s="535">
        <v>9.3168100589042133</v>
      </c>
      <c r="J39" s="536">
        <v>882.37000699999999</v>
      </c>
      <c r="K39" s="536">
        <v>882.37000699999999</v>
      </c>
      <c r="L39" s="542">
        <v>0</v>
      </c>
      <c r="M39" s="536">
        <v>31773.200997</v>
      </c>
      <c r="N39" s="536">
        <v>31773.200997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364.050839</v>
      </c>
      <c r="H40" s="546">
        <v>2.8528825843985625E-2</v>
      </c>
      <c r="I40" s="535">
        <v>-3.3633049385797698</v>
      </c>
      <c r="J40" s="536">
        <v>364.050839</v>
      </c>
      <c r="K40" s="536">
        <v>0</v>
      </c>
      <c r="L40" s="536">
        <v>364.050839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82954.446781000006</v>
      </c>
      <c r="H42" s="546">
        <v>6.5007210852749147</v>
      </c>
      <c r="I42" s="535">
        <v>-4.7256583434588944</v>
      </c>
      <c r="J42" s="536">
        <v>18569.971062000001</v>
      </c>
      <c r="K42" s="536">
        <v>18569.971062000001</v>
      </c>
      <c r="L42" s="536">
        <v>0</v>
      </c>
      <c r="M42" s="536">
        <v>64384.475719000002</v>
      </c>
      <c r="N42" s="536">
        <v>0</v>
      </c>
      <c r="O42" s="536">
        <v>64384.475719000002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Q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W34" sqref="W34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6384" width="8.875" style="518"/>
  </cols>
  <sheetData>
    <row r="1" spans="1:17" s="374" customFormat="1" ht="34.5" customHeight="1" x14ac:dyDescent="0.25">
      <c r="A1" s="715" t="s">
        <v>668</v>
      </c>
      <c r="B1" s="716"/>
      <c r="C1" s="716"/>
      <c r="D1" s="716"/>
      <c r="E1" s="716"/>
      <c r="F1" s="716"/>
      <c r="G1" s="716"/>
      <c r="H1" s="716"/>
      <c r="I1" s="716"/>
      <c r="J1" s="717" t="s">
        <v>475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371</v>
      </c>
      <c r="H3" s="663"/>
      <c r="I3" s="664"/>
      <c r="J3" s="662" t="s">
        <v>371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2018</v>
      </c>
      <c r="H4" s="665"/>
      <c r="I4" s="666"/>
      <c r="J4" s="665">
        <v>2018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1359366.8528749999</v>
      </c>
      <c r="H9" s="535">
        <v>100</v>
      </c>
      <c r="I9" s="535">
        <v>6.5267156375313329</v>
      </c>
      <c r="J9" s="536">
        <v>766861.31532599998</v>
      </c>
      <c r="K9" s="536">
        <v>128579.14178399998</v>
      </c>
      <c r="L9" s="536">
        <v>638282.173542</v>
      </c>
      <c r="M9" s="536">
        <v>592505.537549</v>
      </c>
      <c r="N9" s="536">
        <v>509580.99535099999</v>
      </c>
      <c r="O9" s="536">
        <v>73477.505974</v>
      </c>
      <c r="P9" s="536">
        <v>9447.0362239999995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56.4131245148521</v>
      </c>
      <c r="K10" s="538">
        <v>9.4587521765784466</v>
      </c>
      <c r="L10" s="538">
        <v>46.95437233827365</v>
      </c>
      <c r="M10" s="538">
        <v>43.586875485147914</v>
      </c>
      <c r="N10" s="538">
        <v>37.486642717031025</v>
      </c>
      <c r="O10" s="538">
        <v>5.4052742141386165</v>
      </c>
      <c r="P10" s="538">
        <v>0.69495855397826878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75734.182126</v>
      </c>
      <c r="H12" s="87">
        <v>5.5712835696872851</v>
      </c>
      <c r="I12" s="535">
        <v>1.1751364985854051</v>
      </c>
      <c r="J12" s="536">
        <v>64860.621862999993</v>
      </c>
      <c r="K12" s="536">
        <v>59191.415287999997</v>
      </c>
      <c r="L12" s="536">
        <v>5669.2065749999992</v>
      </c>
      <c r="M12" s="536">
        <v>10873.560262999999</v>
      </c>
      <c r="N12" s="536">
        <v>0</v>
      </c>
      <c r="O12" s="536">
        <v>1426.5240389999999</v>
      </c>
      <c r="P12" s="544">
        <v>9447.0362239999995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1188504.761226</v>
      </c>
      <c r="H14" s="546">
        <v>87.430759306243615</v>
      </c>
      <c r="I14" s="535">
        <v>6.2804998054999839</v>
      </c>
      <c r="J14" s="536">
        <v>678923.76587500004</v>
      </c>
      <c r="K14" s="536">
        <v>46310.798907999997</v>
      </c>
      <c r="L14" s="536">
        <v>632612.96696700004</v>
      </c>
      <c r="M14" s="536">
        <v>509580.99535099999</v>
      </c>
      <c r="N14" s="536">
        <v>509580.99535099999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558463.38602399989</v>
      </c>
      <c r="H15" s="546">
        <v>41.08261024924029</v>
      </c>
      <c r="I15" s="535">
        <v>5.2500207965639811</v>
      </c>
      <c r="J15" s="536">
        <v>438522.70297699992</v>
      </c>
      <c r="K15" s="536">
        <v>13105.156888999998</v>
      </c>
      <c r="L15" s="536">
        <v>425417.54608799994</v>
      </c>
      <c r="M15" s="536">
        <v>119940.683047</v>
      </c>
      <c r="N15" s="536">
        <v>119940.683047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250178.70914799999</v>
      </c>
      <c r="H16" s="552">
        <v>18.404061318611912</v>
      </c>
      <c r="I16" s="386">
        <v>3.8041260105443842</v>
      </c>
      <c r="J16" s="542">
        <v>182758.66415199998</v>
      </c>
      <c r="K16" s="542">
        <v>4356.310015</v>
      </c>
      <c r="L16" s="542">
        <v>178402.35413699999</v>
      </c>
      <c r="M16" s="542">
        <v>67420.044995999997</v>
      </c>
      <c r="N16" s="542">
        <v>67420.044995999997</v>
      </c>
      <c r="O16" s="542">
        <v>0</v>
      </c>
      <c r="P16" s="536">
        <v>0</v>
      </c>
    </row>
    <row r="17" spans="1:1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308284.67687600001</v>
      </c>
      <c r="H17" s="552">
        <v>22.678548930628384</v>
      </c>
      <c r="I17" s="386">
        <v>6.4533369970169785</v>
      </c>
      <c r="J17" s="542">
        <v>255764.038825</v>
      </c>
      <c r="K17" s="542">
        <v>8748.8468739999989</v>
      </c>
      <c r="L17" s="542">
        <v>247015.19195099999</v>
      </c>
      <c r="M17" s="542">
        <v>52520.638051000002</v>
      </c>
      <c r="N17" s="542">
        <v>52520.638051000002</v>
      </c>
      <c r="O17" s="542">
        <v>0</v>
      </c>
      <c r="P17" s="536">
        <v>0</v>
      </c>
    </row>
    <row r="18" spans="1:1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126025.651367</v>
      </c>
      <c r="H18" s="552">
        <v>9.2709080775701871</v>
      </c>
      <c r="I18" s="386">
        <v>7.8199584905078945</v>
      </c>
      <c r="J18" s="542">
        <v>103856.40088099999</v>
      </c>
      <c r="K18" s="542">
        <v>188.73</v>
      </c>
      <c r="L18" s="542">
        <v>103667.670881</v>
      </c>
      <c r="M18" s="542">
        <v>22169.250486000001</v>
      </c>
      <c r="N18" s="542">
        <v>22169.250486000001</v>
      </c>
      <c r="O18" s="542">
        <v>0</v>
      </c>
      <c r="P18" s="536">
        <v>0</v>
      </c>
    </row>
    <row r="19" spans="1:1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182259.025509</v>
      </c>
      <c r="H19" s="552">
        <v>13.407640853058197</v>
      </c>
      <c r="I19" s="386">
        <v>5.528450255609263</v>
      </c>
      <c r="J19" s="542">
        <v>151907.63794399999</v>
      </c>
      <c r="K19" s="542">
        <v>8560.1168739999994</v>
      </c>
      <c r="L19" s="542">
        <v>143347.52106999999</v>
      </c>
      <c r="M19" s="542">
        <v>30351.387565000001</v>
      </c>
      <c r="N19" s="542">
        <v>30351.387565000001</v>
      </c>
      <c r="O19" s="542">
        <v>0</v>
      </c>
      <c r="P19" s="536">
        <v>0</v>
      </c>
    </row>
    <row r="20" spans="1:1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282664.88680199999</v>
      </c>
      <c r="H20" s="546">
        <v>20.793863422826327</v>
      </c>
      <c r="I20" s="535">
        <v>6.0553676588364747</v>
      </c>
      <c r="J20" s="536">
        <v>160991.82994900001</v>
      </c>
      <c r="K20" s="536">
        <v>2904.8067770000002</v>
      </c>
      <c r="L20" s="536">
        <v>158087.02317200002</v>
      </c>
      <c r="M20" s="536">
        <v>121673.056853</v>
      </c>
      <c r="N20" s="536">
        <v>121673.056853</v>
      </c>
      <c r="O20" s="536">
        <v>0</v>
      </c>
      <c r="P20" s="536">
        <v>0</v>
      </c>
    </row>
    <row r="21" spans="1:1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132686.62722200001</v>
      </c>
      <c r="H21" s="552">
        <v>9.7609138358327456</v>
      </c>
      <c r="I21" s="386">
        <v>2.9346042692177887</v>
      </c>
      <c r="J21" s="542">
        <v>105673.91433700001</v>
      </c>
      <c r="K21" s="542">
        <v>2828.8530770000002</v>
      </c>
      <c r="L21" s="542">
        <v>102845.06126</v>
      </c>
      <c r="M21" s="542">
        <v>27012.712885000001</v>
      </c>
      <c r="N21" s="542">
        <v>27012.712885000001</v>
      </c>
      <c r="O21" s="542">
        <v>0</v>
      </c>
      <c r="P21" s="536">
        <v>0</v>
      </c>
    </row>
    <row r="22" spans="1:1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20015.188086000002</v>
      </c>
      <c r="H22" s="552">
        <v>1.4723904767626765</v>
      </c>
      <c r="I22" s="386">
        <v>-3.2951605743228973</v>
      </c>
      <c r="J22" s="542">
        <v>15851.675099</v>
      </c>
      <c r="K22" s="542">
        <v>0</v>
      </c>
      <c r="L22" s="574">
        <v>15851.675099</v>
      </c>
      <c r="M22" s="542">
        <v>4163.5129870000001</v>
      </c>
      <c r="N22" s="556">
        <v>4163.5129870000001</v>
      </c>
      <c r="O22" s="542">
        <v>0</v>
      </c>
      <c r="P22" s="536">
        <v>0</v>
      </c>
    </row>
    <row r="23" spans="1:1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112671.439136</v>
      </c>
      <c r="H23" s="552">
        <v>8.2885233590700675</v>
      </c>
      <c r="I23" s="386">
        <v>4.1262010002002469</v>
      </c>
      <c r="J23" s="542">
        <v>89822.239238000009</v>
      </c>
      <c r="K23" s="542">
        <v>2828.8530770000002</v>
      </c>
      <c r="L23" s="542">
        <v>86993.386161000002</v>
      </c>
      <c r="M23" s="542">
        <v>22849.199897999999</v>
      </c>
      <c r="N23" s="542">
        <v>22849.199897999999</v>
      </c>
      <c r="O23" s="542">
        <v>0</v>
      </c>
      <c r="P23" s="536">
        <v>0</v>
      </c>
    </row>
    <row r="24" spans="1:1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25838.333129999999</v>
      </c>
      <c r="H24" s="552">
        <v>1.90076233471142</v>
      </c>
      <c r="I24" s="386">
        <v>3.9822835996064621</v>
      </c>
      <c r="J24" s="542">
        <v>18947.905739999998</v>
      </c>
      <c r="K24" s="542">
        <v>0</v>
      </c>
      <c r="L24" s="542">
        <v>18947.905739999998</v>
      </c>
      <c r="M24" s="542">
        <v>6890.4273899999998</v>
      </c>
      <c r="N24" s="542">
        <v>6890.4273899999998</v>
      </c>
      <c r="O24" s="542">
        <v>0</v>
      </c>
      <c r="P24" s="536">
        <v>0</v>
      </c>
    </row>
    <row r="25" spans="1:1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8116.2004479999996</v>
      </c>
      <c r="H25" s="552">
        <v>0.5970574043963629</v>
      </c>
      <c r="I25" s="386">
        <v>2.6017693727372837</v>
      </c>
      <c r="J25" s="542">
        <v>5951.8158649999996</v>
      </c>
      <c r="K25" s="542">
        <v>0</v>
      </c>
      <c r="L25" s="556">
        <v>5951.8158649999996</v>
      </c>
      <c r="M25" s="542">
        <v>2164.384583</v>
      </c>
      <c r="N25" s="556">
        <v>2164.384583</v>
      </c>
      <c r="O25" s="542">
        <v>0</v>
      </c>
      <c r="P25" s="536">
        <v>0</v>
      </c>
    </row>
    <row r="26" spans="1:1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17722.132681999999</v>
      </c>
      <c r="H26" s="552">
        <v>1.303704930315057</v>
      </c>
      <c r="I26" s="386">
        <v>4.6269968211723578</v>
      </c>
      <c r="J26" s="542">
        <v>12996.089875</v>
      </c>
      <c r="K26" s="542">
        <v>0</v>
      </c>
      <c r="L26" s="542">
        <v>12996.089875</v>
      </c>
      <c r="M26" s="542">
        <v>4726.0428069999998</v>
      </c>
      <c r="N26" s="542">
        <v>4726.0428069999998</v>
      </c>
      <c r="O26" s="542">
        <v>0</v>
      </c>
      <c r="P26" s="536">
        <v>0</v>
      </c>
    </row>
    <row r="27" spans="1:1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124139.92645</v>
      </c>
      <c r="H27" s="552">
        <v>9.1321872522821668</v>
      </c>
      <c r="I27" s="386">
        <v>10.079302457541516</v>
      </c>
      <c r="J27" s="542">
        <v>36370.009872000002</v>
      </c>
      <c r="K27" s="542">
        <v>75.953699999999998</v>
      </c>
      <c r="L27" s="542">
        <v>36294.056172000004</v>
      </c>
      <c r="M27" s="542">
        <v>87769.916578000004</v>
      </c>
      <c r="N27" s="542">
        <v>87769.916578000004</v>
      </c>
      <c r="O27" s="542">
        <v>0</v>
      </c>
      <c r="P27" s="536">
        <v>0</v>
      </c>
    </row>
    <row r="28" spans="1:1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4.897456</v>
      </c>
      <c r="H28" s="552">
        <v>3.6027478451766719E-4</v>
      </c>
      <c r="I28" s="386">
        <v>-5.8920647706685703</v>
      </c>
      <c r="J28" s="542">
        <v>1.432717</v>
      </c>
      <c r="K28" s="542">
        <v>0</v>
      </c>
      <c r="L28" s="542">
        <v>1.432717</v>
      </c>
      <c r="M28" s="542">
        <v>3.4647389999999998</v>
      </c>
      <c r="N28" s="556">
        <v>3.4647389999999998</v>
      </c>
      <c r="O28" s="542">
        <v>0</v>
      </c>
      <c r="P28" s="536">
        <v>0</v>
      </c>
    </row>
    <row r="29" spans="1:1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124135.02899399999</v>
      </c>
      <c r="H29" s="552">
        <v>9.1318269774976475</v>
      </c>
      <c r="I29" s="386">
        <v>10.080039513769457</v>
      </c>
      <c r="J29" s="542">
        <v>36368.577154999999</v>
      </c>
      <c r="K29" s="542">
        <v>75.953699999999998</v>
      </c>
      <c r="L29" s="542">
        <v>36292.623455000001</v>
      </c>
      <c r="M29" s="542">
        <v>87766.451839000001</v>
      </c>
      <c r="N29" s="542">
        <v>87766.451839000001</v>
      </c>
      <c r="O29" s="542">
        <v>0</v>
      </c>
      <c r="P29" s="536">
        <v>0</v>
      </c>
    </row>
    <row r="30" spans="1:1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150539.30519099999</v>
      </c>
      <c r="H30" s="546">
        <v>11.074222155161142</v>
      </c>
      <c r="I30" s="535">
        <v>11.578855840935054</v>
      </c>
      <c r="J30" s="536">
        <v>48415.646102999999</v>
      </c>
      <c r="K30" s="536">
        <v>29368.807638999999</v>
      </c>
      <c r="L30" s="536">
        <v>19046.838464</v>
      </c>
      <c r="M30" s="536">
        <v>102123.65908799999</v>
      </c>
      <c r="N30" s="536">
        <v>102123.65908799999</v>
      </c>
      <c r="O30" s="536">
        <v>0</v>
      </c>
      <c r="P30" s="536">
        <v>0</v>
      </c>
    </row>
    <row r="31" spans="1:1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8525.9293179999986</v>
      </c>
      <c r="H31" s="552">
        <v>0.6271985593857935</v>
      </c>
      <c r="I31" s="386">
        <v>1.763587959960522</v>
      </c>
      <c r="J31" s="542">
        <v>8290.3330719999994</v>
      </c>
      <c r="K31" s="542">
        <v>0</v>
      </c>
      <c r="L31" s="542">
        <v>8290.3330719999994</v>
      </c>
      <c r="M31" s="542">
        <v>235.59624600000001</v>
      </c>
      <c r="N31" s="542">
        <v>235.59624600000001</v>
      </c>
      <c r="O31" s="542">
        <v>0</v>
      </c>
      <c r="P31" s="536">
        <v>0</v>
      </c>
    </row>
    <row r="32" spans="1:1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68492.405628061839</v>
      </c>
      <c r="H32" s="552">
        <v>5.038551990818628</v>
      </c>
      <c r="I32" s="386">
        <v>22.805411883490546</v>
      </c>
      <c r="J32" s="542">
        <v>33175.448495999997</v>
      </c>
      <c r="K32" s="542">
        <v>29098.196513999999</v>
      </c>
      <c r="L32" s="542">
        <v>4077.2519820000002</v>
      </c>
      <c r="M32" s="542">
        <v>35316.957132061842</v>
      </c>
      <c r="N32" s="542">
        <v>35316.957132061842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3648.0175089999998</v>
      </c>
      <c r="H33" s="552">
        <v>0.26836151707573319</v>
      </c>
      <c r="I33" s="386">
        <v>8.2572640422421184</v>
      </c>
      <c r="J33" s="542">
        <v>0</v>
      </c>
      <c r="K33" s="542">
        <v>0</v>
      </c>
      <c r="L33" s="542">
        <v>0</v>
      </c>
      <c r="M33" s="542">
        <v>3648.0175089999998</v>
      </c>
      <c r="N33" s="542">
        <v>3648.0175089999998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69872.952736000007</v>
      </c>
      <c r="H34" s="552">
        <v>5.1401100878855361</v>
      </c>
      <c r="I34" s="386">
        <v>3.6746745171386541</v>
      </c>
      <c r="J34" s="542">
        <v>6949.8645350000006</v>
      </c>
      <c r="K34" s="542">
        <v>270.61112500000002</v>
      </c>
      <c r="L34" s="542">
        <v>6679.2534100000003</v>
      </c>
      <c r="M34" s="542">
        <v>62923.088200999999</v>
      </c>
      <c r="N34" s="542">
        <v>62923.088200999999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163516.97877900003</v>
      </c>
      <c r="H35" s="546">
        <v>12.028907313222252</v>
      </c>
      <c r="I35" s="535">
        <v>6.7326028319622422</v>
      </c>
      <c r="J35" s="536">
        <v>29931.509561000003</v>
      </c>
      <c r="K35" s="536">
        <v>134.790086</v>
      </c>
      <c r="L35" s="536">
        <v>29796.719475000002</v>
      </c>
      <c r="M35" s="536">
        <v>133585.46921800001</v>
      </c>
      <c r="N35" s="536">
        <v>133585.46921800001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44907.456923000005</v>
      </c>
      <c r="H36" s="552">
        <v>3.3035568601678604</v>
      </c>
      <c r="I36" s="386">
        <v>5.8340318506328259</v>
      </c>
      <c r="J36" s="542">
        <v>29863.881476000002</v>
      </c>
      <c r="K36" s="542">
        <v>67.162001000000004</v>
      </c>
      <c r="L36" s="559">
        <v>29796.719475000002</v>
      </c>
      <c r="M36" s="542">
        <v>15043.575446999999</v>
      </c>
      <c r="N36" s="542">
        <v>15043.575446999999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22081.878713999999</v>
      </c>
      <c r="H37" s="552">
        <v>1.6244238019558752</v>
      </c>
      <c r="I37" s="386">
        <v>2.8831058877064386</v>
      </c>
      <c r="J37" s="542">
        <v>2.8260580000000002</v>
      </c>
      <c r="K37" s="542">
        <v>2.8260580000000002</v>
      </c>
      <c r="L37" s="542">
        <v>0</v>
      </c>
      <c r="M37" s="542">
        <v>22079.052656</v>
      </c>
      <c r="N37" s="542">
        <v>22079.052656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96527.643142000001</v>
      </c>
      <c r="H38" s="552">
        <v>7.1009266510985141</v>
      </c>
      <c r="I38" s="386">
        <v>8.0846759797100773</v>
      </c>
      <c r="J38" s="542">
        <v>64.802026999999995</v>
      </c>
      <c r="K38" s="542">
        <v>64.802026999999995</v>
      </c>
      <c r="L38" s="542">
        <v>0</v>
      </c>
      <c r="M38" s="542">
        <v>96462.841115000003</v>
      </c>
      <c r="N38" s="542">
        <v>96462.841115000003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33055.364662</v>
      </c>
      <c r="H39" s="546">
        <v>2.431673583336933</v>
      </c>
      <c r="I39" s="535">
        <v>1.2242739774815936</v>
      </c>
      <c r="J39" s="536">
        <v>797.23751700000003</v>
      </c>
      <c r="K39" s="536">
        <v>797.23751700000003</v>
      </c>
      <c r="L39" s="542">
        <v>0</v>
      </c>
      <c r="M39" s="536">
        <v>32258.127144999999</v>
      </c>
      <c r="N39" s="536">
        <v>32258.127144999999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264.83976799999999</v>
      </c>
      <c r="H40" s="546">
        <v>1.9482582456669131E-2</v>
      </c>
      <c r="I40" s="535">
        <v>-27.251982517749397</v>
      </c>
      <c r="J40" s="536">
        <v>264.83976799999999</v>
      </c>
      <c r="K40" s="536">
        <v>0</v>
      </c>
      <c r="L40" s="536">
        <v>264.83976799999999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95127.909523000009</v>
      </c>
      <c r="H42" s="546">
        <v>6.997957124069103</v>
      </c>
      <c r="I42" s="535">
        <v>14.674876651444603</v>
      </c>
      <c r="J42" s="536">
        <v>23076.927587999999</v>
      </c>
      <c r="K42" s="536">
        <v>23076.927587999999</v>
      </c>
      <c r="L42" s="536">
        <v>0</v>
      </c>
      <c r="M42" s="536">
        <v>72050.981935000003</v>
      </c>
      <c r="N42" s="536">
        <v>0</v>
      </c>
      <c r="O42" s="536">
        <v>72050.981935000003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Q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R16" sqref="R16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6384" width="8.875" style="518"/>
  </cols>
  <sheetData>
    <row r="1" spans="1:17" s="374" customFormat="1" ht="34.5" customHeight="1" x14ac:dyDescent="0.25">
      <c r="A1" s="715" t="s">
        <v>667</v>
      </c>
      <c r="B1" s="716"/>
      <c r="C1" s="716"/>
      <c r="D1" s="716"/>
      <c r="E1" s="716"/>
      <c r="F1" s="716"/>
      <c r="G1" s="716"/>
      <c r="H1" s="716"/>
      <c r="I1" s="716"/>
      <c r="J1" s="717" t="s">
        <v>476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381</v>
      </c>
      <c r="H3" s="663"/>
      <c r="I3" s="664"/>
      <c r="J3" s="662" t="s">
        <v>381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2019</v>
      </c>
      <c r="H4" s="665"/>
      <c r="I4" s="666"/>
      <c r="J4" s="665">
        <v>2019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1421046.180867</v>
      </c>
      <c r="H9" s="535">
        <v>100</v>
      </c>
      <c r="I9" s="535">
        <v>4.5373570689583254</v>
      </c>
      <c r="J9" s="536">
        <v>803175.11991899996</v>
      </c>
      <c r="K9" s="536">
        <v>141208.89129200001</v>
      </c>
      <c r="L9" s="536">
        <v>661966.22862699989</v>
      </c>
      <c r="M9" s="536">
        <v>617871.06094799994</v>
      </c>
      <c r="N9" s="536">
        <v>539543.48336099996</v>
      </c>
      <c r="O9" s="536">
        <v>67954.721680999995</v>
      </c>
      <c r="P9" s="536">
        <v>10372.855906000001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56.519987227225201</v>
      </c>
      <c r="K10" s="538">
        <v>9.9369670875753329</v>
      </c>
      <c r="L10" s="538">
        <v>46.583020139649868</v>
      </c>
      <c r="M10" s="538">
        <v>43.480012772774792</v>
      </c>
      <c r="N10" s="538">
        <v>37.968047106802466</v>
      </c>
      <c r="O10" s="538">
        <v>4.7820206405635517</v>
      </c>
      <c r="P10" s="538">
        <v>0.72994502540877149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72527.244716999994</v>
      </c>
      <c r="H12" s="87">
        <v>5.1037922407806695</v>
      </c>
      <c r="I12" s="535">
        <v>-4.2344649654558637</v>
      </c>
      <c r="J12" s="536">
        <v>60669.147586999999</v>
      </c>
      <c r="K12" s="536">
        <v>55084.749126000002</v>
      </c>
      <c r="L12" s="536">
        <v>5584.3984610000007</v>
      </c>
      <c r="M12" s="536">
        <v>11858.09713</v>
      </c>
      <c r="N12" s="536">
        <v>0</v>
      </c>
      <c r="O12" s="536">
        <v>1485.2412240000001</v>
      </c>
      <c r="P12" s="544">
        <v>10372.855906000001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1257847.7806209999</v>
      </c>
      <c r="H14" s="546">
        <v>88.515615998740415</v>
      </c>
      <c r="I14" s="535">
        <v>5.8344755239742696</v>
      </c>
      <c r="J14" s="536">
        <v>718304.2972599999</v>
      </c>
      <c r="K14" s="536">
        <v>61922.467094</v>
      </c>
      <c r="L14" s="536">
        <v>656381.83016599994</v>
      </c>
      <c r="M14" s="536">
        <v>539543.48336099996</v>
      </c>
      <c r="N14" s="536">
        <v>539543.48336099996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571156.15944999992</v>
      </c>
      <c r="H15" s="546">
        <v>40.192652929937125</v>
      </c>
      <c r="I15" s="535">
        <v>2.2728031494359424</v>
      </c>
      <c r="J15" s="536">
        <v>449855.21385399997</v>
      </c>
      <c r="K15" s="536">
        <v>13871.027255999999</v>
      </c>
      <c r="L15" s="536">
        <v>435984.186598</v>
      </c>
      <c r="M15" s="536">
        <v>121300.94559600001</v>
      </c>
      <c r="N15" s="536">
        <v>121300.94559600001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253426.879365</v>
      </c>
      <c r="H16" s="552">
        <v>17.833824317404009</v>
      </c>
      <c r="I16" s="386">
        <v>1.2983399858692568</v>
      </c>
      <c r="J16" s="542">
        <v>186373.50159699999</v>
      </c>
      <c r="K16" s="542">
        <v>4565.5129340000003</v>
      </c>
      <c r="L16" s="542">
        <v>181807.988663</v>
      </c>
      <c r="M16" s="542">
        <v>67053.377768000006</v>
      </c>
      <c r="N16" s="542">
        <v>67053.377768000006</v>
      </c>
      <c r="O16" s="542">
        <v>0</v>
      </c>
      <c r="P16" s="536">
        <v>0</v>
      </c>
    </row>
    <row r="17" spans="1:1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317729.28008499998</v>
      </c>
      <c r="H17" s="552">
        <v>22.35882861253312</v>
      </c>
      <c r="I17" s="386">
        <v>3.0635980045154332</v>
      </c>
      <c r="J17" s="542">
        <v>263481.71225699998</v>
      </c>
      <c r="K17" s="542">
        <v>9305.5143219999991</v>
      </c>
      <c r="L17" s="542">
        <v>254176.197935</v>
      </c>
      <c r="M17" s="542">
        <v>54247.567827999999</v>
      </c>
      <c r="N17" s="542">
        <v>54247.567827999999</v>
      </c>
      <c r="O17" s="542">
        <v>0</v>
      </c>
      <c r="P17" s="536">
        <v>0</v>
      </c>
    </row>
    <row r="18" spans="1:1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130912.92521099999</v>
      </c>
      <c r="H18" s="552">
        <v>9.212432852191208</v>
      </c>
      <c r="I18" s="386">
        <v>3.8779992731541091</v>
      </c>
      <c r="J18" s="542">
        <v>107828.58489099999</v>
      </c>
      <c r="K18" s="542">
        <v>212.22248400000001</v>
      </c>
      <c r="L18" s="542">
        <v>107616.36240699999</v>
      </c>
      <c r="M18" s="542">
        <v>23084.340319999999</v>
      </c>
      <c r="N18" s="542">
        <v>23084.340319999999</v>
      </c>
      <c r="O18" s="542">
        <v>0</v>
      </c>
      <c r="P18" s="536">
        <v>0</v>
      </c>
    </row>
    <row r="19" spans="1:1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186816.35487400001</v>
      </c>
      <c r="H19" s="552">
        <v>13.146395760341917</v>
      </c>
      <c r="I19" s="386">
        <v>2.5004684142651445</v>
      </c>
      <c r="J19" s="542">
        <v>155653.127366</v>
      </c>
      <c r="K19" s="542">
        <v>9093.2918379999992</v>
      </c>
      <c r="L19" s="542">
        <v>146559.835528</v>
      </c>
      <c r="M19" s="542">
        <v>31163.227508</v>
      </c>
      <c r="N19" s="542">
        <v>31163.227508</v>
      </c>
      <c r="O19" s="542">
        <v>0</v>
      </c>
      <c r="P19" s="536">
        <v>0</v>
      </c>
    </row>
    <row r="20" spans="1:1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296618.715402</v>
      </c>
      <c r="H20" s="546">
        <v>20.873263613504019</v>
      </c>
      <c r="I20" s="535">
        <v>4.9365270507667702</v>
      </c>
      <c r="J20" s="536">
        <v>169533.12938100001</v>
      </c>
      <c r="K20" s="536">
        <v>3190.8961850000001</v>
      </c>
      <c r="L20" s="536">
        <v>166342.23319600002</v>
      </c>
      <c r="M20" s="536">
        <v>127085.58602100001</v>
      </c>
      <c r="N20" s="536">
        <v>127085.58602100001</v>
      </c>
      <c r="O20" s="536">
        <v>0</v>
      </c>
      <c r="P20" s="536">
        <v>0</v>
      </c>
    </row>
    <row r="21" spans="1:1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141097.77901699999</v>
      </c>
      <c r="H21" s="552">
        <v>9.9291480401371821</v>
      </c>
      <c r="I21" s="386">
        <v>6.3391104070549265</v>
      </c>
      <c r="J21" s="542">
        <v>112373.560604</v>
      </c>
      <c r="K21" s="542">
        <v>3106.5491750000001</v>
      </c>
      <c r="L21" s="542">
        <v>109267.01142900001</v>
      </c>
      <c r="M21" s="542">
        <v>28724.218413000002</v>
      </c>
      <c r="N21" s="542">
        <v>28724.218413000002</v>
      </c>
      <c r="O21" s="542">
        <v>0</v>
      </c>
      <c r="P21" s="536">
        <v>0</v>
      </c>
    </row>
    <row r="22" spans="1:1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21747.453781999997</v>
      </c>
      <c r="H22" s="552">
        <v>1.5303833242584397</v>
      </c>
      <c r="I22" s="386">
        <v>8.6547560210621377</v>
      </c>
      <c r="J22" s="542">
        <v>17220.509474999999</v>
      </c>
      <c r="K22" s="542">
        <v>0</v>
      </c>
      <c r="L22" s="574">
        <v>17220.509474999999</v>
      </c>
      <c r="M22" s="542">
        <v>4526.9443069999998</v>
      </c>
      <c r="N22" s="556">
        <v>4526.9443069999998</v>
      </c>
      <c r="O22" s="542">
        <v>0</v>
      </c>
      <c r="P22" s="536">
        <v>0</v>
      </c>
    </row>
    <row r="23" spans="1:1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119350.325235</v>
      </c>
      <c r="H23" s="552">
        <v>8.3987647158787411</v>
      </c>
      <c r="I23" s="386">
        <v>5.9277543184109494</v>
      </c>
      <c r="J23" s="542">
        <v>95153.051128999999</v>
      </c>
      <c r="K23" s="542">
        <v>3106.5491750000001</v>
      </c>
      <c r="L23" s="542">
        <v>92046.501954000007</v>
      </c>
      <c r="M23" s="542">
        <v>24197.274106000001</v>
      </c>
      <c r="N23" s="542">
        <v>24197.274106000001</v>
      </c>
      <c r="O23" s="542">
        <v>0</v>
      </c>
      <c r="P23" s="536">
        <v>0</v>
      </c>
    </row>
    <row r="24" spans="1:1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26669.680777999998</v>
      </c>
      <c r="H24" s="552">
        <v>1.8767638333701764</v>
      </c>
      <c r="I24" s="386">
        <v>3.2174972116709499</v>
      </c>
      <c r="J24" s="542">
        <v>19134.946867999999</v>
      </c>
      <c r="K24" s="542">
        <v>0</v>
      </c>
      <c r="L24" s="542">
        <v>19134.946867999999</v>
      </c>
      <c r="M24" s="542">
        <v>7534.733909999999</v>
      </c>
      <c r="N24" s="542">
        <v>7534.733909999999</v>
      </c>
      <c r="O24" s="542">
        <v>0</v>
      </c>
      <c r="P24" s="536">
        <v>0</v>
      </c>
    </row>
    <row r="25" spans="1:1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9292.2615210000004</v>
      </c>
      <c r="H25" s="552">
        <v>0.65390285313111096</v>
      </c>
      <c r="I25" s="386">
        <v>14.490291122489541</v>
      </c>
      <c r="J25" s="542">
        <v>6667.0063270000001</v>
      </c>
      <c r="K25" s="542">
        <v>0</v>
      </c>
      <c r="L25" s="556">
        <v>6667.0063270000001</v>
      </c>
      <c r="M25" s="542">
        <v>2625.2551939999998</v>
      </c>
      <c r="N25" s="556">
        <v>2625.2551939999998</v>
      </c>
      <c r="O25" s="542">
        <v>0</v>
      </c>
      <c r="P25" s="536">
        <v>0</v>
      </c>
    </row>
    <row r="26" spans="1:1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17377.419257000001</v>
      </c>
      <c r="H26" s="552">
        <v>1.2228609802390655</v>
      </c>
      <c r="I26" s="386">
        <v>-1.9451012538130752</v>
      </c>
      <c r="J26" s="542">
        <v>12467.940541</v>
      </c>
      <c r="K26" s="542">
        <v>0</v>
      </c>
      <c r="L26" s="542">
        <v>12467.940541</v>
      </c>
      <c r="M26" s="542">
        <v>4909.4787159999996</v>
      </c>
      <c r="N26" s="542">
        <v>4909.4787159999996</v>
      </c>
      <c r="O26" s="542">
        <v>0</v>
      </c>
      <c r="P26" s="536">
        <v>0</v>
      </c>
    </row>
    <row r="27" spans="1:1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128851.255607</v>
      </c>
      <c r="H27" s="552">
        <v>9.0673517399966599</v>
      </c>
      <c r="I27" s="386">
        <v>3.7951763721219667</v>
      </c>
      <c r="J27" s="542">
        <v>38024.621909000001</v>
      </c>
      <c r="K27" s="542">
        <v>84.347009999999997</v>
      </c>
      <c r="L27" s="542">
        <v>37940.274899000004</v>
      </c>
      <c r="M27" s="542">
        <v>90826.633698000005</v>
      </c>
      <c r="N27" s="542">
        <v>90826.633698000005</v>
      </c>
      <c r="O27" s="542">
        <v>0</v>
      </c>
      <c r="P27" s="536">
        <v>0</v>
      </c>
    </row>
    <row r="28" spans="1:1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5.0094620000000001</v>
      </c>
      <c r="H28" s="552">
        <v>3.5251929651882656E-4</v>
      </c>
      <c r="I28" s="386">
        <v>2.2870241202779473</v>
      </c>
      <c r="J28" s="542">
        <v>1.476003</v>
      </c>
      <c r="K28" s="542">
        <v>0</v>
      </c>
      <c r="L28" s="542">
        <v>1.476003</v>
      </c>
      <c r="M28" s="542">
        <v>3.5334590000000001</v>
      </c>
      <c r="N28" s="556">
        <v>3.5334590000000001</v>
      </c>
      <c r="O28" s="542">
        <v>0</v>
      </c>
      <c r="P28" s="536">
        <v>0</v>
      </c>
    </row>
    <row r="29" spans="1:1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128846.24614500001</v>
      </c>
      <c r="H29" s="552">
        <v>9.06699922070014</v>
      </c>
      <c r="I29" s="386">
        <v>3.7952358727267432</v>
      </c>
      <c r="J29" s="542">
        <v>38023.145905999998</v>
      </c>
      <c r="K29" s="542">
        <v>84.347009999999997</v>
      </c>
      <c r="L29" s="542">
        <v>37938.798896</v>
      </c>
      <c r="M29" s="542">
        <v>90823.100239000007</v>
      </c>
      <c r="N29" s="542">
        <v>90823.100239000007</v>
      </c>
      <c r="O29" s="542">
        <v>0</v>
      </c>
      <c r="P29" s="536">
        <v>0</v>
      </c>
    </row>
    <row r="30" spans="1:1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175132.46830499999</v>
      </c>
      <c r="H30" s="546">
        <v>12.324192602815289</v>
      </c>
      <c r="I30" s="535">
        <v>16.336705608410295</v>
      </c>
      <c r="J30" s="536">
        <v>63476.954369999999</v>
      </c>
      <c r="K30" s="536">
        <v>43390.603228</v>
      </c>
      <c r="L30" s="536">
        <v>20086.351142</v>
      </c>
      <c r="M30" s="536">
        <v>111655.513935</v>
      </c>
      <c r="N30" s="536">
        <v>111655.513935</v>
      </c>
      <c r="O30" s="536">
        <v>0</v>
      </c>
      <c r="P30" s="536">
        <v>0</v>
      </c>
    </row>
    <row r="31" spans="1:1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8644.6665329999996</v>
      </c>
      <c r="H31" s="552">
        <v>0.60833114710781389</v>
      </c>
      <c r="I31" s="386">
        <v>1.392660091015796</v>
      </c>
      <c r="J31" s="542">
        <v>8434.1074929999995</v>
      </c>
      <c r="K31" s="542">
        <v>0</v>
      </c>
      <c r="L31" s="542">
        <v>8434.1074929999995</v>
      </c>
      <c r="M31" s="542">
        <v>210.55904000000001</v>
      </c>
      <c r="N31" s="542">
        <v>210.55904000000001</v>
      </c>
      <c r="O31" s="542">
        <v>0</v>
      </c>
      <c r="P31" s="536">
        <v>0</v>
      </c>
    </row>
    <row r="32" spans="1:1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90176.815523944621</v>
      </c>
      <c r="H32" s="552">
        <v>6.3458047133222992</v>
      </c>
      <c r="I32" s="386">
        <v>31.659582835558233</v>
      </c>
      <c r="J32" s="542">
        <v>47304.529725999993</v>
      </c>
      <c r="K32" s="542">
        <v>43102.835423999997</v>
      </c>
      <c r="L32" s="542">
        <v>4201.6943019999999</v>
      </c>
      <c r="M32" s="542">
        <v>42872.285797944627</v>
      </c>
      <c r="N32" s="542">
        <v>42872.285797944627</v>
      </c>
      <c r="O32" s="542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3881.2318610000002</v>
      </c>
      <c r="H33" s="552">
        <v>0.27312496337254899</v>
      </c>
      <c r="I33" s="386">
        <v>6.3929065972035071</v>
      </c>
      <c r="J33" s="542">
        <v>0</v>
      </c>
      <c r="K33" s="542">
        <v>0</v>
      </c>
      <c r="L33" s="542">
        <v>0</v>
      </c>
      <c r="M33" s="542">
        <v>3881.2318610000002</v>
      </c>
      <c r="N33" s="542">
        <v>3881.2318610000002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72429.754386999994</v>
      </c>
      <c r="H34" s="552">
        <v>5.0969317790087292</v>
      </c>
      <c r="I34" s="386">
        <v>3.6592151195617983</v>
      </c>
      <c r="J34" s="542">
        <v>7738.3171510000002</v>
      </c>
      <c r="K34" s="542">
        <v>287.76780400000001</v>
      </c>
      <c r="L34" s="542">
        <v>7450.5493470000001</v>
      </c>
      <c r="M34" s="542">
        <v>64691.437235999998</v>
      </c>
      <c r="N34" s="542">
        <v>64691.437235999998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177799.83144599997</v>
      </c>
      <c r="H35" s="546">
        <v>12.511896787022209</v>
      </c>
      <c r="I35" s="535">
        <v>8.7347826345934401</v>
      </c>
      <c r="J35" s="536">
        <v>34559.180909000002</v>
      </c>
      <c r="K35" s="536">
        <v>791.54144399999996</v>
      </c>
      <c r="L35" s="536">
        <v>33767.639465</v>
      </c>
      <c r="M35" s="536">
        <v>143240.65053699998</v>
      </c>
      <c r="N35" s="536">
        <v>143240.65053699998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49761.299953000002</v>
      </c>
      <c r="H36" s="552">
        <v>3.5017370035532513</v>
      </c>
      <c r="I36" s="386">
        <v>10.808545757384081</v>
      </c>
      <c r="J36" s="542">
        <v>33809.785931999999</v>
      </c>
      <c r="K36" s="542">
        <v>42.146467000000001</v>
      </c>
      <c r="L36" s="559">
        <v>33767.639465</v>
      </c>
      <c r="M36" s="542">
        <v>15951.514021000001</v>
      </c>
      <c r="N36" s="542">
        <v>15951.514021000001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22093.476854</v>
      </c>
      <c r="H37" s="552">
        <v>1.5547332065253829</v>
      </c>
      <c r="I37" s="386">
        <v>5.2523338934240549E-2</v>
      </c>
      <c r="J37" s="542">
        <v>4.3891140000000002</v>
      </c>
      <c r="K37" s="542">
        <v>4.3891140000000002</v>
      </c>
      <c r="L37" s="542">
        <v>0</v>
      </c>
      <c r="M37" s="542">
        <v>22089.087739999999</v>
      </c>
      <c r="N37" s="542">
        <v>22089.087739999999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105945.05463899999</v>
      </c>
      <c r="H38" s="552">
        <v>7.4554265769435757</v>
      </c>
      <c r="I38" s="386">
        <v>9.7561809140478175</v>
      </c>
      <c r="J38" s="542">
        <v>745.00586299999998</v>
      </c>
      <c r="K38" s="542">
        <v>745.00586299999998</v>
      </c>
      <c r="L38" s="542">
        <v>0</v>
      </c>
      <c r="M38" s="542">
        <v>105200.048776</v>
      </c>
      <c r="N38" s="542">
        <v>105200.048776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36939.186253</v>
      </c>
      <c r="H39" s="546">
        <v>2.5994360176572791</v>
      </c>
      <c r="I39" s="535">
        <v>11.7494440939107</v>
      </c>
      <c r="J39" s="536">
        <v>678.39898100000005</v>
      </c>
      <c r="K39" s="536">
        <v>678.39898100000005</v>
      </c>
      <c r="L39" s="542">
        <v>0</v>
      </c>
      <c r="M39" s="536">
        <v>36260.787272000001</v>
      </c>
      <c r="N39" s="536">
        <v>36260.787272000001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201.41976499999998</v>
      </c>
      <c r="H40" s="546">
        <v>1.4174047804492251E-2</v>
      </c>
      <c r="I40" s="535">
        <v>-23.946555866186991</v>
      </c>
      <c r="J40" s="536">
        <v>201.41976499999998</v>
      </c>
      <c r="K40" s="536">
        <v>0</v>
      </c>
      <c r="L40" s="536">
        <v>201.41976499999998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90671.155528999996</v>
      </c>
      <c r="H42" s="546">
        <v>6.3805917604789073</v>
      </c>
      <c r="I42" s="535">
        <v>-4.6850120183945183</v>
      </c>
      <c r="J42" s="536">
        <v>24201.675071999998</v>
      </c>
      <c r="K42" s="536">
        <v>24201.675071999998</v>
      </c>
      <c r="L42" s="536">
        <v>0</v>
      </c>
      <c r="M42" s="536">
        <v>66469.480456999998</v>
      </c>
      <c r="N42" s="536">
        <v>0</v>
      </c>
      <c r="O42" s="536">
        <v>66469.480456999998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P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S22" sqref="S22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6384" width="8.875" style="518"/>
  </cols>
  <sheetData>
    <row r="1" spans="1:16" s="374" customFormat="1" ht="34.5" customHeight="1" x14ac:dyDescent="0.25">
      <c r="A1" s="715" t="s">
        <v>666</v>
      </c>
      <c r="B1" s="716"/>
      <c r="C1" s="716"/>
      <c r="D1" s="716"/>
      <c r="E1" s="716"/>
      <c r="F1" s="716"/>
      <c r="G1" s="716"/>
      <c r="H1" s="716"/>
      <c r="I1" s="716"/>
      <c r="J1" s="717" t="s">
        <v>477</v>
      </c>
      <c r="K1" s="717"/>
      <c r="L1" s="717"/>
      <c r="M1" s="717"/>
      <c r="N1" s="717"/>
      <c r="O1" s="717"/>
      <c r="P1" s="717"/>
    </row>
    <row r="2" spans="1:16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6" ht="15.75" customHeight="1" x14ac:dyDescent="0.25">
      <c r="A3" s="718" t="s">
        <v>116</v>
      </c>
      <c r="B3" s="718"/>
      <c r="C3" s="718"/>
      <c r="D3" s="718"/>
      <c r="E3" s="718"/>
      <c r="F3" s="719"/>
      <c r="G3" s="683" t="s">
        <v>389</v>
      </c>
      <c r="H3" s="663"/>
      <c r="I3" s="664"/>
      <c r="J3" s="663" t="s">
        <v>389</v>
      </c>
      <c r="K3" s="663"/>
      <c r="L3" s="663"/>
      <c r="M3" s="663"/>
      <c r="N3" s="663"/>
      <c r="O3" s="663"/>
      <c r="P3" s="663"/>
    </row>
    <row r="4" spans="1:16" ht="15.75" customHeight="1" x14ac:dyDescent="0.25">
      <c r="A4" s="520"/>
      <c r="B4" s="520"/>
      <c r="C4" s="520"/>
      <c r="D4" s="520"/>
      <c r="E4" s="520"/>
      <c r="F4" s="521"/>
      <c r="G4" s="684">
        <v>2020</v>
      </c>
      <c r="H4" s="665"/>
      <c r="I4" s="666"/>
      <c r="J4" s="665">
        <v>2020</v>
      </c>
      <c r="K4" s="665"/>
      <c r="L4" s="665"/>
      <c r="M4" s="665"/>
      <c r="N4" s="665"/>
      <c r="O4" s="665"/>
      <c r="P4" s="665"/>
    </row>
    <row r="5" spans="1:16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6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6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6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6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1537092.261338</v>
      </c>
      <c r="H9" s="535">
        <v>100</v>
      </c>
      <c r="I9" s="535">
        <v>8.1662427325337674</v>
      </c>
      <c r="J9" s="536">
        <v>881584.73332500004</v>
      </c>
      <c r="K9" s="536">
        <v>180790.86321700001</v>
      </c>
      <c r="L9" s="536">
        <v>700793.870108</v>
      </c>
      <c r="M9" s="536">
        <v>655507.52801299992</v>
      </c>
      <c r="N9" s="536">
        <v>568136.33415499993</v>
      </c>
      <c r="O9" s="536">
        <v>76195.645946000004</v>
      </c>
      <c r="P9" s="536">
        <v>11175.547912</v>
      </c>
    </row>
    <row r="10" spans="1:16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57.354054502727301</v>
      </c>
      <c r="K10" s="538">
        <v>11.761874531827136</v>
      </c>
      <c r="L10" s="538">
        <v>45.592179970900162</v>
      </c>
      <c r="M10" s="538">
        <v>42.645945497272706</v>
      </c>
      <c r="N10" s="538">
        <v>36.961758799075056</v>
      </c>
      <c r="O10" s="538">
        <v>4.9571289806425556</v>
      </c>
      <c r="P10" s="538">
        <v>0.72705771755509119</v>
      </c>
    </row>
    <row r="11" spans="1:16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6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85375.022364000004</v>
      </c>
      <c r="H12" s="87">
        <v>5.5543199657828737</v>
      </c>
      <c r="I12" s="535">
        <v>17.714415730435928</v>
      </c>
      <c r="J12" s="536">
        <v>72653.113148999997</v>
      </c>
      <c r="K12" s="536">
        <v>66957.385553999993</v>
      </c>
      <c r="L12" s="536">
        <v>5695.7275950000003</v>
      </c>
      <c r="M12" s="536">
        <v>12721.909215</v>
      </c>
      <c r="N12" s="536">
        <v>0</v>
      </c>
      <c r="O12" s="536">
        <v>1546.3613029999999</v>
      </c>
      <c r="P12" s="536">
        <v>11175.547912</v>
      </c>
    </row>
    <row r="13" spans="1:16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6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1347927.452545</v>
      </c>
      <c r="H14" s="546">
        <v>87.693334125022744</v>
      </c>
      <c r="I14" s="535">
        <v>7.161412796668265</v>
      </c>
      <c r="J14" s="536">
        <v>779791.11839000008</v>
      </c>
      <c r="K14" s="536">
        <v>84692.975877000004</v>
      </c>
      <c r="L14" s="536">
        <v>695098.14251300006</v>
      </c>
      <c r="M14" s="536">
        <v>568136.33415499993</v>
      </c>
      <c r="N14" s="536">
        <v>568136.33415499993</v>
      </c>
      <c r="O14" s="536">
        <v>0</v>
      </c>
      <c r="P14" s="536">
        <v>0</v>
      </c>
    </row>
    <row r="15" spans="1:16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594738.65221900004</v>
      </c>
      <c r="H15" s="546">
        <v>38.692449840408088</v>
      </c>
      <c r="I15" s="535">
        <v>4.1289045699356652</v>
      </c>
      <c r="J15" s="536">
        <v>477750.05963800004</v>
      </c>
      <c r="K15" s="536">
        <v>16329.789130000001</v>
      </c>
      <c r="L15" s="536">
        <v>461420.27050800005</v>
      </c>
      <c r="M15" s="536">
        <v>116988.592581</v>
      </c>
      <c r="N15" s="536">
        <v>116988.592581</v>
      </c>
      <c r="O15" s="536">
        <v>0</v>
      </c>
      <c r="P15" s="536">
        <v>0</v>
      </c>
    </row>
    <row r="16" spans="1:16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272075.41406700003</v>
      </c>
      <c r="H16" s="552">
        <v>17.700656031549158</v>
      </c>
      <c r="I16" s="386">
        <v>7.3585464764932551</v>
      </c>
      <c r="J16" s="542">
        <v>205987.925904</v>
      </c>
      <c r="K16" s="542">
        <v>7626.3282209999998</v>
      </c>
      <c r="L16" s="542">
        <v>198361.597683</v>
      </c>
      <c r="M16" s="542">
        <v>66087.488163000002</v>
      </c>
      <c r="N16" s="542">
        <v>66087.488163000002</v>
      </c>
      <c r="O16" s="542">
        <v>0</v>
      </c>
      <c r="P16" s="536">
        <v>0</v>
      </c>
    </row>
    <row r="17" spans="1:1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322663.23815200001</v>
      </c>
      <c r="H17" s="552">
        <v>20.99179380885893</v>
      </c>
      <c r="I17" s="386">
        <v>1.5528811400951303</v>
      </c>
      <c r="J17" s="542">
        <v>271762.13373400003</v>
      </c>
      <c r="K17" s="542">
        <v>8703.4609090000013</v>
      </c>
      <c r="L17" s="542">
        <v>263058.67282500002</v>
      </c>
      <c r="M17" s="542">
        <v>50901.104418000003</v>
      </c>
      <c r="N17" s="542">
        <v>50901.104418000003</v>
      </c>
      <c r="O17" s="542">
        <v>0</v>
      </c>
      <c r="P17" s="536">
        <v>0</v>
      </c>
    </row>
    <row r="18" spans="1:1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137008.88206800001</v>
      </c>
      <c r="H18" s="552">
        <v>8.9135106274451754</v>
      </c>
      <c r="I18" s="386">
        <v>4.6564973223039763</v>
      </c>
      <c r="J18" s="542">
        <v>114747.147062</v>
      </c>
      <c r="K18" s="542">
        <v>238.648246</v>
      </c>
      <c r="L18" s="542">
        <v>114508.49881600001</v>
      </c>
      <c r="M18" s="542">
        <v>22261.735005999999</v>
      </c>
      <c r="N18" s="542">
        <v>22261.735005999999</v>
      </c>
      <c r="O18" s="542">
        <v>0</v>
      </c>
      <c r="P18" s="536">
        <v>0</v>
      </c>
    </row>
    <row r="19" spans="1:1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185654.356084</v>
      </c>
      <c r="H19" s="552">
        <v>12.078283181413754</v>
      </c>
      <c r="I19" s="386">
        <v>-0.6220005688386987</v>
      </c>
      <c r="J19" s="542">
        <v>157014.986672</v>
      </c>
      <c r="K19" s="542">
        <v>8464.8126630000006</v>
      </c>
      <c r="L19" s="542">
        <v>148550.17400900001</v>
      </c>
      <c r="M19" s="542">
        <v>28639.369412</v>
      </c>
      <c r="N19" s="542">
        <v>28639.369412</v>
      </c>
      <c r="O19" s="542">
        <v>0</v>
      </c>
      <c r="P19" s="536">
        <v>0</v>
      </c>
    </row>
    <row r="20" spans="1:1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301041.29384900001</v>
      </c>
      <c r="H20" s="546">
        <v>19.585115443034706</v>
      </c>
      <c r="I20" s="535">
        <v>1.4909977750413361</v>
      </c>
      <c r="J20" s="536">
        <v>176917.55755500001</v>
      </c>
      <c r="K20" s="536">
        <v>3982.9959360000003</v>
      </c>
      <c r="L20" s="536">
        <v>172934.56161900001</v>
      </c>
      <c r="M20" s="536">
        <v>124123.736294</v>
      </c>
      <c r="N20" s="536">
        <v>124123.736294</v>
      </c>
      <c r="O20" s="536">
        <v>0</v>
      </c>
      <c r="P20" s="536">
        <v>0</v>
      </c>
    </row>
    <row r="21" spans="1:1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141018.91632700001</v>
      </c>
      <c r="H21" s="552">
        <v>9.1743950492761321</v>
      </c>
      <c r="I21" s="386">
        <v>-5.5892226333686956E-2</v>
      </c>
      <c r="J21" s="542">
        <v>116612.438536</v>
      </c>
      <c r="K21" s="542">
        <v>3915.5807610000002</v>
      </c>
      <c r="L21" s="542">
        <v>112696.857775</v>
      </c>
      <c r="M21" s="542">
        <v>24406.477790999998</v>
      </c>
      <c r="N21" s="542">
        <v>24406.477790999998</v>
      </c>
      <c r="O21" s="542">
        <v>0</v>
      </c>
      <c r="P21" s="536">
        <v>0</v>
      </c>
    </row>
    <row r="22" spans="1:1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21941.167989000001</v>
      </c>
      <c r="H22" s="552">
        <v>1.4274463895811151</v>
      </c>
      <c r="I22" s="386">
        <v>0.89074430938824722</v>
      </c>
      <c r="J22" s="542">
        <v>18133.549829</v>
      </c>
      <c r="K22" s="542">
        <v>0</v>
      </c>
      <c r="L22" s="574">
        <v>18133.549829</v>
      </c>
      <c r="M22" s="542">
        <v>3807.61816</v>
      </c>
      <c r="N22" s="556">
        <v>3807.61816</v>
      </c>
      <c r="O22" s="542">
        <v>0</v>
      </c>
      <c r="P22" s="536">
        <v>0</v>
      </c>
    </row>
    <row r="23" spans="1:1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119077.748338</v>
      </c>
      <c r="H23" s="552">
        <v>7.7469486596950157</v>
      </c>
      <c r="I23" s="386">
        <v>-0.22838387449996</v>
      </c>
      <c r="J23" s="542">
        <v>98478.888707000006</v>
      </c>
      <c r="K23" s="542">
        <v>3915.5807610000002</v>
      </c>
      <c r="L23" s="542">
        <v>94563.307946000001</v>
      </c>
      <c r="M23" s="542">
        <v>20598.859630999999</v>
      </c>
      <c r="N23" s="542">
        <v>20598.859630999999</v>
      </c>
      <c r="O23" s="542">
        <v>0</v>
      </c>
      <c r="P23" s="536">
        <v>0</v>
      </c>
    </row>
    <row r="24" spans="1:1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27542.281077</v>
      </c>
      <c r="H24" s="552">
        <v>1.7918430643210148</v>
      </c>
      <c r="I24" s="386">
        <v>3.2718813032056149</v>
      </c>
      <c r="J24" s="542">
        <v>20418.303479000002</v>
      </c>
      <c r="K24" s="542">
        <v>0</v>
      </c>
      <c r="L24" s="542">
        <v>20418.303479000002</v>
      </c>
      <c r="M24" s="542">
        <v>7123.9775979999995</v>
      </c>
      <c r="N24" s="542">
        <v>7123.9775979999995</v>
      </c>
      <c r="O24" s="542">
        <v>0</v>
      </c>
      <c r="P24" s="536">
        <v>0</v>
      </c>
    </row>
    <row r="25" spans="1:1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9844.9305299999996</v>
      </c>
      <c r="H25" s="552">
        <v>0.64049054032906494</v>
      </c>
      <c r="I25" s="386">
        <v>5.9476265035265818</v>
      </c>
      <c r="J25" s="542">
        <v>7419.0946789999998</v>
      </c>
      <c r="K25" s="542">
        <v>0</v>
      </c>
      <c r="L25" s="556">
        <v>7419.0946789999998</v>
      </c>
      <c r="M25" s="542">
        <v>2425.8358509999998</v>
      </c>
      <c r="N25" s="556">
        <v>2425.8358509999998</v>
      </c>
      <c r="O25" s="542">
        <v>0</v>
      </c>
      <c r="P25" s="536">
        <v>0</v>
      </c>
    </row>
    <row r="26" spans="1:1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17697.350547000002</v>
      </c>
      <c r="H26" s="552">
        <v>1.15135252399195</v>
      </c>
      <c r="I26" s="386">
        <v>1.8410748182364545</v>
      </c>
      <c r="J26" s="542">
        <v>12999.2088</v>
      </c>
      <c r="K26" s="542">
        <v>0</v>
      </c>
      <c r="L26" s="542">
        <v>12999.2088</v>
      </c>
      <c r="M26" s="542">
        <v>4698.1417469999997</v>
      </c>
      <c r="N26" s="542">
        <v>4698.1417469999997</v>
      </c>
      <c r="O26" s="542">
        <v>0</v>
      </c>
      <c r="P26" s="536">
        <v>0</v>
      </c>
    </row>
    <row r="27" spans="1:1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132480.096445</v>
      </c>
      <c r="H27" s="552">
        <v>8.6188773294375594</v>
      </c>
      <c r="I27" s="386">
        <v>2.816302271099369</v>
      </c>
      <c r="J27" s="542">
        <v>39886.815540000003</v>
      </c>
      <c r="K27" s="542">
        <v>67.415175000000005</v>
      </c>
      <c r="L27" s="542">
        <v>39819.400365000001</v>
      </c>
      <c r="M27" s="542">
        <v>92593.280905000007</v>
      </c>
      <c r="N27" s="542">
        <v>92593.280905000007</v>
      </c>
      <c r="O27" s="542">
        <v>0</v>
      </c>
      <c r="P27" s="536">
        <v>0</v>
      </c>
    </row>
    <row r="28" spans="1:1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4.6880319999999998</v>
      </c>
      <c r="H28" s="552">
        <v>3.0499353343430317E-4</v>
      </c>
      <c r="I28" s="386">
        <v>-6.4164574958348926</v>
      </c>
      <c r="J28" s="542">
        <v>1.457905</v>
      </c>
      <c r="K28" s="542">
        <v>0</v>
      </c>
      <c r="L28" s="542">
        <v>1.457905</v>
      </c>
      <c r="M28" s="542">
        <v>3.230127</v>
      </c>
      <c r="N28" s="556">
        <v>3.230127</v>
      </c>
      <c r="O28" s="542">
        <v>0</v>
      </c>
      <c r="P28" s="536">
        <v>0</v>
      </c>
    </row>
    <row r="29" spans="1:1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132475.408413</v>
      </c>
      <c r="H29" s="552">
        <v>8.6185723359041244</v>
      </c>
      <c r="I29" s="386">
        <v>2.816661235062945</v>
      </c>
      <c r="J29" s="542">
        <v>39885.357635</v>
      </c>
      <c r="K29" s="542">
        <v>67.415175000000005</v>
      </c>
      <c r="L29" s="542">
        <v>39817.942459999998</v>
      </c>
      <c r="M29" s="542">
        <v>92590.050778000004</v>
      </c>
      <c r="N29" s="542">
        <v>92590.050778000004</v>
      </c>
      <c r="O29" s="542">
        <v>0</v>
      </c>
      <c r="P29" s="536">
        <v>0</v>
      </c>
    </row>
    <row r="30" spans="1:1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194970.50284500001</v>
      </c>
      <c r="H30" s="546">
        <v>12.684372158329854</v>
      </c>
      <c r="I30" s="535">
        <v>11.327445294410698</v>
      </c>
      <c r="J30" s="536">
        <v>76371.719868</v>
      </c>
      <c r="K30" s="536">
        <v>55122.017040999999</v>
      </c>
      <c r="L30" s="536">
        <v>21249.702827000001</v>
      </c>
      <c r="M30" s="536">
        <v>118598.782977</v>
      </c>
      <c r="N30" s="536">
        <v>118598.782977</v>
      </c>
      <c r="O30" s="536">
        <v>0</v>
      </c>
      <c r="P30" s="536">
        <v>0</v>
      </c>
    </row>
    <row r="31" spans="1:1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9425.0526219999992</v>
      </c>
      <c r="H31" s="552">
        <v>0.61317416391100221</v>
      </c>
      <c r="I31" s="386">
        <v>9.0273706454837566</v>
      </c>
      <c r="J31" s="542">
        <v>9108.5016599999999</v>
      </c>
      <c r="K31" s="542">
        <v>0</v>
      </c>
      <c r="L31" s="542">
        <v>9108.5016599999999</v>
      </c>
      <c r="M31" s="542">
        <v>316.55096200000003</v>
      </c>
      <c r="N31" s="542">
        <v>316.55096200000003</v>
      </c>
      <c r="O31" s="542">
        <v>0</v>
      </c>
      <c r="P31" s="536">
        <v>0</v>
      </c>
    </row>
    <row r="32" spans="1:1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110242.37346315304</v>
      </c>
      <c r="H32" s="552">
        <v>7.1721376937510462</v>
      </c>
      <c r="I32" s="386">
        <v>22.251348999877262</v>
      </c>
      <c r="J32" s="542">
        <v>59078.833364999999</v>
      </c>
      <c r="K32" s="542">
        <v>54801.288859</v>
      </c>
      <c r="L32" s="542">
        <v>4277.5445060000002</v>
      </c>
      <c r="M32" s="542">
        <v>51163.54009815304</v>
      </c>
      <c r="N32" s="542">
        <v>51163.54009815304</v>
      </c>
      <c r="O32" s="542">
        <v>0</v>
      </c>
      <c r="P32" s="536">
        <v>0</v>
      </c>
    </row>
    <row r="33" spans="1:16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3196.1060689999999</v>
      </c>
      <c r="H33" s="552">
        <v>0.20793196019462554</v>
      </c>
      <c r="I33" s="386">
        <v>-17.652276816656798</v>
      </c>
      <c r="J33" s="542">
        <v>0</v>
      </c>
      <c r="K33" s="542">
        <v>0</v>
      </c>
      <c r="L33" s="542">
        <v>0</v>
      </c>
      <c r="M33" s="542">
        <v>3196.1060689999999</v>
      </c>
      <c r="N33" s="542">
        <v>3196.1060689999999</v>
      </c>
      <c r="O33" s="542">
        <v>0</v>
      </c>
      <c r="P33" s="536">
        <v>0</v>
      </c>
    </row>
    <row r="34" spans="1:16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72106.970690999995</v>
      </c>
      <c r="H34" s="552">
        <v>4.6911283404831341</v>
      </c>
      <c r="I34" s="386">
        <v>-0.44565068421373866</v>
      </c>
      <c r="J34" s="542">
        <v>8184.3848429999998</v>
      </c>
      <c r="K34" s="542">
        <v>320.728182</v>
      </c>
      <c r="L34" s="542">
        <v>7863.656661</v>
      </c>
      <c r="M34" s="542">
        <v>63922.585848000002</v>
      </c>
      <c r="N34" s="542">
        <v>63922.585848000002</v>
      </c>
      <c r="O34" s="542">
        <v>0</v>
      </c>
      <c r="P34" s="536">
        <v>0</v>
      </c>
    </row>
    <row r="35" spans="1:16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223991.94356299998</v>
      </c>
      <c r="H35" s="546">
        <v>14.572446247827742</v>
      </c>
      <c r="I35" s="535">
        <v>25.979840217693972</v>
      </c>
      <c r="J35" s="536">
        <v>47647.796934999998</v>
      </c>
      <c r="K35" s="536">
        <v>8286.9810600000001</v>
      </c>
      <c r="L35" s="536">
        <v>39360.815875</v>
      </c>
      <c r="M35" s="536">
        <v>176344.14662799999</v>
      </c>
      <c r="N35" s="536">
        <v>176344.14662799999</v>
      </c>
      <c r="O35" s="536">
        <v>0</v>
      </c>
      <c r="P35" s="536">
        <v>0</v>
      </c>
    </row>
    <row r="36" spans="1:16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61072.679534000003</v>
      </c>
      <c r="H36" s="552">
        <v>3.9732604912627547</v>
      </c>
      <c r="I36" s="386">
        <v>22.731278306000256</v>
      </c>
      <c r="J36" s="542">
        <v>39399.891602000003</v>
      </c>
      <c r="K36" s="542">
        <v>39.075727000000001</v>
      </c>
      <c r="L36" s="559">
        <v>39360.815875</v>
      </c>
      <c r="M36" s="542">
        <v>21672.787931999999</v>
      </c>
      <c r="N36" s="542">
        <v>21672.787931999999</v>
      </c>
      <c r="O36" s="542">
        <v>0</v>
      </c>
      <c r="P36" s="536">
        <v>0</v>
      </c>
    </row>
    <row r="37" spans="1:16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21429.118943000001</v>
      </c>
      <c r="H37" s="552">
        <v>1.3941335521620866</v>
      </c>
      <c r="I37" s="386">
        <v>-3.0070319641868348</v>
      </c>
      <c r="J37" s="542">
        <v>2.7130800000000002</v>
      </c>
      <c r="K37" s="542">
        <v>2.7130800000000002</v>
      </c>
      <c r="L37" s="542">
        <v>0</v>
      </c>
      <c r="M37" s="542">
        <v>21426.405863</v>
      </c>
      <c r="N37" s="542">
        <v>21426.405863</v>
      </c>
      <c r="O37" s="542">
        <v>0</v>
      </c>
      <c r="P37" s="536">
        <v>0</v>
      </c>
    </row>
    <row r="38" spans="1:16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141490.14508599997</v>
      </c>
      <c r="H38" s="552">
        <v>9.2050522044029019</v>
      </c>
      <c r="I38" s="386">
        <v>33.550495177068207</v>
      </c>
      <c r="J38" s="542">
        <v>8245.1922529999993</v>
      </c>
      <c r="K38" s="542">
        <v>8245.1922529999993</v>
      </c>
      <c r="L38" s="542">
        <v>0</v>
      </c>
      <c r="M38" s="542">
        <v>133244.95283299999</v>
      </c>
      <c r="N38" s="542">
        <v>133244.95283299999</v>
      </c>
      <c r="O38" s="542">
        <v>0</v>
      </c>
      <c r="P38" s="536">
        <v>0</v>
      </c>
    </row>
    <row r="39" spans="1:16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33052.268385000003</v>
      </c>
      <c r="H39" s="546">
        <v>2.1503112868598295</v>
      </c>
      <c r="I39" s="535">
        <v>-10.522478327968908</v>
      </c>
      <c r="J39" s="536">
        <v>971.19271000000003</v>
      </c>
      <c r="K39" s="536">
        <v>971.19271000000003</v>
      </c>
      <c r="L39" s="542">
        <v>0</v>
      </c>
      <c r="M39" s="536">
        <v>32081.075675</v>
      </c>
      <c r="N39" s="536">
        <v>32081.075675</v>
      </c>
      <c r="O39" s="536">
        <v>0</v>
      </c>
      <c r="P39" s="536">
        <v>0</v>
      </c>
    </row>
    <row r="40" spans="1:16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132.791684</v>
      </c>
      <c r="H40" s="546">
        <v>8.6391485625207827E-3</v>
      </c>
      <c r="I40" s="535">
        <v>-34.072168140996482</v>
      </c>
      <c r="J40" s="536">
        <v>132.791684</v>
      </c>
      <c r="K40" s="536">
        <v>0</v>
      </c>
      <c r="L40" s="536">
        <v>132.791684</v>
      </c>
      <c r="M40" s="536">
        <v>0</v>
      </c>
      <c r="N40" s="536">
        <v>0</v>
      </c>
      <c r="O40" s="536">
        <v>0</v>
      </c>
      <c r="P40" s="536">
        <v>0</v>
      </c>
    </row>
    <row r="41" spans="1:16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6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103789.786429</v>
      </c>
      <c r="H42" s="546">
        <v>6.7523459091943909</v>
      </c>
      <c r="I42" s="535">
        <v>14.468361877007485</v>
      </c>
      <c r="J42" s="536">
        <v>29140.501786000001</v>
      </c>
      <c r="K42" s="536">
        <v>29140.501786000001</v>
      </c>
      <c r="L42" s="536">
        <v>0</v>
      </c>
      <c r="M42" s="536">
        <v>74649.284643000006</v>
      </c>
      <c r="N42" s="536">
        <v>0</v>
      </c>
      <c r="O42" s="536">
        <v>74649.284643000006</v>
      </c>
      <c r="P42" s="536">
        <v>0</v>
      </c>
    </row>
    <row r="43" spans="1:16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6" s="568" customFormat="1" ht="15.75" x14ac:dyDescent="0.25">
      <c r="A44" s="567" t="s">
        <v>96</v>
      </c>
      <c r="B44" s="372"/>
      <c r="J44" s="450" t="s">
        <v>310</v>
      </c>
      <c r="K44" s="372"/>
    </row>
    <row r="45" spans="1:16" s="568" customFormat="1" ht="15.75" x14ac:dyDescent="0.25">
      <c r="A45" s="569" t="s">
        <v>688</v>
      </c>
      <c r="J45" s="570" t="s">
        <v>559</v>
      </c>
      <c r="K45" s="569"/>
    </row>
    <row r="46" spans="1:16" s="568" customFormat="1" ht="15.75" x14ac:dyDescent="0.25">
      <c r="A46" s="372" t="s">
        <v>689</v>
      </c>
      <c r="B46" s="372"/>
      <c r="J46" s="450" t="s">
        <v>560</v>
      </c>
      <c r="K46" s="372"/>
    </row>
    <row r="47" spans="1:16" s="568" customFormat="1" ht="15.75" x14ac:dyDescent="0.25">
      <c r="A47" s="372" t="s">
        <v>570</v>
      </c>
      <c r="B47" s="372"/>
      <c r="J47" s="450" t="s">
        <v>561</v>
      </c>
      <c r="K47" s="372"/>
    </row>
    <row r="48" spans="1:16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R52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R21" sqref="R21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10" width="11.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4" style="518" bestFit="1" customWidth="1"/>
    <col min="19" max="16384" width="8.875" style="518"/>
  </cols>
  <sheetData>
    <row r="1" spans="1:17" s="374" customFormat="1" ht="34.5" customHeight="1" x14ac:dyDescent="0.25">
      <c r="A1" s="715" t="s">
        <v>665</v>
      </c>
      <c r="B1" s="716"/>
      <c r="C1" s="716"/>
      <c r="D1" s="716"/>
      <c r="E1" s="716"/>
      <c r="F1" s="716"/>
      <c r="G1" s="716"/>
      <c r="H1" s="716"/>
      <c r="I1" s="716"/>
      <c r="J1" s="717" t="s">
        <v>478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83" t="s">
        <v>399</v>
      </c>
      <c r="H3" s="663"/>
      <c r="I3" s="664"/>
      <c r="J3" s="663" t="s">
        <v>399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2021</v>
      </c>
      <c r="H4" s="665"/>
      <c r="I4" s="666"/>
      <c r="J4" s="665">
        <v>2021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1653437.0353399999</v>
      </c>
      <c r="H9" s="535">
        <v>100</v>
      </c>
      <c r="I9" s="535">
        <v>7.5691470790910653</v>
      </c>
      <c r="J9" s="536">
        <v>986200.68558000005</v>
      </c>
      <c r="K9" s="536">
        <v>253542.590173</v>
      </c>
      <c r="L9" s="536">
        <v>732658.09540700004</v>
      </c>
      <c r="M9" s="536">
        <v>667236.34976000001</v>
      </c>
      <c r="N9" s="536">
        <v>575667.72056500008</v>
      </c>
      <c r="O9" s="536">
        <v>79292.200799000013</v>
      </c>
      <c r="P9" s="536">
        <v>12276.428395999999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59.645493871328789</v>
      </c>
      <c r="K10" s="538">
        <v>15.334275497274286</v>
      </c>
      <c r="L10" s="538">
        <v>44.311218374054498</v>
      </c>
      <c r="M10" s="538">
        <v>40.354506128671218</v>
      </c>
      <c r="N10" s="538">
        <v>34.816428340533953</v>
      </c>
      <c r="O10" s="538">
        <v>4.7955984476115825</v>
      </c>
      <c r="P10" s="538">
        <v>0.74247934052569287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105888.07804099999</v>
      </c>
      <c r="H12" s="87">
        <v>6.4041191637651913</v>
      </c>
      <c r="I12" s="535">
        <v>24.026998891481057</v>
      </c>
      <c r="J12" s="536">
        <v>92001.667550999991</v>
      </c>
      <c r="K12" s="536">
        <v>86360.257368999999</v>
      </c>
      <c r="L12" s="536">
        <v>5641.4101819999996</v>
      </c>
      <c r="M12" s="536">
        <v>13886.410489999998</v>
      </c>
      <c r="N12" s="536">
        <v>0</v>
      </c>
      <c r="O12" s="536">
        <v>1609.982094</v>
      </c>
      <c r="P12" s="536">
        <v>12276.428395999999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1443072.7140810001</v>
      </c>
      <c r="H14" s="546">
        <v>87.277149551948781</v>
      </c>
      <c r="I14" s="535">
        <v>7.058633708836326</v>
      </c>
      <c r="J14" s="536">
        <v>867404.99351599999</v>
      </c>
      <c r="K14" s="536">
        <v>140388.30829099999</v>
      </c>
      <c r="L14" s="536">
        <v>727016.68522500002</v>
      </c>
      <c r="M14" s="536">
        <v>575667.72056500008</v>
      </c>
      <c r="N14" s="536">
        <v>575667.72056500008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654284.53249000013</v>
      </c>
      <c r="H15" s="546">
        <v>39.571179216719202</v>
      </c>
      <c r="I15" s="535">
        <v>10.01210868821647</v>
      </c>
      <c r="J15" s="536">
        <v>538466.17885700008</v>
      </c>
      <c r="K15" s="536">
        <v>41469.975938000003</v>
      </c>
      <c r="L15" s="536">
        <v>496996.20291900006</v>
      </c>
      <c r="M15" s="536">
        <v>115818.35363299999</v>
      </c>
      <c r="N15" s="536">
        <v>115818.35363299999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281508.61575300002</v>
      </c>
      <c r="H16" s="552">
        <v>17.025662891064538</v>
      </c>
      <c r="I16" s="386">
        <v>3.4671275676812829</v>
      </c>
      <c r="J16" s="542">
        <v>218490.44687300001</v>
      </c>
      <c r="K16" s="542">
        <v>9880.4916209999992</v>
      </c>
      <c r="L16" s="542">
        <v>208609.95525200001</v>
      </c>
      <c r="M16" s="542">
        <v>63018.168879999997</v>
      </c>
      <c r="N16" s="542">
        <v>63018.168879999997</v>
      </c>
      <c r="O16" s="542">
        <v>0</v>
      </c>
      <c r="P16" s="536">
        <v>0</v>
      </c>
    </row>
    <row r="17" spans="1:18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372775.91673700005</v>
      </c>
      <c r="H17" s="552">
        <v>22.545516325654656</v>
      </c>
      <c r="I17" s="386">
        <v>15.530953842778029</v>
      </c>
      <c r="J17" s="542">
        <v>319975.73198400007</v>
      </c>
      <c r="K17" s="542">
        <v>31589.484317000002</v>
      </c>
      <c r="L17" s="542">
        <v>288386.24766700005</v>
      </c>
      <c r="M17" s="542">
        <v>52800.184753000001</v>
      </c>
      <c r="N17" s="542">
        <v>52800.184753000001</v>
      </c>
      <c r="O17" s="542">
        <v>0</v>
      </c>
      <c r="P17" s="536">
        <v>0</v>
      </c>
    </row>
    <row r="18" spans="1:18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151825.925758</v>
      </c>
      <c r="H18" s="552">
        <v>9.1824437527964093</v>
      </c>
      <c r="I18" s="386">
        <v>10.814659215047119</v>
      </c>
      <c r="J18" s="542">
        <v>128244.41138600001</v>
      </c>
      <c r="K18" s="542">
        <v>243.94593</v>
      </c>
      <c r="L18" s="542">
        <v>128000.46545600001</v>
      </c>
      <c r="M18" s="542">
        <v>23581.514372000001</v>
      </c>
      <c r="N18" s="542">
        <v>23581.514372000001</v>
      </c>
      <c r="O18" s="542">
        <v>0</v>
      </c>
      <c r="P18" s="536">
        <v>0</v>
      </c>
    </row>
    <row r="19" spans="1:18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220949.99097900002</v>
      </c>
      <c r="H19" s="552">
        <v>13.363072572858245</v>
      </c>
      <c r="I19" s="386">
        <v>19.011476832264783</v>
      </c>
      <c r="J19" s="542">
        <v>191731.32059800002</v>
      </c>
      <c r="K19" s="542">
        <v>31345.538387000001</v>
      </c>
      <c r="L19" s="542">
        <v>160385.78221100001</v>
      </c>
      <c r="M19" s="542">
        <v>29218.670381</v>
      </c>
      <c r="N19" s="542">
        <v>29218.670381</v>
      </c>
      <c r="O19" s="542">
        <v>0</v>
      </c>
      <c r="P19" s="536">
        <v>0</v>
      </c>
    </row>
    <row r="20" spans="1:18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315994.85703000001</v>
      </c>
      <c r="H20" s="546">
        <v>19.111393435373323</v>
      </c>
      <c r="I20" s="535">
        <v>4.9672797342216413</v>
      </c>
      <c r="J20" s="536">
        <v>188706.94049000001</v>
      </c>
      <c r="K20" s="536">
        <v>27759.782116000002</v>
      </c>
      <c r="L20" s="536">
        <v>160947.15837399999</v>
      </c>
      <c r="M20" s="536">
        <v>127287.91654000001</v>
      </c>
      <c r="N20" s="536">
        <v>127287.91654000001</v>
      </c>
      <c r="O20" s="536">
        <v>0</v>
      </c>
      <c r="P20" s="536">
        <v>0</v>
      </c>
    </row>
    <row r="21" spans="1:18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155929.747971</v>
      </c>
      <c r="H21" s="552">
        <v>9.4306432381887362</v>
      </c>
      <c r="I21" s="386">
        <v>10.573639361562105</v>
      </c>
      <c r="J21" s="542">
        <v>131998.02445699999</v>
      </c>
      <c r="K21" s="542">
        <v>27690.591151000001</v>
      </c>
      <c r="L21" s="542">
        <v>104307.43330599999</v>
      </c>
      <c r="M21" s="542">
        <v>23931.723514000001</v>
      </c>
      <c r="N21" s="542">
        <v>23931.723514000001</v>
      </c>
      <c r="O21" s="542">
        <v>0</v>
      </c>
      <c r="P21" s="536">
        <v>0</v>
      </c>
    </row>
    <row r="22" spans="1:18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20538.361597000003</v>
      </c>
      <c r="H22" s="552">
        <v>1.242161700628452</v>
      </c>
      <c r="I22" s="386">
        <v>-6.3934900489494577</v>
      </c>
      <c r="J22" s="542">
        <v>16705.535467000002</v>
      </c>
      <c r="K22" s="542">
        <v>0</v>
      </c>
      <c r="L22" s="574">
        <v>16705.535467000002</v>
      </c>
      <c r="M22" s="542">
        <v>3832.8261299999999</v>
      </c>
      <c r="N22" s="556">
        <v>3832.8261299999999</v>
      </c>
      <c r="O22" s="542">
        <v>0</v>
      </c>
      <c r="P22" s="536">
        <v>0</v>
      </c>
    </row>
    <row r="23" spans="1:18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135391.38637399999</v>
      </c>
      <c r="H23" s="552">
        <v>8.1884815375602837</v>
      </c>
      <c r="I23" s="386">
        <v>13.699988674369301</v>
      </c>
      <c r="J23" s="542">
        <v>115292.48899</v>
      </c>
      <c r="K23" s="542">
        <v>27690.591151000001</v>
      </c>
      <c r="L23" s="542">
        <v>87601.897838999997</v>
      </c>
      <c r="M23" s="542">
        <v>20098.897384</v>
      </c>
      <c r="N23" s="542">
        <v>20098.897384</v>
      </c>
      <c r="O23" s="542">
        <v>0</v>
      </c>
      <c r="P23" s="536">
        <v>0</v>
      </c>
    </row>
    <row r="24" spans="1:18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26721.470683</v>
      </c>
      <c r="H24" s="552">
        <v>1.6161166171958403</v>
      </c>
      <c r="I24" s="386">
        <v>-2.9801830563897735</v>
      </c>
      <c r="J24" s="542">
        <v>19713.690393000001</v>
      </c>
      <c r="K24" s="542">
        <v>0</v>
      </c>
      <c r="L24" s="542">
        <v>19713.690393000001</v>
      </c>
      <c r="M24" s="542">
        <v>7007.7802900000006</v>
      </c>
      <c r="N24" s="542">
        <v>7007.7802900000006</v>
      </c>
      <c r="O24" s="542">
        <v>0</v>
      </c>
      <c r="P24" s="536">
        <v>0</v>
      </c>
    </row>
    <row r="25" spans="1:18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9815.1922020000002</v>
      </c>
      <c r="H25" s="552">
        <v>0.5936235848244249</v>
      </c>
      <c r="I25" s="386">
        <v>-0.30206742352705263</v>
      </c>
      <c r="J25" s="542">
        <v>7241.1306439999998</v>
      </c>
      <c r="K25" s="542">
        <v>0</v>
      </c>
      <c r="L25" s="556">
        <v>7241.1306439999998</v>
      </c>
      <c r="M25" s="542">
        <v>2574.0615579999999</v>
      </c>
      <c r="N25" s="556">
        <v>2574.0615579999999</v>
      </c>
      <c r="O25" s="542">
        <v>0</v>
      </c>
      <c r="P25" s="536">
        <v>0</v>
      </c>
    </row>
    <row r="26" spans="1:18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16906.278481000001</v>
      </c>
      <c r="H26" s="552">
        <v>1.0224930323714156</v>
      </c>
      <c r="I26" s="386">
        <v>-4.4700028057821362</v>
      </c>
      <c r="J26" s="542">
        <v>12472.559749</v>
      </c>
      <c r="K26" s="542">
        <v>0</v>
      </c>
      <c r="L26" s="542">
        <v>12472.559749</v>
      </c>
      <c r="M26" s="542">
        <v>4433.7187320000003</v>
      </c>
      <c r="N26" s="542">
        <v>4433.7187320000003</v>
      </c>
      <c r="O26" s="542">
        <v>0</v>
      </c>
      <c r="P26" s="536">
        <v>0</v>
      </c>
    </row>
    <row r="27" spans="1:18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133343.63837599999</v>
      </c>
      <c r="H27" s="552">
        <v>8.0646335799887439</v>
      </c>
      <c r="I27" s="386">
        <v>0.65182767387137464</v>
      </c>
      <c r="J27" s="542">
        <v>36995.225639999997</v>
      </c>
      <c r="K27" s="542">
        <v>69.190965000000006</v>
      </c>
      <c r="L27" s="542">
        <v>36926.034674999995</v>
      </c>
      <c r="M27" s="542">
        <v>96348.412735999998</v>
      </c>
      <c r="N27" s="542">
        <v>96348.412735999998</v>
      </c>
      <c r="O27" s="542">
        <v>0</v>
      </c>
      <c r="P27" s="536">
        <v>0</v>
      </c>
    </row>
    <row r="28" spans="1:18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4.9700290000000003</v>
      </c>
      <c r="H28" s="552">
        <v>3.0058773898081957E-4</v>
      </c>
      <c r="I28" s="386">
        <v>6.0152533088511539</v>
      </c>
      <c r="J28" s="542">
        <v>1.3770340000000001</v>
      </c>
      <c r="K28" s="542">
        <v>0</v>
      </c>
      <c r="L28" s="542">
        <v>1.3770340000000001</v>
      </c>
      <c r="M28" s="542">
        <v>3.5929950000000002</v>
      </c>
      <c r="N28" s="556">
        <v>3.5929950000000002</v>
      </c>
      <c r="O28" s="542">
        <v>0</v>
      </c>
      <c r="P28" s="536">
        <v>0</v>
      </c>
    </row>
    <row r="29" spans="1:18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133338.668347</v>
      </c>
      <c r="H29" s="552">
        <v>8.0643329922497635</v>
      </c>
      <c r="I29" s="386">
        <v>0.65163787327888745</v>
      </c>
      <c r="J29" s="542">
        <v>36993.848606</v>
      </c>
      <c r="K29" s="542">
        <v>69.190965000000006</v>
      </c>
      <c r="L29" s="542">
        <v>36924.657640999998</v>
      </c>
      <c r="M29" s="542">
        <v>96344.819740999999</v>
      </c>
      <c r="N29" s="542">
        <v>96344.819740999999</v>
      </c>
      <c r="O29" s="542">
        <v>0</v>
      </c>
      <c r="P29" s="536">
        <v>0</v>
      </c>
    </row>
    <row r="30" spans="1:18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199648.46228899999</v>
      </c>
      <c r="H30" s="546">
        <v>12.074754467317579</v>
      </c>
      <c r="I30" s="535">
        <v>2.399316499541948</v>
      </c>
      <c r="J30" s="536">
        <v>83125.489134999996</v>
      </c>
      <c r="K30" s="536">
        <v>59226.881588999997</v>
      </c>
      <c r="L30" s="536">
        <v>23898.607545999999</v>
      </c>
      <c r="M30" s="536">
        <v>116522.97315400001</v>
      </c>
      <c r="N30" s="536">
        <v>116522.97315400001</v>
      </c>
      <c r="O30" s="536">
        <v>0</v>
      </c>
      <c r="P30" s="536">
        <v>0</v>
      </c>
    </row>
    <row r="31" spans="1:18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10537.830241999998</v>
      </c>
      <c r="H31" s="552">
        <v>0.63732878947114435</v>
      </c>
      <c r="I31" s="386">
        <v>11.806593179146274</v>
      </c>
      <c r="J31" s="542">
        <v>10205.469960999999</v>
      </c>
      <c r="K31" s="542">
        <v>0</v>
      </c>
      <c r="L31" s="542">
        <v>10205.469960999999</v>
      </c>
      <c r="M31" s="542">
        <v>332.36028099999999</v>
      </c>
      <c r="N31" s="542">
        <v>332.36028099999999</v>
      </c>
      <c r="O31" s="542">
        <v>0</v>
      </c>
      <c r="P31" s="536">
        <v>0</v>
      </c>
      <c r="Q31" s="596"/>
      <c r="R31" s="596"/>
    </row>
    <row r="32" spans="1:18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116694.403993</v>
      </c>
      <c r="H32" s="552">
        <v>7.0576865945792653</v>
      </c>
      <c r="I32" s="386">
        <v>5.8525867388037112</v>
      </c>
      <c r="J32" s="542">
        <v>63551.270875000002</v>
      </c>
      <c r="K32" s="542">
        <v>58814.789867</v>
      </c>
      <c r="L32" s="542">
        <v>4736.4810080000007</v>
      </c>
      <c r="M32" s="542">
        <v>53143.133117999998</v>
      </c>
      <c r="N32" s="542">
        <v>53143.133117999998</v>
      </c>
      <c r="O32" s="542">
        <v>0</v>
      </c>
      <c r="P32" s="536">
        <v>0</v>
      </c>
      <c r="R32" s="593"/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3367.5790080000002</v>
      </c>
      <c r="H33" s="552">
        <v>0.20367143931232418</v>
      </c>
      <c r="I33" s="386">
        <v>5.3650578328162668</v>
      </c>
      <c r="J33" s="542">
        <v>0</v>
      </c>
      <c r="K33" s="542">
        <v>0</v>
      </c>
      <c r="L33" s="542">
        <v>0</v>
      </c>
      <c r="M33" s="542">
        <v>3367.5790080000002</v>
      </c>
      <c r="N33" s="542">
        <v>3367.5790080000002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69048.649046000006</v>
      </c>
      <c r="H34" s="552">
        <v>4.1760676439548474</v>
      </c>
      <c r="I34" s="386">
        <v>-4.2413675345006734</v>
      </c>
      <c r="J34" s="542">
        <v>9368.748298999999</v>
      </c>
      <c r="K34" s="542">
        <v>412.091722</v>
      </c>
      <c r="L34" s="542">
        <v>8956.6565769999997</v>
      </c>
      <c r="M34" s="542">
        <v>59679.900747</v>
      </c>
      <c r="N34" s="542">
        <v>59679.900747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238833.28743900001</v>
      </c>
      <c r="H35" s="546">
        <v>14.444655728295587</v>
      </c>
      <c r="I35" s="535">
        <v>6.6258382511091396</v>
      </c>
      <c r="J35" s="536">
        <v>55958.643649000005</v>
      </c>
      <c r="K35" s="536">
        <v>10919.733443000001</v>
      </c>
      <c r="L35" s="536">
        <v>45038.910206</v>
      </c>
      <c r="M35" s="536">
        <v>182874.64379</v>
      </c>
      <c r="N35" s="536">
        <v>182874.64379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66990.736086999997</v>
      </c>
      <c r="H36" s="552">
        <v>4.0516049087544808</v>
      </c>
      <c r="I36" s="386">
        <v>9.6901865091826078</v>
      </c>
      <c r="J36" s="542">
        <v>45083.841849999997</v>
      </c>
      <c r="K36" s="542">
        <v>44.931643999999999</v>
      </c>
      <c r="L36" s="559">
        <v>45038.910206</v>
      </c>
      <c r="M36" s="542">
        <v>21906.894237</v>
      </c>
      <c r="N36" s="542">
        <v>21906.894237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21132.263932999998</v>
      </c>
      <c r="H37" s="552">
        <v>1.2780809599232501</v>
      </c>
      <c r="I37" s="386">
        <v>-1.3852879849592381</v>
      </c>
      <c r="J37" s="542">
        <v>3.8635299999999999</v>
      </c>
      <c r="K37" s="542">
        <v>3.8635299999999999</v>
      </c>
      <c r="L37" s="542">
        <v>0</v>
      </c>
      <c r="M37" s="542">
        <v>21128.400403</v>
      </c>
      <c r="N37" s="542">
        <v>21128.400403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150710.287419</v>
      </c>
      <c r="H38" s="552">
        <v>9.1149698596178546</v>
      </c>
      <c r="I38" s="386">
        <v>6.5164554940528641</v>
      </c>
      <c r="J38" s="542">
        <v>10870.938269</v>
      </c>
      <c r="K38" s="542">
        <v>10870.938269</v>
      </c>
      <c r="L38" s="542">
        <v>0</v>
      </c>
      <c r="M38" s="542">
        <v>139839.34914999999</v>
      </c>
      <c r="N38" s="542">
        <v>139839.34914999999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34175.768652999999</v>
      </c>
      <c r="H39" s="546">
        <v>2.0669531359549085</v>
      </c>
      <c r="I39" s="535">
        <v>3.3991623658419456</v>
      </c>
      <c r="J39" s="536">
        <v>1011.9352050000001</v>
      </c>
      <c r="K39" s="536">
        <v>1011.9352050000001</v>
      </c>
      <c r="L39" s="542">
        <v>0</v>
      </c>
      <c r="M39" s="536">
        <v>33163.833447999998</v>
      </c>
      <c r="N39" s="536">
        <v>33163.833447999998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135.80618000000001</v>
      </c>
      <c r="H40" s="546">
        <v>8.2135682881975536E-3</v>
      </c>
      <c r="I40" s="535">
        <v>2.2700939616068228</v>
      </c>
      <c r="J40" s="536">
        <v>135.80618000000001</v>
      </c>
      <c r="K40" s="536">
        <v>0</v>
      </c>
      <c r="L40" s="536">
        <v>135.80618000000001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104476.243218</v>
      </c>
      <c r="H42" s="546">
        <v>6.3187312842860273</v>
      </c>
      <c r="I42" s="535">
        <v>0.66139146501624779</v>
      </c>
      <c r="J42" s="536">
        <v>26794.024513</v>
      </c>
      <c r="K42" s="536">
        <v>26794.024513</v>
      </c>
      <c r="L42" s="536">
        <v>0</v>
      </c>
      <c r="M42" s="536">
        <v>77682.218705000007</v>
      </c>
      <c r="N42" s="536">
        <v>0</v>
      </c>
      <c r="O42" s="536">
        <v>77682.218705000007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  <row r="52" spans="7:16" x14ac:dyDescent="0.25">
      <c r="K52" s="590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A1:R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N10" sqref="N10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9" width="11.5" style="518" customWidth="1"/>
    <col min="10" max="10" width="13.37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4" style="518" bestFit="1" customWidth="1"/>
    <col min="19" max="16384" width="8.875" style="518"/>
  </cols>
  <sheetData>
    <row r="1" spans="1:17" s="374" customFormat="1" ht="34.5" customHeight="1" x14ac:dyDescent="0.25">
      <c r="A1" s="715" t="s">
        <v>664</v>
      </c>
      <c r="B1" s="716"/>
      <c r="C1" s="716"/>
      <c r="D1" s="716"/>
      <c r="E1" s="716"/>
      <c r="F1" s="716"/>
      <c r="G1" s="716"/>
      <c r="H1" s="716"/>
      <c r="I1" s="716"/>
      <c r="J1" s="717" t="s">
        <v>576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83" t="s">
        <v>419</v>
      </c>
      <c r="H3" s="663"/>
      <c r="I3" s="664"/>
      <c r="J3" s="663" t="s">
        <v>419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2022</v>
      </c>
      <c r="H4" s="665"/>
      <c r="I4" s="666"/>
      <c r="J4" s="665">
        <v>2022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1770438.8497319999</v>
      </c>
      <c r="H9" s="535">
        <v>100</v>
      </c>
      <c r="I9" s="535">
        <v>7.0762787993278842</v>
      </c>
      <c r="J9" s="536">
        <v>1067312.4555009999</v>
      </c>
      <c r="K9" s="536">
        <v>312975.62598399998</v>
      </c>
      <c r="L9" s="536">
        <v>754336.82951699989</v>
      </c>
      <c r="M9" s="536">
        <v>703126.39423099998</v>
      </c>
      <c r="N9" s="536">
        <v>618205.48086000001</v>
      </c>
      <c r="O9" s="536">
        <v>72598.937955000001</v>
      </c>
      <c r="P9" s="536">
        <v>12321.975415999999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60.285191756979593</v>
      </c>
      <c r="K10" s="538">
        <v>17.677855749232833</v>
      </c>
      <c r="L10" s="538">
        <v>42.607336007746753</v>
      </c>
      <c r="M10" s="538">
        <v>39.714808243020407</v>
      </c>
      <c r="N10" s="538">
        <v>34.91820578573391</v>
      </c>
      <c r="O10" s="538">
        <v>4.1006182148561452</v>
      </c>
      <c r="P10" s="538">
        <v>0.69598424243035772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181449.702104</v>
      </c>
      <c r="H12" s="87">
        <v>10.24885452166094</v>
      </c>
      <c r="I12" s="535">
        <v>71.359897602204541</v>
      </c>
      <c r="J12" s="536">
        <v>167451.491205</v>
      </c>
      <c r="K12" s="536">
        <v>161767.687148</v>
      </c>
      <c r="L12" s="536">
        <v>5683.8040569999994</v>
      </c>
      <c r="M12" s="536">
        <v>13998.210899</v>
      </c>
      <c r="N12" s="536">
        <v>0</v>
      </c>
      <c r="O12" s="536">
        <v>1676.2354829999999</v>
      </c>
      <c r="P12" s="536">
        <v>12321.975415999999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1485775.421659</v>
      </c>
      <c r="H14" s="546">
        <v>83.921306962051204</v>
      </c>
      <c r="I14" s="535">
        <v>2.9591514801244445</v>
      </c>
      <c r="J14" s="536">
        <v>867569.94079899997</v>
      </c>
      <c r="K14" s="536">
        <v>118916.915339</v>
      </c>
      <c r="L14" s="536">
        <v>748653.02545999992</v>
      </c>
      <c r="M14" s="536">
        <v>618205.48086000001</v>
      </c>
      <c r="N14" s="536">
        <v>618205.48086000001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641077.52475100011</v>
      </c>
      <c r="H15" s="546">
        <v>36.210091348144736</v>
      </c>
      <c r="I15" s="535">
        <v>-2.0185419466876797</v>
      </c>
      <c r="J15" s="536">
        <v>508917.39816000004</v>
      </c>
      <c r="K15" s="536">
        <v>35211.142146999999</v>
      </c>
      <c r="L15" s="536">
        <v>473706.25601300003</v>
      </c>
      <c r="M15" s="536">
        <v>132160.12659100001</v>
      </c>
      <c r="N15" s="536">
        <v>132160.12659100001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247242.74959600001</v>
      </c>
      <c r="H16" s="552">
        <v>13.965054462820129</v>
      </c>
      <c r="I16" s="386">
        <v>-12.172226439799417</v>
      </c>
      <c r="J16" s="542">
        <v>171804.314915</v>
      </c>
      <c r="K16" s="542">
        <v>20345.824654</v>
      </c>
      <c r="L16" s="542">
        <v>151458.490261</v>
      </c>
      <c r="M16" s="542">
        <v>75438.434680999999</v>
      </c>
      <c r="N16" s="542">
        <v>75438.434680999999</v>
      </c>
      <c r="O16" s="542">
        <v>0</v>
      </c>
      <c r="P16" s="536">
        <v>0</v>
      </c>
    </row>
    <row r="17" spans="1:18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393834.77515500004</v>
      </c>
      <c r="H17" s="552">
        <v>22.245036885324605</v>
      </c>
      <c r="I17" s="386">
        <v>5.6492003567004456</v>
      </c>
      <c r="J17" s="542">
        <v>337113.08324500005</v>
      </c>
      <c r="K17" s="542">
        <v>14865.317492999999</v>
      </c>
      <c r="L17" s="542">
        <v>322247.76575200004</v>
      </c>
      <c r="M17" s="542">
        <v>56721.691909999994</v>
      </c>
      <c r="N17" s="542">
        <v>56721.691909999994</v>
      </c>
      <c r="O17" s="542">
        <v>0</v>
      </c>
      <c r="P17" s="536">
        <v>0</v>
      </c>
    </row>
    <row r="18" spans="1:18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162208.92744100001</v>
      </c>
      <c r="H18" s="552">
        <v>9.1620745593983308</v>
      </c>
      <c r="I18" s="386">
        <v>6.8387540738923613</v>
      </c>
      <c r="J18" s="542">
        <v>137845.438471</v>
      </c>
      <c r="K18" s="542">
        <v>240.381585</v>
      </c>
      <c r="L18" s="542">
        <v>137605.05688600001</v>
      </c>
      <c r="M18" s="542">
        <v>24363.488969999999</v>
      </c>
      <c r="N18" s="542">
        <v>24363.488969999999</v>
      </c>
      <c r="O18" s="542">
        <v>0</v>
      </c>
      <c r="P18" s="536">
        <v>0</v>
      </c>
    </row>
    <row r="19" spans="1:18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231625.84771399997</v>
      </c>
      <c r="H19" s="552">
        <v>13.082962325926269</v>
      </c>
      <c r="I19" s="386">
        <v>4.8317977691226144</v>
      </c>
      <c r="J19" s="542">
        <v>199267.64477399999</v>
      </c>
      <c r="K19" s="542">
        <v>14624.935907999999</v>
      </c>
      <c r="L19" s="542">
        <v>184642.708866</v>
      </c>
      <c r="M19" s="542">
        <v>32358.202939999999</v>
      </c>
      <c r="N19" s="542">
        <v>32358.202939999999</v>
      </c>
      <c r="O19" s="542">
        <v>0</v>
      </c>
      <c r="P19" s="536">
        <v>0</v>
      </c>
    </row>
    <row r="20" spans="1:18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348605.475813</v>
      </c>
      <c r="H20" s="546">
        <v>19.690342643902675</v>
      </c>
      <c r="I20" s="535">
        <v>10.319984030595775</v>
      </c>
      <c r="J20" s="536">
        <v>207995.82499199998</v>
      </c>
      <c r="K20" s="536">
        <v>6851.6197510000002</v>
      </c>
      <c r="L20" s="536">
        <v>201144.20524099999</v>
      </c>
      <c r="M20" s="536">
        <v>140609.65082099999</v>
      </c>
      <c r="N20" s="536">
        <v>140609.65082099999</v>
      </c>
      <c r="O20" s="536">
        <v>0</v>
      </c>
      <c r="P20" s="536">
        <v>0</v>
      </c>
    </row>
    <row r="21" spans="1:18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163075.977029</v>
      </c>
      <c r="H21" s="552">
        <v>9.2110482693986082</v>
      </c>
      <c r="I21" s="386">
        <v>4.5829799323019893</v>
      </c>
      <c r="J21" s="542">
        <v>137625.49724900001</v>
      </c>
      <c r="K21" s="542">
        <v>6782.9865120000004</v>
      </c>
      <c r="L21" s="542">
        <v>130842.510737</v>
      </c>
      <c r="M21" s="542">
        <v>25450.479780000001</v>
      </c>
      <c r="N21" s="542">
        <v>25450.479780000001</v>
      </c>
      <c r="O21" s="542">
        <v>0</v>
      </c>
      <c r="P21" s="536">
        <v>0</v>
      </c>
    </row>
    <row r="22" spans="1:18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24745.579795000001</v>
      </c>
      <c r="H22" s="552">
        <v>1.3977088109394946</v>
      </c>
      <c r="I22" s="386">
        <v>20.484682666286957</v>
      </c>
      <c r="J22" s="542">
        <v>20716.052455000001</v>
      </c>
      <c r="K22" s="542">
        <v>0</v>
      </c>
      <c r="L22" s="574">
        <v>20716.052455000001</v>
      </c>
      <c r="M22" s="542">
        <v>4029.5273400000001</v>
      </c>
      <c r="N22" s="556">
        <v>4029.5273400000001</v>
      </c>
      <c r="O22" s="542">
        <v>0</v>
      </c>
      <c r="P22" s="536">
        <v>0</v>
      </c>
    </row>
    <row r="23" spans="1:18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138330.397234</v>
      </c>
      <c r="H23" s="552">
        <v>7.8133394584591134</v>
      </c>
      <c r="I23" s="386">
        <v>2.1707517285341815</v>
      </c>
      <c r="J23" s="542">
        <v>116909.44479400001</v>
      </c>
      <c r="K23" s="542">
        <v>6782.9865120000004</v>
      </c>
      <c r="L23" s="542">
        <v>110126.45828200001</v>
      </c>
      <c r="M23" s="542">
        <v>21420.952440000001</v>
      </c>
      <c r="N23" s="542">
        <v>21420.952440000001</v>
      </c>
      <c r="O23" s="542">
        <v>0</v>
      </c>
      <c r="P23" s="536">
        <v>0</v>
      </c>
    </row>
    <row r="24" spans="1:18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33570.047587000001</v>
      </c>
      <c r="H24" s="552">
        <v>1.8961427327513551</v>
      </c>
      <c r="I24" s="386">
        <v>25.629490926025312</v>
      </c>
      <c r="J24" s="542">
        <v>25293.856333</v>
      </c>
      <c r="K24" s="542">
        <v>0</v>
      </c>
      <c r="L24" s="542">
        <v>25293.856333</v>
      </c>
      <c r="M24" s="542">
        <v>8276.1912539999994</v>
      </c>
      <c r="N24" s="542">
        <v>8276.1912539999994</v>
      </c>
      <c r="O24" s="542">
        <v>0</v>
      </c>
      <c r="P24" s="536">
        <v>0</v>
      </c>
    </row>
    <row r="25" spans="1:18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12651.923029</v>
      </c>
      <c r="H25" s="552">
        <v>0.71462072982160241</v>
      </c>
      <c r="I25" s="386">
        <v>28.901429219307296</v>
      </c>
      <c r="J25" s="542">
        <v>9532.7813459999998</v>
      </c>
      <c r="K25" s="542">
        <v>0</v>
      </c>
      <c r="L25" s="556">
        <v>9532.7813459999998</v>
      </c>
      <c r="M25" s="542">
        <v>3119.1416829999998</v>
      </c>
      <c r="N25" s="556">
        <v>3119.1416829999998</v>
      </c>
      <c r="O25" s="542">
        <v>0</v>
      </c>
      <c r="P25" s="536">
        <v>0</v>
      </c>
    </row>
    <row r="26" spans="1:18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20918.124558</v>
      </c>
      <c r="H26" s="552">
        <v>1.1815220029297528</v>
      </c>
      <c r="I26" s="386">
        <v>23.729918334828582</v>
      </c>
      <c r="J26" s="542">
        <v>15761.074987</v>
      </c>
      <c r="K26" s="542">
        <v>0</v>
      </c>
      <c r="L26" s="542">
        <v>15761.074987</v>
      </c>
      <c r="M26" s="542">
        <v>5157.0495709999996</v>
      </c>
      <c r="N26" s="542">
        <v>5157.0495709999996</v>
      </c>
      <c r="O26" s="542">
        <v>0</v>
      </c>
      <c r="P26" s="536">
        <v>0</v>
      </c>
    </row>
    <row r="27" spans="1:18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151959.45119699999</v>
      </c>
      <c r="H27" s="552">
        <v>8.5831516417527123</v>
      </c>
      <c r="I27" s="386">
        <v>13.960780617450585</v>
      </c>
      <c r="J27" s="542">
        <v>45076.471409999998</v>
      </c>
      <c r="K27" s="542">
        <v>68.633239000000003</v>
      </c>
      <c r="L27" s="542">
        <v>45007.838170999996</v>
      </c>
      <c r="M27" s="542">
        <v>106882.979787</v>
      </c>
      <c r="N27" s="542">
        <v>106882.979787</v>
      </c>
      <c r="O27" s="542">
        <v>0</v>
      </c>
      <c r="P27" s="536">
        <v>0</v>
      </c>
    </row>
    <row r="28" spans="1:18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5.4838830000000005</v>
      </c>
      <c r="H28" s="552">
        <v>3.0974710032092456E-4</v>
      </c>
      <c r="I28" s="386">
        <v>10.339054359642574</v>
      </c>
      <c r="J28" s="542">
        <v>1.624968</v>
      </c>
      <c r="K28" s="542">
        <v>0</v>
      </c>
      <c r="L28" s="542">
        <v>1.624968</v>
      </c>
      <c r="M28" s="542">
        <v>3.8589150000000001</v>
      </c>
      <c r="N28" s="556">
        <v>3.8589150000000001</v>
      </c>
      <c r="O28" s="542">
        <v>0</v>
      </c>
      <c r="P28" s="536">
        <v>0</v>
      </c>
    </row>
    <row r="29" spans="1:18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151953.96731400001</v>
      </c>
      <c r="H29" s="552">
        <v>8.5828418946523932</v>
      </c>
      <c r="I29" s="386">
        <v>13.960915612683067</v>
      </c>
      <c r="J29" s="542">
        <v>45074.846442000002</v>
      </c>
      <c r="K29" s="542">
        <v>68.633239000000003</v>
      </c>
      <c r="L29" s="542">
        <v>45006.213202999999</v>
      </c>
      <c r="M29" s="542">
        <v>106879.120872</v>
      </c>
      <c r="N29" s="542">
        <v>106879.120872</v>
      </c>
      <c r="O29" s="542">
        <v>0</v>
      </c>
      <c r="P29" s="536">
        <v>0</v>
      </c>
    </row>
    <row r="30" spans="1:18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204734.308792</v>
      </c>
      <c r="H30" s="546">
        <v>11.564042939014337</v>
      </c>
      <c r="I30" s="535">
        <v>2.5474007887113181</v>
      </c>
      <c r="J30" s="536">
        <v>93296.382643999998</v>
      </c>
      <c r="K30" s="536">
        <v>69103.330486000006</v>
      </c>
      <c r="L30" s="536">
        <v>24193.052157999999</v>
      </c>
      <c r="M30" s="536">
        <v>111437.926148</v>
      </c>
      <c r="N30" s="536">
        <v>111437.926148</v>
      </c>
      <c r="O30" s="536">
        <v>0</v>
      </c>
      <c r="P30" s="536">
        <v>0</v>
      </c>
    </row>
    <row r="31" spans="1:18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9053.1652189999986</v>
      </c>
      <c r="H31" s="552">
        <v>0.51135147765032496</v>
      </c>
      <c r="I31" s="386">
        <v>-14.0889062445005</v>
      </c>
      <c r="J31" s="542">
        <v>8717.5209319999994</v>
      </c>
      <c r="K31" s="542">
        <v>0</v>
      </c>
      <c r="L31" s="542">
        <v>8717.5209319999994</v>
      </c>
      <c r="M31" s="542">
        <v>335.64428700000002</v>
      </c>
      <c r="N31" s="542">
        <v>335.64428700000002</v>
      </c>
      <c r="O31" s="542">
        <v>0</v>
      </c>
      <c r="P31" s="536">
        <v>0</v>
      </c>
    </row>
    <row r="32" spans="1:18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125670.459973</v>
      </c>
      <c r="H32" s="552">
        <v>7.0982660594023539</v>
      </c>
      <c r="I32" s="386">
        <v>7.6919335228263774</v>
      </c>
      <c r="J32" s="542">
        <v>73418.235188000006</v>
      </c>
      <c r="K32" s="542">
        <v>68577.446311000007</v>
      </c>
      <c r="L32" s="542">
        <v>4840.788877</v>
      </c>
      <c r="M32" s="542">
        <v>52252.224784999999</v>
      </c>
      <c r="N32" s="542">
        <v>52252.224784999999</v>
      </c>
      <c r="O32" s="542">
        <v>0</v>
      </c>
      <c r="P32" s="536">
        <v>0</v>
      </c>
      <c r="R32" s="596"/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3198.2029400000001</v>
      </c>
      <c r="H33" s="552">
        <v>0.18064464302080402</v>
      </c>
      <c r="I33" s="386">
        <v>-5.0296093305496665</v>
      </c>
      <c r="J33" s="542">
        <v>0</v>
      </c>
      <c r="K33" s="542">
        <v>0</v>
      </c>
      <c r="L33" s="542">
        <v>0</v>
      </c>
      <c r="M33" s="542">
        <v>3198.2029400000001</v>
      </c>
      <c r="N33" s="542">
        <v>3198.2029400000001</v>
      </c>
      <c r="O33" s="542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66812.480660000001</v>
      </c>
      <c r="H34" s="552">
        <v>3.773780758940855</v>
      </c>
      <c r="I34" s="386">
        <v>-3.2385403869527929</v>
      </c>
      <c r="J34" s="542">
        <v>11160.626523999999</v>
      </c>
      <c r="K34" s="542">
        <v>525.88417500000003</v>
      </c>
      <c r="L34" s="542">
        <v>10634.742349</v>
      </c>
      <c r="M34" s="542">
        <v>55651.854136000002</v>
      </c>
      <c r="N34" s="542">
        <v>55651.854136000002</v>
      </c>
      <c r="O34" s="542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256056.05584700001</v>
      </c>
      <c r="H35" s="546">
        <v>14.46285794540492</v>
      </c>
      <c r="I35" s="535">
        <v>7.2112093723111448</v>
      </c>
      <c r="J35" s="536">
        <v>56507.283349000005</v>
      </c>
      <c r="K35" s="536">
        <v>7041.5014410000003</v>
      </c>
      <c r="L35" s="536">
        <v>49465.781908000004</v>
      </c>
      <c r="M35" s="536">
        <v>199548.77249800001</v>
      </c>
      <c r="N35" s="536">
        <v>199548.77249800001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75419.985692000002</v>
      </c>
      <c r="H36" s="552">
        <v>4.2599599361150879</v>
      </c>
      <c r="I36" s="386">
        <v>12.582709337680731</v>
      </c>
      <c r="J36" s="542">
        <v>49511.850188000004</v>
      </c>
      <c r="K36" s="542">
        <v>46.886631999999999</v>
      </c>
      <c r="L36" s="559">
        <v>49464.963556000002</v>
      </c>
      <c r="M36" s="542">
        <v>25908.135504000002</v>
      </c>
      <c r="N36" s="542">
        <v>25908.135504000002</v>
      </c>
      <c r="O36" s="542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22357.717658999998</v>
      </c>
      <c r="H37" s="552">
        <v>1.2628347859845255</v>
      </c>
      <c r="I37" s="386">
        <v>5.7989703795358061</v>
      </c>
      <c r="J37" s="542">
        <v>4.0777150000000004</v>
      </c>
      <c r="K37" s="542">
        <v>4.0777150000000004</v>
      </c>
      <c r="L37" s="542">
        <v>0</v>
      </c>
      <c r="M37" s="542">
        <v>22353.639943999999</v>
      </c>
      <c r="N37" s="542">
        <v>22353.639943999999</v>
      </c>
      <c r="O37" s="542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158278.35249600001</v>
      </c>
      <c r="H38" s="552">
        <v>8.9400632233053052</v>
      </c>
      <c r="I38" s="386">
        <v>5.0215981978453117</v>
      </c>
      <c r="J38" s="542">
        <v>6991.3554460000005</v>
      </c>
      <c r="K38" s="542">
        <v>6990.5370940000003</v>
      </c>
      <c r="L38" s="542">
        <v>0.81835199999999997</v>
      </c>
      <c r="M38" s="542">
        <v>151286.99705000001</v>
      </c>
      <c r="N38" s="542">
        <v>151286.99705000001</v>
      </c>
      <c r="O38" s="542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35158.376181</v>
      </c>
      <c r="H39" s="546">
        <v>1.9858565680662787</v>
      </c>
      <c r="I39" s="535">
        <v>2.8751585311125094</v>
      </c>
      <c r="J39" s="536">
        <v>709.37137899999993</v>
      </c>
      <c r="K39" s="536">
        <v>709.32151399999998</v>
      </c>
      <c r="L39" s="542">
        <v>4.9865E-2</v>
      </c>
      <c r="M39" s="536">
        <v>34449.004802000003</v>
      </c>
      <c r="N39" s="536">
        <v>34449.004802000003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143.68027499999999</v>
      </c>
      <c r="H40" s="546">
        <v>8.1155175182554082E-3</v>
      </c>
      <c r="I40" s="535">
        <v>5.7980387932272226</v>
      </c>
      <c r="J40" s="536">
        <v>143.68027499999999</v>
      </c>
      <c r="K40" s="536">
        <v>0</v>
      </c>
      <c r="L40" s="536">
        <v>143.68027499999999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103213.72596900001</v>
      </c>
      <c r="H42" s="546">
        <v>5.8298385162878672</v>
      </c>
      <c r="I42" s="535">
        <v>-1.2084251980286398</v>
      </c>
      <c r="J42" s="536">
        <v>32291.023496999998</v>
      </c>
      <c r="K42" s="536">
        <v>32291.023496999998</v>
      </c>
      <c r="L42" s="536">
        <v>0</v>
      </c>
      <c r="M42" s="536">
        <v>70922.702472000004</v>
      </c>
      <c r="N42" s="536">
        <v>0</v>
      </c>
      <c r="O42" s="536">
        <v>70922.702472000004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R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U23" sqref="U23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9" width="11.5" style="518" customWidth="1"/>
    <col min="10" max="10" width="13.37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8" width="14" style="518" bestFit="1" customWidth="1"/>
    <col min="19" max="16384" width="8.875" style="518"/>
  </cols>
  <sheetData>
    <row r="1" spans="1:17" s="374" customFormat="1" ht="34.5" customHeight="1" x14ac:dyDescent="0.25">
      <c r="A1" s="715" t="s">
        <v>663</v>
      </c>
      <c r="B1" s="716"/>
      <c r="C1" s="716"/>
      <c r="D1" s="716"/>
      <c r="E1" s="716"/>
      <c r="F1" s="716"/>
      <c r="G1" s="716"/>
      <c r="H1" s="716"/>
      <c r="I1" s="716"/>
      <c r="J1" s="717" t="s">
        <v>577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83" t="s">
        <v>544</v>
      </c>
      <c r="H3" s="663"/>
      <c r="I3" s="664"/>
      <c r="J3" s="663" t="s">
        <v>544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2023</v>
      </c>
      <c r="H4" s="665"/>
      <c r="I4" s="666"/>
      <c r="J4" s="665">
        <v>2023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1835284.8173929998</v>
      </c>
      <c r="H9" s="535">
        <v>100</v>
      </c>
      <c r="I9" s="535">
        <v>3.6627058692716652</v>
      </c>
      <c r="J9" s="536">
        <v>1065167.268341</v>
      </c>
      <c r="K9" s="536">
        <v>282746.42082300002</v>
      </c>
      <c r="L9" s="536">
        <v>782420.84751800005</v>
      </c>
      <c r="M9" s="536">
        <v>770117.54905199993</v>
      </c>
      <c r="N9" s="536">
        <v>663264.55498499994</v>
      </c>
      <c r="O9" s="536">
        <v>92853.573113000006</v>
      </c>
      <c r="P9" s="536">
        <v>13999.420953999999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58.038254239691113</v>
      </c>
      <c r="K10" s="538">
        <v>15.406133050489565</v>
      </c>
      <c r="L10" s="538">
        <v>42.632121189201548</v>
      </c>
      <c r="M10" s="538">
        <v>41.961745760308894</v>
      </c>
      <c r="N10" s="538">
        <v>36.139597990417606</v>
      </c>
      <c r="O10" s="538">
        <v>5.0593549422425559</v>
      </c>
      <c r="P10" s="538">
        <v>0.76279282764873568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170470.645532</v>
      </c>
      <c r="H12" s="87">
        <v>9.2885117294301764</v>
      </c>
      <c r="I12" s="535">
        <v>-6.0507437844715906</v>
      </c>
      <c r="J12" s="536">
        <v>154710.909461</v>
      </c>
      <c r="K12" s="536">
        <v>148932.53558900001</v>
      </c>
      <c r="L12" s="536">
        <v>5778.3738720000001</v>
      </c>
      <c r="M12" s="536">
        <v>15759.736070999999</v>
      </c>
      <c r="N12" s="536">
        <v>0</v>
      </c>
      <c r="O12" s="536">
        <v>1760.3151170000001</v>
      </c>
      <c r="P12" s="536">
        <v>13999.420953999999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1539929.5917139999</v>
      </c>
      <c r="H14" s="546">
        <v>83.906845254757329</v>
      </c>
      <c r="I14" s="535">
        <v>3.6448422329218522</v>
      </c>
      <c r="J14" s="536">
        <v>876665.03672900004</v>
      </c>
      <c r="K14" s="536">
        <v>100022.563083</v>
      </c>
      <c r="L14" s="536">
        <v>776642.47364600003</v>
      </c>
      <c r="M14" s="536">
        <v>663264.55498499994</v>
      </c>
      <c r="N14" s="536">
        <v>663264.55498499994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676223.38176500006</v>
      </c>
      <c r="H15" s="546">
        <v>36.8456914892135</v>
      </c>
      <c r="I15" s="535">
        <v>5.4823099636273964</v>
      </c>
      <c r="J15" s="536">
        <v>532132.16443400003</v>
      </c>
      <c r="K15" s="536">
        <v>13380.008789</v>
      </c>
      <c r="L15" s="536">
        <v>518752.15564500005</v>
      </c>
      <c r="M15" s="536">
        <v>144091.21733099999</v>
      </c>
      <c r="N15" s="536">
        <v>144091.21733099999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307357.51724100002</v>
      </c>
      <c r="H16" s="552">
        <v>16.74712907381851</v>
      </c>
      <c r="I16" s="386">
        <v>24.31406694159033</v>
      </c>
      <c r="J16" s="542">
        <v>221869.52927100001</v>
      </c>
      <c r="K16" s="542">
        <v>4485.4607349999997</v>
      </c>
      <c r="L16" s="542">
        <v>217384.06853600001</v>
      </c>
      <c r="M16" s="542">
        <v>85487.987970000002</v>
      </c>
      <c r="N16" s="542">
        <v>85487.987970000002</v>
      </c>
      <c r="O16" s="536">
        <v>0</v>
      </c>
      <c r="P16" s="536">
        <v>0</v>
      </c>
    </row>
    <row r="17" spans="1:18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368865.86452400003</v>
      </c>
      <c r="H17" s="552">
        <v>20.098562415394991</v>
      </c>
      <c r="I17" s="386">
        <v>-6.3399456335904052</v>
      </c>
      <c r="J17" s="542">
        <v>310262.63516300003</v>
      </c>
      <c r="K17" s="542">
        <v>8894.5480540000008</v>
      </c>
      <c r="L17" s="542">
        <v>301368.08710900001</v>
      </c>
      <c r="M17" s="542">
        <v>58603.229360999998</v>
      </c>
      <c r="N17" s="542">
        <v>58603.229360999998</v>
      </c>
      <c r="O17" s="536">
        <v>0</v>
      </c>
      <c r="P17" s="536">
        <v>0</v>
      </c>
    </row>
    <row r="18" spans="1:18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149613.032118</v>
      </c>
      <c r="H18" s="552">
        <v>8.1520334446248803</v>
      </c>
      <c r="I18" s="386">
        <v>-7.765229399954876</v>
      </c>
      <c r="J18" s="542">
        <v>125089.394715</v>
      </c>
      <c r="K18" s="542">
        <v>222.88649899999999</v>
      </c>
      <c r="L18" s="542">
        <v>124866.508216</v>
      </c>
      <c r="M18" s="542">
        <v>24523.637403000001</v>
      </c>
      <c r="N18" s="542">
        <v>24523.637403000001</v>
      </c>
      <c r="O18" s="536">
        <v>0</v>
      </c>
      <c r="P18" s="536">
        <v>0</v>
      </c>
    </row>
    <row r="19" spans="1:18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219252.832406</v>
      </c>
      <c r="H19" s="552">
        <v>11.946528970770109</v>
      </c>
      <c r="I19" s="386">
        <v>-5.3418111277794722</v>
      </c>
      <c r="J19" s="542">
        <v>185173.240448</v>
      </c>
      <c r="K19" s="542">
        <v>8671.6615550000006</v>
      </c>
      <c r="L19" s="542">
        <v>176501.578893</v>
      </c>
      <c r="M19" s="542">
        <v>34079.591957999997</v>
      </c>
      <c r="N19" s="542">
        <v>34079.591957999997</v>
      </c>
      <c r="O19" s="536">
        <v>0</v>
      </c>
      <c r="P19" s="536">
        <v>0</v>
      </c>
    </row>
    <row r="20" spans="1:18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341035.86764399998</v>
      </c>
      <c r="H20" s="546">
        <v>18.582176696063847</v>
      </c>
      <c r="I20" s="535">
        <v>-2.1713968064748679</v>
      </c>
      <c r="J20" s="536">
        <v>187955.92039800002</v>
      </c>
      <c r="K20" s="536">
        <v>2666.6229949999997</v>
      </c>
      <c r="L20" s="536">
        <v>185289.297403</v>
      </c>
      <c r="M20" s="536">
        <v>153079.947246</v>
      </c>
      <c r="N20" s="536">
        <v>153079.947246</v>
      </c>
      <c r="O20" s="536">
        <v>0</v>
      </c>
      <c r="P20" s="536">
        <v>0</v>
      </c>
    </row>
    <row r="21" spans="1:18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150437.53178699999</v>
      </c>
      <c r="H21" s="552">
        <v>8.1969583337312582</v>
      </c>
      <c r="I21" s="386">
        <v>-7.750034966678454</v>
      </c>
      <c r="J21" s="542">
        <v>123283.63485999999</v>
      </c>
      <c r="K21" s="542">
        <v>2600.6614549999999</v>
      </c>
      <c r="L21" s="542">
        <v>120682.973405</v>
      </c>
      <c r="M21" s="542">
        <v>27153.896926999998</v>
      </c>
      <c r="N21" s="542">
        <v>27153.896926999998</v>
      </c>
      <c r="O21" s="536">
        <v>0</v>
      </c>
      <c r="P21" s="536">
        <v>0</v>
      </c>
    </row>
    <row r="22" spans="1:18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22227.072966</v>
      </c>
      <c r="H22" s="552">
        <v>1.211096651340106</v>
      </c>
      <c r="I22" s="386">
        <v>-10.177602827915477</v>
      </c>
      <c r="J22" s="542">
        <v>18144.521388000001</v>
      </c>
      <c r="K22" s="542">
        <v>0</v>
      </c>
      <c r="L22" s="574">
        <v>18144.521388000001</v>
      </c>
      <c r="M22" s="542">
        <v>4082.5515780000001</v>
      </c>
      <c r="N22" s="556">
        <v>4082.5515780000001</v>
      </c>
      <c r="O22" s="536">
        <v>0</v>
      </c>
      <c r="P22" s="536">
        <v>0</v>
      </c>
    </row>
    <row r="23" spans="1:18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128210.45882099999</v>
      </c>
      <c r="H23" s="552">
        <v>6.9858616823911523</v>
      </c>
      <c r="I23" s="386">
        <v>-7.315773405812676</v>
      </c>
      <c r="J23" s="542">
        <v>105139.113472</v>
      </c>
      <c r="K23" s="542">
        <v>2600.6614549999999</v>
      </c>
      <c r="L23" s="542">
        <v>102538.452017</v>
      </c>
      <c r="M23" s="542">
        <v>23071.345348999999</v>
      </c>
      <c r="N23" s="542">
        <v>23071.345348999999</v>
      </c>
      <c r="O23" s="536">
        <v>0</v>
      </c>
      <c r="P23" s="536">
        <v>0</v>
      </c>
    </row>
    <row r="24" spans="1:18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31070.416055000002</v>
      </c>
      <c r="H24" s="552">
        <v>1.692947915252476</v>
      </c>
      <c r="I24" s="386">
        <v>-7.4460172435620304</v>
      </c>
      <c r="J24" s="542">
        <v>23206.581526000002</v>
      </c>
      <c r="K24" s="542">
        <v>0</v>
      </c>
      <c r="L24" s="542">
        <v>23206.581526000002</v>
      </c>
      <c r="M24" s="542">
        <v>7863.8345289999997</v>
      </c>
      <c r="N24" s="542">
        <v>7863.8345289999997</v>
      </c>
      <c r="O24" s="536">
        <v>0</v>
      </c>
      <c r="P24" s="536">
        <v>0</v>
      </c>
    </row>
    <row r="25" spans="1:18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11532.700390999998</v>
      </c>
      <c r="H25" s="552">
        <v>0.62838750049608449</v>
      </c>
      <c r="I25" s="386">
        <v>-8.8462649941402951</v>
      </c>
      <c r="J25" s="542">
        <v>8613.8065019999995</v>
      </c>
      <c r="K25" s="542">
        <v>0</v>
      </c>
      <c r="L25" s="556">
        <v>8613.8065019999995</v>
      </c>
      <c r="M25" s="542">
        <v>2918.8938889999999</v>
      </c>
      <c r="N25" s="556">
        <v>2918.8938889999999</v>
      </c>
      <c r="O25" s="536">
        <v>0</v>
      </c>
      <c r="P25" s="536">
        <v>0</v>
      </c>
    </row>
    <row r="26" spans="1:18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19537.715663999999</v>
      </c>
      <c r="H26" s="552">
        <v>1.0645604147563914</v>
      </c>
      <c r="I26" s="386">
        <v>-6.5991044759893258</v>
      </c>
      <c r="J26" s="542">
        <v>14592.775024</v>
      </c>
      <c r="K26" s="542">
        <v>0</v>
      </c>
      <c r="L26" s="542">
        <v>14592.775024</v>
      </c>
      <c r="M26" s="542">
        <v>4944.9406399999998</v>
      </c>
      <c r="N26" s="542">
        <v>4944.9406399999998</v>
      </c>
      <c r="O26" s="536">
        <v>0</v>
      </c>
      <c r="P26" s="536">
        <v>0</v>
      </c>
    </row>
    <row r="27" spans="1:18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159527.91980199999</v>
      </c>
      <c r="H27" s="552">
        <v>8.6922704470801158</v>
      </c>
      <c r="I27" s="386">
        <v>4.9805843238985181</v>
      </c>
      <c r="J27" s="542">
        <v>41465.704011999995</v>
      </c>
      <c r="K27" s="542">
        <v>65.961539999999999</v>
      </c>
      <c r="L27" s="542">
        <v>41399.742471999998</v>
      </c>
      <c r="M27" s="542">
        <v>118062.21579</v>
      </c>
      <c r="N27" s="542">
        <v>118062.21579</v>
      </c>
      <c r="O27" s="536">
        <v>0</v>
      </c>
      <c r="P27" s="536">
        <v>0</v>
      </c>
    </row>
    <row r="28" spans="1:18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5.3181650000000005</v>
      </c>
      <c r="H28" s="552">
        <v>2.8977327930791637E-4</v>
      </c>
      <c r="I28" s="386">
        <v>-3.0219098401625288</v>
      </c>
      <c r="J28" s="542">
        <v>1.3807100000000001</v>
      </c>
      <c r="K28" s="542">
        <v>0</v>
      </c>
      <c r="L28" s="542">
        <v>1.3807100000000001</v>
      </c>
      <c r="M28" s="542">
        <v>3.9374549999999999</v>
      </c>
      <c r="N28" s="556">
        <v>3.9374549999999999</v>
      </c>
      <c r="O28" s="536">
        <v>0</v>
      </c>
      <c r="P28" s="536">
        <v>0</v>
      </c>
    </row>
    <row r="29" spans="1:18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159522.60163699999</v>
      </c>
      <c r="H29" s="552">
        <v>8.6919806738008081</v>
      </c>
      <c r="I29" s="386">
        <v>4.9808731267674267</v>
      </c>
      <c r="J29" s="542">
        <v>41464.323301999997</v>
      </c>
      <c r="K29" s="542">
        <v>65.961539999999999</v>
      </c>
      <c r="L29" s="542">
        <v>41398.361762</v>
      </c>
      <c r="M29" s="542">
        <v>118058.278335</v>
      </c>
      <c r="N29" s="542">
        <v>118058.278335</v>
      </c>
      <c r="O29" s="536">
        <v>0</v>
      </c>
      <c r="P29" s="536">
        <v>0</v>
      </c>
    </row>
    <row r="30" spans="1:18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224707.48197800003</v>
      </c>
      <c r="H30" s="546">
        <v>12.243738947134883</v>
      </c>
      <c r="I30" s="535">
        <v>9.7556551727203669</v>
      </c>
      <c r="J30" s="536">
        <v>107759.58892100002</v>
      </c>
      <c r="K30" s="536">
        <v>82289.055872000012</v>
      </c>
      <c r="L30" s="536">
        <v>25470.533049000001</v>
      </c>
      <c r="M30" s="536">
        <v>116947.89305700001</v>
      </c>
      <c r="N30" s="536">
        <v>116947.89305700001</v>
      </c>
      <c r="O30" s="536">
        <v>0</v>
      </c>
      <c r="P30" s="536">
        <v>0</v>
      </c>
    </row>
    <row r="31" spans="1:18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10889.890072</v>
      </c>
      <c r="H31" s="552">
        <v>0.59336240178071975</v>
      </c>
      <c r="I31" s="386">
        <v>20.288206484349168</v>
      </c>
      <c r="J31" s="542">
        <v>10465.983448000001</v>
      </c>
      <c r="K31" s="542">
        <v>0</v>
      </c>
      <c r="L31" s="542">
        <v>10465.983448000001</v>
      </c>
      <c r="M31" s="542">
        <v>423.90662400000002</v>
      </c>
      <c r="N31" s="542">
        <v>423.90662400000002</v>
      </c>
      <c r="O31" s="536">
        <v>0</v>
      </c>
      <c r="P31" s="536">
        <v>0</v>
      </c>
      <c r="R31" s="596"/>
    </row>
    <row r="32" spans="1:18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136716.911891</v>
      </c>
      <c r="H32" s="552">
        <v>7.4493566663513704</v>
      </c>
      <c r="I32" s="386">
        <v>8.7900147101978465</v>
      </c>
      <c r="J32" s="542">
        <v>85639.659479000009</v>
      </c>
      <c r="K32" s="542">
        <v>81062.533930000005</v>
      </c>
      <c r="L32" s="542">
        <v>4577.1255490000003</v>
      </c>
      <c r="M32" s="542">
        <v>51077.252412000002</v>
      </c>
      <c r="N32" s="542">
        <v>51077.252412000002</v>
      </c>
      <c r="O32" s="536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3728.1044000000002</v>
      </c>
      <c r="H33" s="552">
        <v>0.2031349229650212</v>
      </c>
      <c r="I33" s="386">
        <v>16.568725310470754</v>
      </c>
      <c r="J33" s="542">
        <v>0</v>
      </c>
      <c r="K33" s="542">
        <v>0</v>
      </c>
      <c r="L33" s="542">
        <v>0</v>
      </c>
      <c r="M33" s="542">
        <v>3728.1044000000002</v>
      </c>
      <c r="N33" s="542">
        <v>3728.1044000000002</v>
      </c>
      <c r="O33" s="536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73372.575614999994</v>
      </c>
      <c r="H34" s="552">
        <v>3.9978849560377698</v>
      </c>
      <c r="I34" s="386">
        <v>9.8186669469488166</v>
      </c>
      <c r="J34" s="542">
        <v>11653.945994</v>
      </c>
      <c r="K34" s="542">
        <v>1226.5219420000001</v>
      </c>
      <c r="L34" s="542">
        <v>10427.424052</v>
      </c>
      <c r="M34" s="542">
        <v>61718.629621</v>
      </c>
      <c r="N34" s="542">
        <v>61718.629621</v>
      </c>
      <c r="O34" s="536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256992.15155400001</v>
      </c>
      <c r="H35" s="546">
        <v>14.002848447199289</v>
      </c>
      <c r="I35" s="535">
        <v>0.36558233465853185</v>
      </c>
      <c r="J35" s="536">
        <v>47932.477093000001</v>
      </c>
      <c r="K35" s="536">
        <v>973.95362299999999</v>
      </c>
      <c r="L35" s="536">
        <v>46958.52347</v>
      </c>
      <c r="M35" s="536">
        <v>209059.67446100002</v>
      </c>
      <c r="N35" s="536">
        <v>209059.67446100002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69832.241047999996</v>
      </c>
      <c r="H36" s="552">
        <v>3.8049811335112476</v>
      </c>
      <c r="I36" s="386">
        <v>-7.4088381119816527</v>
      </c>
      <c r="J36" s="542">
        <v>47006.850517999999</v>
      </c>
      <c r="K36" s="542">
        <v>48.615198999999997</v>
      </c>
      <c r="L36" s="559">
        <v>46958.235318999999</v>
      </c>
      <c r="M36" s="542">
        <v>22825.390530000001</v>
      </c>
      <c r="N36" s="542">
        <v>22825.390530000001</v>
      </c>
      <c r="O36" s="536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22357.556252999999</v>
      </c>
      <c r="H37" s="552">
        <v>1.2182063536469854</v>
      </c>
      <c r="I37" s="386">
        <v>-7.2192520927938375E-4</v>
      </c>
      <c r="J37" s="542">
        <v>4.2721049999999998</v>
      </c>
      <c r="K37" s="542">
        <v>4.2721049999999998</v>
      </c>
      <c r="L37" s="542">
        <v>0</v>
      </c>
      <c r="M37" s="542">
        <v>22353.284147999999</v>
      </c>
      <c r="N37" s="542">
        <v>22353.284147999999</v>
      </c>
      <c r="O37" s="536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164802.354253</v>
      </c>
      <c r="H38" s="552">
        <v>8.9796609600410573</v>
      </c>
      <c r="I38" s="386">
        <v>4.1218534651887184</v>
      </c>
      <c r="J38" s="542">
        <v>921.35446999999999</v>
      </c>
      <c r="K38" s="542">
        <v>921.06631900000002</v>
      </c>
      <c r="L38" s="542">
        <v>0.28815099999999999</v>
      </c>
      <c r="M38" s="542">
        <v>163880.99978300001</v>
      </c>
      <c r="N38" s="542">
        <v>163880.99978300001</v>
      </c>
      <c r="O38" s="536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40798.852294000004</v>
      </c>
      <c r="H39" s="546">
        <v>2.2230256528768262</v>
      </c>
      <c r="I39" s="535">
        <v>16.043050691425798</v>
      </c>
      <c r="J39" s="536">
        <v>713.02940400000011</v>
      </c>
      <c r="K39" s="536">
        <v>712.92180400000007</v>
      </c>
      <c r="L39" s="542">
        <v>0.1076</v>
      </c>
      <c r="M39" s="536">
        <v>40085.822890000003</v>
      </c>
      <c r="N39" s="536">
        <v>40085.822890000003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171.85647900000001</v>
      </c>
      <c r="H40" s="546">
        <v>9.3640222689860258E-3</v>
      </c>
      <c r="I40" s="535">
        <v>19.610349437318387</v>
      </c>
      <c r="J40" s="536">
        <v>171.85647900000001</v>
      </c>
      <c r="K40" s="536">
        <v>0</v>
      </c>
      <c r="L40" s="536">
        <v>171.85647900000001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124884.580147</v>
      </c>
      <c r="H42" s="546">
        <v>6.8046430158125029</v>
      </c>
      <c r="I42" s="535">
        <v>20.996097151369941</v>
      </c>
      <c r="J42" s="536">
        <v>33791.322151</v>
      </c>
      <c r="K42" s="536">
        <v>33791.322151</v>
      </c>
      <c r="L42" s="536">
        <v>0</v>
      </c>
      <c r="M42" s="536">
        <v>91093.257996</v>
      </c>
      <c r="N42" s="536">
        <v>0</v>
      </c>
      <c r="O42" s="536">
        <v>91093.257996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75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A8:F8"/>
    <mergeCell ref="A9:C9"/>
    <mergeCell ref="D9:F9"/>
    <mergeCell ref="E10:F10"/>
    <mergeCell ref="J5:L5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G4:I4"/>
    <mergeCell ref="J4:P4"/>
    <mergeCell ref="A1:I1"/>
    <mergeCell ref="J1:P1"/>
    <mergeCell ref="A3:F3"/>
    <mergeCell ref="G3:I3"/>
    <mergeCell ref="J3:P3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5214-79ED-48FD-9B90-F25DA4F954DC}">
  <sheetPr>
    <tabColor rgb="FFFFFF00"/>
    <pageSetUpPr fitToPage="1"/>
  </sheetPr>
  <dimension ref="A1:Q49"/>
  <sheetViews>
    <sheetView view="pageBreakPreview" zoomScale="70" zoomScaleNormal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9" sqref="G9"/>
    </sheetView>
  </sheetViews>
  <sheetFormatPr defaultColWidth="8.875" defaultRowHeight="16.5" x14ac:dyDescent="0.25"/>
  <cols>
    <col min="1" max="1" width="2" style="518" customWidth="1"/>
    <col min="2" max="2" width="3.625" style="518" customWidth="1"/>
    <col min="3" max="3" width="17.75" style="518" customWidth="1"/>
    <col min="4" max="4" width="1.875" style="518" customWidth="1"/>
    <col min="5" max="5" width="10.75" style="518" customWidth="1"/>
    <col min="6" max="6" width="31.125" style="518" customWidth="1"/>
    <col min="7" max="7" width="15.25" style="518" customWidth="1"/>
    <col min="8" max="9" width="11.5" style="518" customWidth="1"/>
    <col min="10" max="10" width="13.375" style="518" customWidth="1"/>
    <col min="11" max="11" width="13.125" style="518" customWidth="1"/>
    <col min="12" max="12" width="14.875" style="518" customWidth="1"/>
    <col min="13" max="13" width="11.5" style="518" customWidth="1"/>
    <col min="14" max="14" width="13" style="518" customWidth="1"/>
    <col min="15" max="15" width="12.875" style="518" customWidth="1"/>
    <col min="16" max="16" width="14.75" style="518" customWidth="1"/>
    <col min="17" max="17" width="8.875" style="518" customWidth="1"/>
    <col min="18" max="16384" width="8.875" style="518"/>
  </cols>
  <sheetData>
    <row r="1" spans="1:17" s="374" customFormat="1" ht="34.5" customHeight="1" x14ac:dyDescent="0.25">
      <c r="A1" s="715" t="s">
        <v>662</v>
      </c>
      <c r="B1" s="716"/>
      <c r="C1" s="716"/>
      <c r="D1" s="716"/>
      <c r="E1" s="716"/>
      <c r="F1" s="716"/>
      <c r="G1" s="716"/>
      <c r="H1" s="716"/>
      <c r="I1" s="716"/>
      <c r="J1" s="717" t="s">
        <v>479</v>
      </c>
      <c r="K1" s="717"/>
      <c r="L1" s="717"/>
      <c r="M1" s="717"/>
      <c r="N1" s="717"/>
      <c r="O1" s="717"/>
      <c r="P1" s="717"/>
    </row>
    <row r="2" spans="1:17" ht="15" customHeight="1" x14ac:dyDescent="0.25">
      <c r="A2" s="517" t="s">
        <v>46</v>
      </c>
      <c r="B2" s="517"/>
      <c r="C2" s="517"/>
      <c r="D2" s="517"/>
      <c r="E2" s="517"/>
      <c r="F2" s="517"/>
      <c r="P2" s="519" t="s">
        <v>101</v>
      </c>
    </row>
    <row r="3" spans="1:17" ht="15.75" customHeight="1" x14ac:dyDescent="0.25">
      <c r="A3" s="718" t="s">
        <v>116</v>
      </c>
      <c r="B3" s="718"/>
      <c r="C3" s="718"/>
      <c r="D3" s="718"/>
      <c r="E3" s="718"/>
      <c r="F3" s="719"/>
      <c r="G3" s="690" t="s">
        <v>575</v>
      </c>
      <c r="H3" s="663"/>
      <c r="I3" s="664"/>
      <c r="J3" s="662" t="s">
        <v>575</v>
      </c>
      <c r="K3" s="663"/>
      <c r="L3" s="663"/>
      <c r="M3" s="663"/>
      <c r="N3" s="663"/>
      <c r="O3" s="663"/>
      <c r="P3" s="663"/>
    </row>
    <row r="4" spans="1:17" ht="15.75" customHeight="1" x14ac:dyDescent="0.25">
      <c r="A4" s="520"/>
      <c r="B4" s="520"/>
      <c r="C4" s="520"/>
      <c r="D4" s="520"/>
      <c r="E4" s="520"/>
      <c r="F4" s="521"/>
      <c r="G4" s="684">
        <v>2024</v>
      </c>
      <c r="H4" s="665"/>
      <c r="I4" s="666"/>
      <c r="J4" s="665">
        <v>2024</v>
      </c>
      <c r="K4" s="665"/>
      <c r="L4" s="665"/>
      <c r="M4" s="665"/>
      <c r="N4" s="665"/>
      <c r="O4" s="665"/>
      <c r="P4" s="665"/>
    </row>
    <row r="5" spans="1:17" ht="23.45" customHeight="1" x14ac:dyDescent="0.25">
      <c r="A5" s="520"/>
      <c r="B5" s="520"/>
      <c r="C5" s="520"/>
      <c r="D5" s="520"/>
      <c r="E5" s="520"/>
      <c r="F5" s="521"/>
      <c r="G5" s="326" t="s">
        <v>47</v>
      </c>
      <c r="H5" s="327"/>
      <c r="I5" s="522"/>
      <c r="J5" s="701" t="s">
        <v>23</v>
      </c>
      <c r="K5" s="701"/>
      <c r="L5" s="702"/>
      <c r="M5" s="703" t="s">
        <v>24</v>
      </c>
      <c r="N5" s="701"/>
      <c r="O5" s="701"/>
      <c r="P5" s="701"/>
    </row>
    <row r="6" spans="1:17" ht="44.45" customHeight="1" x14ac:dyDescent="0.25">
      <c r="A6" s="523"/>
      <c r="B6" s="523"/>
      <c r="C6" s="523"/>
      <c r="D6" s="523"/>
      <c r="E6" s="523"/>
      <c r="F6" s="524"/>
      <c r="G6" s="525" t="s">
        <v>20</v>
      </c>
      <c r="H6" s="526" t="s">
        <v>72</v>
      </c>
      <c r="I6" s="398" t="s">
        <v>75</v>
      </c>
      <c r="J6" s="328" t="s">
        <v>25</v>
      </c>
      <c r="K6" s="527" t="s">
        <v>420</v>
      </c>
      <c r="L6" s="528" t="s">
        <v>414</v>
      </c>
      <c r="M6" s="526" t="s">
        <v>25</v>
      </c>
      <c r="N6" s="526" t="s">
        <v>421</v>
      </c>
      <c r="O6" s="529" t="s">
        <v>107</v>
      </c>
      <c r="P6" s="529" t="s">
        <v>422</v>
      </c>
    </row>
    <row r="7" spans="1:17" s="592" customFormat="1" ht="19.5" customHeight="1" x14ac:dyDescent="0.25">
      <c r="A7" s="523"/>
      <c r="B7" s="523"/>
      <c r="C7" s="523"/>
      <c r="D7" s="523"/>
      <c r="E7" s="523"/>
      <c r="F7" s="524"/>
      <c r="G7" s="530"/>
      <c r="H7" s="531" t="s">
        <v>74</v>
      </c>
      <c r="I7" s="704" t="s">
        <v>76</v>
      </c>
      <c r="J7" s="706" t="s">
        <v>20</v>
      </c>
      <c r="K7" s="708" t="s">
        <v>423</v>
      </c>
      <c r="L7" s="710" t="s">
        <v>424</v>
      </c>
      <c r="M7" s="708" t="s">
        <v>20</v>
      </c>
      <c r="N7" s="710" t="s">
        <v>71</v>
      </c>
      <c r="O7" s="710" t="s">
        <v>114</v>
      </c>
      <c r="P7" s="713" t="s">
        <v>69</v>
      </c>
    </row>
    <row r="8" spans="1:17" s="592" customFormat="1" ht="42.6" customHeight="1" x14ac:dyDescent="0.25">
      <c r="A8" s="695" t="s">
        <v>304</v>
      </c>
      <c r="B8" s="695"/>
      <c r="C8" s="695"/>
      <c r="D8" s="695"/>
      <c r="E8" s="695"/>
      <c r="F8" s="696"/>
      <c r="G8" s="532"/>
      <c r="H8" s="533"/>
      <c r="I8" s="705"/>
      <c r="J8" s="707"/>
      <c r="K8" s="709"/>
      <c r="L8" s="711"/>
      <c r="M8" s="709"/>
      <c r="N8" s="712"/>
      <c r="O8" s="712"/>
      <c r="P8" s="714"/>
    </row>
    <row r="9" spans="1:17" s="592" customFormat="1" ht="22.7" customHeight="1" x14ac:dyDescent="0.25">
      <c r="A9" s="697" t="s">
        <v>44</v>
      </c>
      <c r="B9" s="697"/>
      <c r="C9" s="697"/>
      <c r="D9" s="698" t="s">
        <v>20</v>
      </c>
      <c r="E9" s="698"/>
      <c r="F9" s="699"/>
      <c r="G9" s="534">
        <v>1889666.1432149999</v>
      </c>
      <c r="H9" s="535">
        <v>100</v>
      </c>
      <c r="I9" s="535">
        <v>2.9631000761640935</v>
      </c>
      <c r="J9" s="536">
        <v>1080982.9436629999</v>
      </c>
      <c r="K9" s="536">
        <v>264065.30535600003</v>
      </c>
      <c r="L9" s="536">
        <v>816917.63830699981</v>
      </c>
      <c r="M9" s="536">
        <v>808683.19955200003</v>
      </c>
      <c r="N9" s="536">
        <v>703614.69786800002</v>
      </c>
      <c r="O9" s="536">
        <v>89899.913541999995</v>
      </c>
      <c r="P9" s="536">
        <v>15168.588142000001</v>
      </c>
    </row>
    <row r="10" spans="1:17" ht="17.45" customHeight="1" x14ac:dyDescent="0.25">
      <c r="A10" s="63" t="s">
        <v>104</v>
      </c>
      <c r="B10" s="63"/>
      <c r="C10" s="63"/>
      <c r="D10" s="63" t="s">
        <v>48</v>
      </c>
      <c r="E10" s="700" t="s">
        <v>74</v>
      </c>
      <c r="F10" s="635"/>
      <c r="G10" s="537">
        <v>100</v>
      </c>
      <c r="H10" s="538"/>
      <c r="I10" s="538"/>
      <c r="J10" s="538">
        <v>57.204969647382278</v>
      </c>
      <c r="K10" s="538">
        <v>13.974177729973519</v>
      </c>
      <c r="L10" s="538">
        <v>43.230791917408752</v>
      </c>
      <c r="M10" s="538">
        <v>42.795030352617729</v>
      </c>
      <c r="N10" s="538">
        <v>37.234868201157425</v>
      </c>
      <c r="O10" s="538">
        <v>4.7574495560918502</v>
      </c>
      <c r="P10" s="538">
        <v>0.80271259536844908</v>
      </c>
    </row>
    <row r="11" spans="1:17" s="592" customFormat="1" ht="6" customHeight="1" x14ac:dyDescent="0.25">
      <c r="A11" s="539"/>
      <c r="B11" s="539"/>
      <c r="C11" s="539"/>
      <c r="D11" s="539"/>
      <c r="E11" s="539"/>
      <c r="F11" s="540"/>
      <c r="G11" s="541"/>
      <c r="H11" s="386"/>
      <c r="I11" s="386"/>
      <c r="J11" s="536"/>
      <c r="K11" s="536"/>
      <c r="L11" s="542"/>
      <c r="M11" s="542"/>
      <c r="N11" s="542"/>
      <c r="O11" s="542"/>
      <c r="P11" s="542"/>
    </row>
    <row r="12" spans="1:17" s="592" customFormat="1" ht="33" customHeight="1" x14ac:dyDescent="0.25">
      <c r="A12" s="543" t="s">
        <v>438</v>
      </c>
      <c r="B12" s="543"/>
      <c r="C12" s="543"/>
      <c r="D12" s="543" t="s">
        <v>442</v>
      </c>
      <c r="E12" s="539"/>
      <c r="F12" s="540"/>
      <c r="G12" s="534">
        <v>138416.7072814976</v>
      </c>
      <c r="H12" s="87">
        <v>7.3249292092412226</v>
      </c>
      <c r="I12" s="535">
        <v>-18.803201073398512</v>
      </c>
      <c r="J12" s="536">
        <v>121384.4970594976</v>
      </c>
      <c r="K12" s="536">
        <v>114998.2497074976</v>
      </c>
      <c r="L12" s="536">
        <v>6386.2473519999994</v>
      </c>
      <c r="M12" s="536">
        <v>17032.210222000002</v>
      </c>
      <c r="N12" s="536">
        <v>0</v>
      </c>
      <c r="O12" s="536">
        <v>1863.6220800000001</v>
      </c>
      <c r="P12" s="536">
        <v>15168.588142000001</v>
      </c>
      <c r="Q12" s="542"/>
    </row>
    <row r="13" spans="1:17" s="592" customFormat="1" ht="6" customHeight="1" x14ac:dyDescent="0.25">
      <c r="A13" s="462"/>
      <c r="B13" s="462"/>
      <c r="C13" s="462"/>
      <c r="D13" s="462"/>
      <c r="E13" s="462"/>
      <c r="F13" s="463"/>
      <c r="G13" s="541"/>
      <c r="H13" s="386"/>
      <c r="I13" s="386"/>
      <c r="J13" s="536"/>
      <c r="K13" s="536"/>
      <c r="L13" s="542"/>
      <c r="M13" s="542"/>
      <c r="N13" s="542"/>
      <c r="O13" s="542"/>
      <c r="P13" s="542"/>
    </row>
    <row r="14" spans="1:17" s="592" customFormat="1" ht="20.25" customHeight="1" x14ac:dyDescent="0.25">
      <c r="A14" s="543" t="s">
        <v>425</v>
      </c>
      <c r="B14" s="543"/>
      <c r="C14" s="543"/>
      <c r="D14" s="543" t="s">
        <v>426</v>
      </c>
      <c r="E14" s="543"/>
      <c r="F14" s="545"/>
      <c r="G14" s="534">
        <v>1625684.0858975023</v>
      </c>
      <c r="H14" s="546">
        <v>86.030227706341307</v>
      </c>
      <c r="I14" s="535">
        <v>5.5687282486762468</v>
      </c>
      <c r="J14" s="536">
        <v>922069.38802950224</v>
      </c>
      <c r="K14" s="536">
        <v>111537.9970745024</v>
      </c>
      <c r="L14" s="536">
        <v>810531.39095499984</v>
      </c>
      <c r="M14" s="536">
        <v>703614.69786800002</v>
      </c>
      <c r="N14" s="536">
        <v>703614.69786800002</v>
      </c>
      <c r="O14" s="536">
        <v>0</v>
      </c>
      <c r="P14" s="536">
        <v>0</v>
      </c>
    </row>
    <row r="15" spans="1:17" s="592" customFormat="1" ht="20.25" customHeight="1" x14ac:dyDescent="0.25">
      <c r="A15" s="547"/>
      <c r="B15" s="547" t="s">
        <v>12</v>
      </c>
      <c r="C15" s="547"/>
      <c r="D15" s="547"/>
      <c r="E15" s="548" t="s">
        <v>87</v>
      </c>
      <c r="F15" s="549"/>
      <c r="G15" s="534">
        <v>717420.92358499998</v>
      </c>
      <c r="H15" s="546">
        <v>37.965485393330361</v>
      </c>
      <c r="I15" s="535">
        <v>6.0922977422742886</v>
      </c>
      <c r="J15" s="536">
        <v>556262.35988599993</v>
      </c>
      <c r="K15" s="536">
        <v>14730.122904000002</v>
      </c>
      <c r="L15" s="536">
        <v>541532.23698199994</v>
      </c>
      <c r="M15" s="536">
        <v>161158.56369899999</v>
      </c>
      <c r="N15" s="536">
        <v>161158.56369899999</v>
      </c>
      <c r="O15" s="536">
        <v>0</v>
      </c>
      <c r="P15" s="536">
        <v>0</v>
      </c>
    </row>
    <row r="16" spans="1:17" ht="15.6" customHeight="1" x14ac:dyDescent="0.25">
      <c r="A16" s="447"/>
      <c r="B16" s="447"/>
      <c r="C16" s="550" t="s">
        <v>13</v>
      </c>
      <c r="D16" s="447"/>
      <c r="E16" s="447" t="s">
        <v>6</v>
      </c>
      <c r="F16" s="551"/>
      <c r="G16" s="541">
        <v>327637.35566</v>
      </c>
      <c r="H16" s="552">
        <v>17.338372539319106</v>
      </c>
      <c r="I16" s="386">
        <v>6.5981267030792878</v>
      </c>
      <c r="J16" s="542">
        <v>233653.465432</v>
      </c>
      <c r="K16" s="542">
        <v>6251.2485820000002</v>
      </c>
      <c r="L16" s="542">
        <v>227402.21685</v>
      </c>
      <c r="M16" s="542">
        <v>93983.890228000004</v>
      </c>
      <c r="N16" s="542">
        <v>93983.890228000004</v>
      </c>
      <c r="O16" s="536">
        <v>0</v>
      </c>
      <c r="P16" s="536">
        <v>0</v>
      </c>
    </row>
    <row r="17" spans="1:16" s="592" customFormat="1" ht="15.6" customHeight="1" x14ac:dyDescent="0.25">
      <c r="A17" s="447"/>
      <c r="B17" s="447"/>
      <c r="C17" s="550" t="s">
        <v>7</v>
      </c>
      <c r="D17" s="447"/>
      <c r="E17" s="447" t="s">
        <v>8</v>
      </c>
      <c r="F17" s="551"/>
      <c r="G17" s="541">
        <v>389783.56792499998</v>
      </c>
      <c r="H17" s="552">
        <v>20.627112854011255</v>
      </c>
      <c r="I17" s="386">
        <v>5.6708157118287472</v>
      </c>
      <c r="J17" s="542">
        <v>322608.89445399999</v>
      </c>
      <c r="K17" s="542">
        <v>8478.8743220000015</v>
      </c>
      <c r="L17" s="542">
        <v>314130.02013199998</v>
      </c>
      <c r="M17" s="542">
        <v>67174.673471000002</v>
      </c>
      <c r="N17" s="542">
        <v>67174.673471000002</v>
      </c>
      <c r="O17" s="536">
        <v>0</v>
      </c>
      <c r="P17" s="536">
        <v>0</v>
      </c>
    </row>
    <row r="18" spans="1:16" s="592" customFormat="1" ht="15.6" customHeight="1" x14ac:dyDescent="0.25">
      <c r="A18" s="447"/>
      <c r="B18" s="447"/>
      <c r="C18" s="447" t="s">
        <v>105</v>
      </c>
      <c r="D18" s="447"/>
      <c r="E18" s="447" t="s">
        <v>1</v>
      </c>
      <c r="F18" s="554"/>
      <c r="G18" s="541">
        <v>160394.74409251366</v>
      </c>
      <c r="H18" s="552">
        <v>8.4879937479127747</v>
      </c>
      <c r="I18" s="386">
        <v>7.2063989492640701</v>
      </c>
      <c r="J18" s="542">
        <v>131890.42670751366</v>
      </c>
      <c r="K18" s="542">
        <v>214.359791</v>
      </c>
      <c r="L18" s="542">
        <v>131676.06691651366</v>
      </c>
      <c r="M18" s="542">
        <v>28504.317384999998</v>
      </c>
      <c r="N18" s="542">
        <v>28504.317384999998</v>
      </c>
      <c r="O18" s="536">
        <v>0</v>
      </c>
      <c r="P18" s="536">
        <v>0</v>
      </c>
    </row>
    <row r="19" spans="1:16" s="592" customFormat="1" ht="15.6" customHeight="1" x14ac:dyDescent="0.25">
      <c r="A19" s="447"/>
      <c r="B19" s="447"/>
      <c r="C19" s="447" t="s">
        <v>106</v>
      </c>
      <c r="D19" s="447"/>
      <c r="E19" s="447" t="s">
        <v>0</v>
      </c>
      <c r="F19" s="554"/>
      <c r="G19" s="541">
        <v>229388.82383248629</v>
      </c>
      <c r="H19" s="552">
        <v>12.139119106098478</v>
      </c>
      <c r="I19" s="386">
        <v>4.6229694345371275</v>
      </c>
      <c r="J19" s="542">
        <v>190718.46774648631</v>
      </c>
      <c r="K19" s="542">
        <v>8264.5145310000007</v>
      </c>
      <c r="L19" s="542">
        <v>182453.95321548631</v>
      </c>
      <c r="M19" s="542">
        <v>38670.356086</v>
      </c>
      <c r="N19" s="542">
        <v>38670.356086</v>
      </c>
      <c r="O19" s="536">
        <v>0</v>
      </c>
      <c r="P19" s="536">
        <v>0</v>
      </c>
    </row>
    <row r="20" spans="1:16" s="592" customFormat="1" x14ac:dyDescent="0.25">
      <c r="A20" s="547"/>
      <c r="B20" s="547" t="s">
        <v>2</v>
      </c>
      <c r="C20" s="547"/>
      <c r="D20" s="547"/>
      <c r="E20" s="548" t="s">
        <v>88</v>
      </c>
      <c r="F20" s="549"/>
      <c r="G20" s="534">
        <v>360783.16635250242</v>
      </c>
      <c r="H20" s="546">
        <v>19.092428980003888</v>
      </c>
      <c r="I20" s="535">
        <v>5.7903876342755289</v>
      </c>
      <c r="J20" s="536">
        <v>195813.59583250238</v>
      </c>
      <c r="K20" s="536">
        <v>2520.7284755023893</v>
      </c>
      <c r="L20" s="536">
        <v>193292.86735699998</v>
      </c>
      <c r="M20" s="536">
        <v>164969.57052000001</v>
      </c>
      <c r="N20" s="536">
        <v>164969.57052000001</v>
      </c>
      <c r="O20" s="536">
        <v>0</v>
      </c>
      <c r="P20" s="536">
        <v>0</v>
      </c>
    </row>
    <row r="21" spans="1:16" ht="15.6" customHeight="1" x14ac:dyDescent="0.25">
      <c r="A21" s="447"/>
      <c r="B21" s="447"/>
      <c r="C21" s="550" t="s">
        <v>9</v>
      </c>
      <c r="D21" s="447"/>
      <c r="E21" s="447" t="s">
        <v>27</v>
      </c>
      <c r="F21" s="551"/>
      <c r="G21" s="541">
        <v>159243.86886050238</v>
      </c>
      <c r="H21" s="552">
        <v>8.4270901202458663</v>
      </c>
      <c r="I21" s="386">
        <v>5.8538165103446449</v>
      </c>
      <c r="J21" s="542">
        <v>128951.78356050237</v>
      </c>
      <c r="K21" s="542">
        <v>2449.1396405023893</v>
      </c>
      <c r="L21" s="542">
        <v>126502.64391999999</v>
      </c>
      <c r="M21" s="542">
        <v>30292.085299999999</v>
      </c>
      <c r="N21" s="542">
        <v>30292.085299999999</v>
      </c>
      <c r="O21" s="536">
        <v>0</v>
      </c>
      <c r="P21" s="536">
        <v>0</v>
      </c>
    </row>
    <row r="22" spans="1:16" ht="15.6" customHeight="1" x14ac:dyDescent="0.25">
      <c r="A22" s="447"/>
      <c r="B22" s="447"/>
      <c r="C22" s="447" t="s">
        <v>105</v>
      </c>
      <c r="D22" s="447"/>
      <c r="E22" s="447" t="s">
        <v>1</v>
      </c>
      <c r="F22" s="554"/>
      <c r="G22" s="541">
        <v>22642.078614098573</v>
      </c>
      <c r="H22" s="552">
        <v>1.1982052329929707</v>
      </c>
      <c r="I22" s="386">
        <v>1.8671178554791945</v>
      </c>
      <c r="J22" s="542">
        <v>18267.723812098571</v>
      </c>
      <c r="K22" s="542">
        <v>0</v>
      </c>
      <c r="L22" s="574">
        <v>18267.723812098571</v>
      </c>
      <c r="M22" s="542">
        <v>4374.3548019999998</v>
      </c>
      <c r="N22" s="556">
        <v>4374.3548019999998</v>
      </c>
      <c r="O22" s="536">
        <v>0</v>
      </c>
      <c r="P22" s="536">
        <v>0</v>
      </c>
    </row>
    <row r="23" spans="1:16" ht="15.6" customHeight="1" x14ac:dyDescent="0.25">
      <c r="A23" s="447"/>
      <c r="B23" s="447"/>
      <c r="C23" s="447" t="s">
        <v>106</v>
      </c>
      <c r="D23" s="447"/>
      <c r="E23" s="447" t="s">
        <v>0</v>
      </c>
      <c r="F23" s="554"/>
      <c r="G23" s="541">
        <v>136601.79024640381</v>
      </c>
      <c r="H23" s="552">
        <v>7.2288848872528968</v>
      </c>
      <c r="I23" s="386">
        <v>6.5449663799419744</v>
      </c>
      <c r="J23" s="542">
        <v>110684.0597484038</v>
      </c>
      <c r="K23" s="542">
        <v>2449.1396405023893</v>
      </c>
      <c r="L23" s="542">
        <v>108234.92010790142</v>
      </c>
      <c r="M23" s="542">
        <v>25917.730498000001</v>
      </c>
      <c r="N23" s="542">
        <v>25917.730498000001</v>
      </c>
      <c r="O23" s="536">
        <v>0</v>
      </c>
      <c r="P23" s="536">
        <v>0</v>
      </c>
    </row>
    <row r="24" spans="1:16" ht="15.6" customHeight="1" x14ac:dyDescent="0.25">
      <c r="A24" s="447"/>
      <c r="B24" s="447"/>
      <c r="C24" s="550" t="s">
        <v>19</v>
      </c>
      <c r="D24" s="447"/>
      <c r="E24" s="447" t="s">
        <v>26</v>
      </c>
      <c r="F24" s="551"/>
      <c r="G24" s="541">
        <v>31622.333373000001</v>
      </c>
      <c r="H24" s="552">
        <v>1.67343493381318</v>
      </c>
      <c r="I24" s="386">
        <v>1.7763435063856692</v>
      </c>
      <c r="J24" s="542">
        <v>23438.064729000002</v>
      </c>
      <c r="K24" s="542">
        <v>0</v>
      </c>
      <c r="L24" s="542">
        <v>23438.064729000002</v>
      </c>
      <c r="M24" s="542">
        <v>8184.2686439999998</v>
      </c>
      <c r="N24" s="542">
        <v>8184.2686439999998</v>
      </c>
      <c r="O24" s="536">
        <v>0</v>
      </c>
      <c r="P24" s="536">
        <v>0</v>
      </c>
    </row>
    <row r="25" spans="1:16" ht="15.6" customHeight="1" x14ac:dyDescent="0.25">
      <c r="A25" s="447"/>
      <c r="B25" s="447"/>
      <c r="C25" s="447" t="s">
        <v>105</v>
      </c>
      <c r="D25" s="447"/>
      <c r="E25" s="447" t="s">
        <v>1</v>
      </c>
      <c r="F25" s="554"/>
      <c r="G25" s="541">
        <v>11606.307954707747</v>
      </c>
      <c r="H25" s="552">
        <v>0.61419886239593913</v>
      </c>
      <c r="I25" s="386">
        <v>0.63825089712026273</v>
      </c>
      <c r="J25" s="542">
        <v>8602.4454267077472</v>
      </c>
      <c r="K25" s="542">
        <v>0</v>
      </c>
      <c r="L25" s="556">
        <v>8602.4454267077472</v>
      </c>
      <c r="M25" s="542">
        <v>3003.8625280000001</v>
      </c>
      <c r="N25" s="556">
        <v>3003.8625280000001</v>
      </c>
      <c r="O25" s="536">
        <v>0</v>
      </c>
      <c r="P25" s="536">
        <v>0</v>
      </c>
    </row>
    <row r="26" spans="1:16" ht="15.6" customHeight="1" x14ac:dyDescent="0.25">
      <c r="A26" s="447"/>
      <c r="B26" s="447"/>
      <c r="C26" s="447" t="s">
        <v>106</v>
      </c>
      <c r="D26" s="447"/>
      <c r="E26" s="447" t="s">
        <v>0</v>
      </c>
      <c r="F26" s="554"/>
      <c r="G26" s="541">
        <v>20016.025418292254</v>
      </c>
      <c r="H26" s="552">
        <v>1.0592360714172406</v>
      </c>
      <c r="I26" s="386">
        <v>2.4481355063098897</v>
      </c>
      <c r="J26" s="542">
        <v>14835.619302292254</v>
      </c>
      <c r="K26" s="542">
        <v>0</v>
      </c>
      <c r="L26" s="542">
        <v>14835.619302292254</v>
      </c>
      <c r="M26" s="542">
        <v>5180.4061160000001</v>
      </c>
      <c r="N26" s="542">
        <v>5180.4061160000001</v>
      </c>
      <c r="O26" s="536">
        <v>0</v>
      </c>
      <c r="P26" s="536">
        <v>0</v>
      </c>
    </row>
    <row r="27" spans="1:16" s="592" customFormat="1" ht="15.6" customHeight="1" x14ac:dyDescent="0.25">
      <c r="A27" s="447"/>
      <c r="B27" s="447"/>
      <c r="C27" s="550" t="s">
        <v>10</v>
      </c>
      <c r="D27" s="447"/>
      <c r="E27" s="447" t="s">
        <v>85</v>
      </c>
      <c r="F27" s="551"/>
      <c r="G27" s="541">
        <v>169916.96411900001</v>
      </c>
      <c r="H27" s="552">
        <v>8.9919039259448397</v>
      </c>
      <c r="I27" s="386">
        <v>6.5123674463344772</v>
      </c>
      <c r="J27" s="542">
        <v>43423.747543000005</v>
      </c>
      <c r="K27" s="542">
        <v>71.588835000000003</v>
      </c>
      <c r="L27" s="542">
        <v>43352.158708000003</v>
      </c>
      <c r="M27" s="542">
        <v>126493.21657600001</v>
      </c>
      <c r="N27" s="542">
        <v>126493.21657600001</v>
      </c>
      <c r="O27" s="536">
        <v>0</v>
      </c>
      <c r="P27" s="536">
        <v>0</v>
      </c>
    </row>
    <row r="28" spans="1:16" s="592" customFormat="1" ht="15.6" customHeight="1" x14ac:dyDescent="0.25">
      <c r="A28" s="447"/>
      <c r="B28" s="447"/>
      <c r="C28" s="447" t="s">
        <v>105</v>
      </c>
      <c r="D28" s="447"/>
      <c r="E28" s="447" t="s">
        <v>1</v>
      </c>
      <c r="F28" s="554"/>
      <c r="G28" s="541">
        <v>4.8769438205585391</v>
      </c>
      <c r="H28" s="552">
        <v>2.5808494469087051E-4</v>
      </c>
      <c r="I28" s="386">
        <v>-8.2964928587484827</v>
      </c>
      <c r="J28" s="542">
        <v>1.2448148205585388</v>
      </c>
      <c r="K28" s="542">
        <v>0</v>
      </c>
      <c r="L28" s="542">
        <v>1.2448148205585388</v>
      </c>
      <c r="M28" s="542">
        <v>3.6321289999999999</v>
      </c>
      <c r="N28" s="556">
        <v>3.6321289999999999</v>
      </c>
      <c r="O28" s="536">
        <v>0</v>
      </c>
      <c r="P28" s="536">
        <v>0</v>
      </c>
    </row>
    <row r="29" spans="1:16" s="592" customFormat="1" ht="15.6" customHeight="1" x14ac:dyDescent="0.25">
      <c r="A29" s="447"/>
      <c r="B29" s="447"/>
      <c r="C29" s="447" t="s">
        <v>106</v>
      </c>
      <c r="D29" s="447"/>
      <c r="E29" s="447" t="s">
        <v>0</v>
      </c>
      <c r="F29" s="554"/>
      <c r="G29" s="541">
        <v>169912.08717517945</v>
      </c>
      <c r="H29" s="552">
        <v>8.9916458410001479</v>
      </c>
      <c r="I29" s="386">
        <v>6.5128611441663598</v>
      </c>
      <c r="J29" s="542">
        <v>43422.502728179446</v>
      </c>
      <c r="K29" s="542">
        <v>71.588835000000003</v>
      </c>
      <c r="L29" s="542">
        <v>43350.913893179444</v>
      </c>
      <c r="M29" s="542">
        <v>126489.584447</v>
      </c>
      <c r="N29" s="542">
        <v>126489.584447</v>
      </c>
      <c r="O29" s="536">
        <v>0</v>
      </c>
      <c r="P29" s="536">
        <v>0</v>
      </c>
    </row>
    <row r="30" spans="1:16" s="592" customFormat="1" ht="20.25" customHeight="1" x14ac:dyDescent="0.25">
      <c r="A30" s="548"/>
      <c r="B30" s="547" t="s">
        <v>513</v>
      </c>
      <c r="C30" s="548"/>
      <c r="D30" s="548"/>
      <c r="E30" s="548" t="s">
        <v>514</v>
      </c>
      <c r="F30" s="558"/>
      <c r="G30" s="534">
        <v>248473.251946948</v>
      </c>
      <c r="H30" s="546">
        <v>13.149055606415526</v>
      </c>
      <c r="I30" s="535">
        <v>10.576314486615424</v>
      </c>
      <c r="J30" s="536">
        <v>119437.24343994801</v>
      </c>
      <c r="K30" s="536">
        <v>92847.395335000008</v>
      </c>
      <c r="L30" s="536">
        <v>26589.848104947996</v>
      </c>
      <c r="M30" s="536">
        <v>129036.00850699999</v>
      </c>
      <c r="N30" s="536">
        <v>129036.00850699999</v>
      </c>
      <c r="O30" s="536">
        <v>0</v>
      </c>
      <c r="P30" s="536">
        <v>0</v>
      </c>
    </row>
    <row r="31" spans="1:16" s="592" customFormat="1" ht="15.6" customHeight="1" x14ac:dyDescent="0.25">
      <c r="A31" s="447"/>
      <c r="B31" s="447"/>
      <c r="C31" s="550" t="s">
        <v>28</v>
      </c>
      <c r="D31" s="447"/>
      <c r="E31" s="447" t="s">
        <v>89</v>
      </c>
      <c r="F31" s="551"/>
      <c r="G31" s="541">
        <v>11292.341351999999</v>
      </c>
      <c r="H31" s="552">
        <v>0.59758393791125852</v>
      </c>
      <c r="I31" s="386">
        <v>3.6956413456806114</v>
      </c>
      <c r="J31" s="542">
        <v>10841.388756</v>
      </c>
      <c r="K31" s="542">
        <v>0</v>
      </c>
      <c r="L31" s="542">
        <v>10841.388756</v>
      </c>
      <c r="M31" s="542">
        <v>450.95259600000003</v>
      </c>
      <c r="N31" s="542">
        <v>450.95259600000003</v>
      </c>
      <c r="O31" s="536">
        <v>0</v>
      </c>
      <c r="P31" s="536">
        <v>0</v>
      </c>
    </row>
    <row r="32" spans="1:16" s="592" customFormat="1" ht="15.6" customHeight="1" x14ac:dyDescent="0.25">
      <c r="A32" s="447"/>
      <c r="B32" s="447"/>
      <c r="C32" s="550" t="s">
        <v>29</v>
      </c>
      <c r="D32" s="447"/>
      <c r="E32" s="447" t="s">
        <v>90</v>
      </c>
      <c r="F32" s="551"/>
      <c r="G32" s="541">
        <v>150737.32102500001</v>
      </c>
      <c r="H32" s="552">
        <v>7.9769287059639939</v>
      </c>
      <c r="I32" s="386">
        <v>10.255065697488863</v>
      </c>
      <c r="J32" s="542">
        <v>96388.149019000004</v>
      </c>
      <c r="K32" s="542">
        <v>91701.167100000006</v>
      </c>
      <c r="L32" s="542">
        <v>4686.9819189999998</v>
      </c>
      <c r="M32" s="542">
        <v>54349.172006000001</v>
      </c>
      <c r="N32" s="542">
        <v>54349.172006000001</v>
      </c>
      <c r="O32" s="536">
        <v>0</v>
      </c>
      <c r="P32" s="536">
        <v>0</v>
      </c>
    </row>
    <row r="33" spans="1:17" s="592" customFormat="1" ht="15.6" customHeight="1" x14ac:dyDescent="0.25">
      <c r="A33" s="447"/>
      <c r="B33" s="447"/>
      <c r="C33" s="550" t="s">
        <v>30</v>
      </c>
      <c r="D33" s="447"/>
      <c r="E33" s="447" t="s">
        <v>91</v>
      </c>
      <c r="F33" s="551"/>
      <c r="G33" s="541">
        <v>4033.5440600000002</v>
      </c>
      <c r="H33" s="552">
        <v>0.21345273473215193</v>
      </c>
      <c r="I33" s="386">
        <v>8.1928944908302483</v>
      </c>
      <c r="J33" s="542">
        <v>0</v>
      </c>
      <c r="K33" s="542">
        <v>0</v>
      </c>
      <c r="L33" s="542">
        <v>0</v>
      </c>
      <c r="M33" s="542">
        <v>4033.5440600000002</v>
      </c>
      <c r="N33" s="542">
        <v>4033.5440600000002</v>
      </c>
      <c r="O33" s="536">
        <v>0</v>
      </c>
      <c r="P33" s="536">
        <v>0</v>
      </c>
    </row>
    <row r="34" spans="1:17" s="592" customFormat="1" ht="15.6" customHeight="1" x14ac:dyDescent="0.25">
      <c r="A34" s="447"/>
      <c r="B34" s="447"/>
      <c r="C34" s="550" t="s">
        <v>31</v>
      </c>
      <c r="D34" s="447"/>
      <c r="E34" s="447" t="s">
        <v>92</v>
      </c>
      <c r="F34" s="551"/>
      <c r="G34" s="541">
        <v>82410.045509947988</v>
      </c>
      <c r="H34" s="552">
        <v>4.3610902278081216</v>
      </c>
      <c r="I34" s="386">
        <v>12.317231362259019</v>
      </c>
      <c r="J34" s="542">
        <v>12207.705664947998</v>
      </c>
      <c r="K34" s="542">
        <v>1146.228235</v>
      </c>
      <c r="L34" s="542">
        <v>11061.477429947998</v>
      </c>
      <c r="M34" s="542">
        <v>70202.339844999995</v>
      </c>
      <c r="N34" s="542">
        <v>70202.339844999995</v>
      </c>
      <c r="O34" s="536">
        <v>0</v>
      </c>
      <c r="P34" s="536">
        <v>0</v>
      </c>
    </row>
    <row r="35" spans="1:17" s="592" customFormat="1" ht="18.75" customHeight="1" x14ac:dyDescent="0.25">
      <c r="A35" s="547"/>
      <c r="B35" s="547" t="s">
        <v>86</v>
      </c>
      <c r="C35" s="547"/>
      <c r="D35" s="547"/>
      <c r="E35" s="548" t="s">
        <v>93</v>
      </c>
      <c r="F35" s="549"/>
      <c r="G35" s="534">
        <v>258079.89462805202</v>
      </c>
      <c r="H35" s="546">
        <v>13.657433380743411</v>
      </c>
      <c r="I35" s="535">
        <v>0.42325925810362541</v>
      </c>
      <c r="J35" s="536">
        <v>49603.898771052001</v>
      </c>
      <c r="K35" s="536">
        <v>665.69514800000002</v>
      </c>
      <c r="L35" s="536">
        <v>48938.203623052003</v>
      </c>
      <c r="M35" s="536">
        <v>208475.995857</v>
      </c>
      <c r="N35" s="536">
        <v>208475.995857</v>
      </c>
      <c r="O35" s="536">
        <v>0</v>
      </c>
      <c r="P35" s="536">
        <v>0</v>
      </c>
    </row>
    <row r="36" spans="1:17" ht="15.6" customHeight="1" x14ac:dyDescent="0.25">
      <c r="A36" s="447"/>
      <c r="B36" s="447"/>
      <c r="C36" s="550" t="s">
        <v>35</v>
      </c>
      <c r="D36" s="447"/>
      <c r="E36" s="447" t="s">
        <v>27</v>
      </c>
      <c r="F36" s="551"/>
      <c r="G36" s="541">
        <v>71107.377540051995</v>
      </c>
      <c r="H36" s="552">
        <v>3.7629598114655765</v>
      </c>
      <c r="I36" s="386">
        <v>1.8259996713774651</v>
      </c>
      <c r="J36" s="542">
        <v>48977.109935052002</v>
      </c>
      <c r="K36" s="542">
        <v>39.293971999999997</v>
      </c>
      <c r="L36" s="559">
        <v>48937.815963052002</v>
      </c>
      <c r="M36" s="542">
        <v>22130.267605000001</v>
      </c>
      <c r="N36" s="542">
        <v>22130.267605000001</v>
      </c>
      <c r="O36" s="536">
        <v>0</v>
      </c>
      <c r="P36" s="536">
        <v>0</v>
      </c>
    </row>
    <row r="37" spans="1:17" ht="15.6" customHeight="1" x14ac:dyDescent="0.25">
      <c r="A37" s="447"/>
      <c r="B37" s="447"/>
      <c r="C37" s="550" t="s">
        <v>36</v>
      </c>
      <c r="D37" s="447"/>
      <c r="E37" s="447" t="s">
        <v>26</v>
      </c>
      <c r="F37" s="551"/>
      <c r="G37" s="541">
        <v>22002.355742</v>
      </c>
      <c r="H37" s="552">
        <v>1.1643514819271779</v>
      </c>
      <c r="I37" s="386">
        <v>-1.588726902799753</v>
      </c>
      <c r="J37" s="542">
        <v>3.5904999999999999E-2</v>
      </c>
      <c r="K37" s="542">
        <v>3.5904999999999999E-2</v>
      </c>
      <c r="L37" s="542">
        <v>0</v>
      </c>
      <c r="M37" s="542">
        <v>22002.319836999999</v>
      </c>
      <c r="N37" s="542">
        <v>22002.319836999999</v>
      </c>
      <c r="O37" s="536">
        <v>0</v>
      </c>
      <c r="P37" s="536">
        <v>0</v>
      </c>
    </row>
    <row r="38" spans="1:17" s="592" customFormat="1" ht="15.6" customHeight="1" x14ac:dyDescent="0.25">
      <c r="A38" s="447"/>
      <c r="B38" s="447"/>
      <c r="C38" s="550" t="s">
        <v>37</v>
      </c>
      <c r="D38" s="447"/>
      <c r="E38" s="447" t="s">
        <v>94</v>
      </c>
      <c r="F38" s="551"/>
      <c r="G38" s="541">
        <v>164970.16134600001</v>
      </c>
      <c r="H38" s="552">
        <v>8.730122087350658</v>
      </c>
      <c r="I38" s="386">
        <v>0.10182323775691504</v>
      </c>
      <c r="J38" s="542">
        <v>626.75293099999999</v>
      </c>
      <c r="K38" s="542">
        <v>626.36527100000001</v>
      </c>
      <c r="L38" s="542">
        <v>0.38766</v>
      </c>
      <c r="M38" s="542">
        <v>164343.40841500001</v>
      </c>
      <c r="N38" s="542">
        <v>164343.40841500001</v>
      </c>
      <c r="O38" s="536">
        <v>0</v>
      </c>
      <c r="P38" s="536">
        <v>0</v>
      </c>
    </row>
    <row r="39" spans="1:17" s="592" customFormat="1" ht="19.5" customHeight="1" x14ac:dyDescent="0.25">
      <c r="A39" s="547"/>
      <c r="B39" s="547" t="s">
        <v>38</v>
      </c>
      <c r="C39" s="547"/>
      <c r="D39" s="548"/>
      <c r="E39" s="548" t="s">
        <v>39</v>
      </c>
      <c r="F39" s="549"/>
      <c r="G39" s="534">
        <v>40748.646357000005</v>
      </c>
      <c r="H39" s="546">
        <v>2.1563939483866679</v>
      </c>
      <c r="I39" s="535">
        <v>-0.12305722876273517</v>
      </c>
      <c r="J39" s="536">
        <v>774.08707199999992</v>
      </c>
      <c r="K39" s="536">
        <v>774.05521199999987</v>
      </c>
      <c r="L39" s="542">
        <v>3.1859999999999999E-2</v>
      </c>
      <c r="M39" s="536">
        <v>39974.559285000003</v>
      </c>
      <c r="N39" s="536">
        <v>39974.559285000003</v>
      </c>
      <c r="O39" s="536">
        <v>0</v>
      </c>
      <c r="P39" s="536">
        <v>0</v>
      </c>
    </row>
    <row r="40" spans="1:17" s="592" customFormat="1" ht="19.5" customHeight="1" x14ac:dyDescent="0.25">
      <c r="A40" s="547"/>
      <c r="B40" s="547" t="s">
        <v>34</v>
      </c>
      <c r="C40" s="547"/>
      <c r="D40" s="548"/>
      <c r="E40" s="548" t="s">
        <v>16</v>
      </c>
      <c r="F40" s="549"/>
      <c r="G40" s="534">
        <v>178.20302799999999</v>
      </c>
      <c r="H40" s="546">
        <v>9.4303974614697132E-3</v>
      </c>
      <c r="I40" s="535">
        <v>3.6929355453628077</v>
      </c>
      <c r="J40" s="536">
        <v>178.20302799999999</v>
      </c>
      <c r="K40" s="536">
        <v>0</v>
      </c>
      <c r="L40" s="536">
        <v>178.20302799999999</v>
      </c>
      <c r="M40" s="536">
        <v>0</v>
      </c>
      <c r="N40" s="536">
        <v>0</v>
      </c>
      <c r="O40" s="536">
        <v>0</v>
      </c>
      <c r="P40" s="536">
        <v>0</v>
      </c>
    </row>
    <row r="41" spans="1:17" s="592" customFormat="1" ht="8.4499999999999993" customHeight="1" x14ac:dyDescent="0.25">
      <c r="A41" s="462"/>
      <c r="B41" s="462"/>
      <c r="C41" s="462"/>
      <c r="D41" s="462"/>
      <c r="E41" s="462"/>
      <c r="F41" s="463"/>
      <c r="G41" s="541"/>
      <c r="H41" s="552"/>
      <c r="I41" s="386"/>
      <c r="J41" s="536"/>
      <c r="K41" s="536"/>
      <c r="L41" s="542"/>
      <c r="M41" s="536"/>
      <c r="N41" s="542"/>
      <c r="O41" s="542"/>
      <c r="P41" s="542"/>
    </row>
    <row r="42" spans="1:17" s="592" customFormat="1" ht="19.5" customHeight="1" x14ac:dyDescent="0.25">
      <c r="A42" s="560" t="s">
        <v>427</v>
      </c>
      <c r="B42" s="543"/>
      <c r="C42" s="543"/>
      <c r="D42" s="543" t="s">
        <v>428</v>
      </c>
      <c r="E42" s="543"/>
      <c r="F42" s="545"/>
      <c r="G42" s="534">
        <v>125565.35003599999</v>
      </c>
      <c r="H42" s="546">
        <v>6.6448430844174569</v>
      </c>
      <c r="I42" s="535">
        <v>0.54511925187132881</v>
      </c>
      <c r="J42" s="536">
        <v>37529.058574000002</v>
      </c>
      <c r="K42" s="536">
        <v>37529.058574000002</v>
      </c>
      <c r="L42" s="536">
        <v>0</v>
      </c>
      <c r="M42" s="536">
        <v>88036.291461999994</v>
      </c>
      <c r="N42" s="536">
        <v>0</v>
      </c>
      <c r="O42" s="536">
        <v>88036.291461999994</v>
      </c>
      <c r="P42" s="536">
        <v>0</v>
      </c>
    </row>
    <row r="43" spans="1:17" ht="6" customHeight="1" x14ac:dyDescent="0.25">
      <c r="A43" s="561"/>
      <c r="B43" s="561"/>
      <c r="C43" s="561"/>
      <c r="D43" s="561"/>
      <c r="E43" s="561"/>
      <c r="F43" s="562"/>
      <c r="G43" s="563"/>
      <c r="H43" s="564"/>
      <c r="I43" s="564"/>
      <c r="J43" s="565"/>
      <c r="K43" s="565"/>
      <c r="L43" s="566"/>
      <c r="M43" s="566"/>
      <c r="N43" s="566"/>
      <c r="O43" s="566"/>
      <c r="P43" s="566"/>
    </row>
    <row r="44" spans="1:17" s="568" customFormat="1" ht="15.75" x14ac:dyDescent="0.25">
      <c r="A44" s="567" t="s">
        <v>96</v>
      </c>
      <c r="B44" s="372"/>
      <c r="J44" s="450" t="s">
        <v>310</v>
      </c>
      <c r="K44" s="372"/>
    </row>
    <row r="45" spans="1:17" s="568" customFormat="1" ht="15.75" x14ac:dyDescent="0.25">
      <c r="A45" s="569" t="s">
        <v>688</v>
      </c>
      <c r="J45" s="570" t="s">
        <v>559</v>
      </c>
      <c r="K45" s="569"/>
    </row>
    <row r="46" spans="1:17" s="568" customFormat="1" ht="15.75" x14ac:dyDescent="0.25">
      <c r="A46" s="372" t="s">
        <v>689</v>
      </c>
      <c r="B46" s="372"/>
      <c r="J46" s="450" t="s">
        <v>560</v>
      </c>
      <c r="K46" s="372"/>
    </row>
    <row r="47" spans="1:17" s="568" customFormat="1" ht="15.75" x14ac:dyDescent="0.25">
      <c r="A47" s="372" t="s">
        <v>570</v>
      </c>
      <c r="B47" s="372"/>
      <c r="J47" s="450" t="s">
        <v>561</v>
      </c>
      <c r="K47" s="372"/>
    </row>
    <row r="48" spans="1:17" s="568" customFormat="1" ht="15.6" customHeight="1" x14ac:dyDescent="0.25">
      <c r="A48" s="569" t="s">
        <v>496</v>
      </c>
      <c r="B48" s="569"/>
      <c r="G48" s="571"/>
      <c r="H48" s="572"/>
      <c r="J48" s="450" t="s">
        <v>562</v>
      </c>
      <c r="K48" s="372"/>
      <c r="L48" s="572"/>
      <c r="M48" s="572"/>
      <c r="N48" s="572"/>
      <c r="O48" s="572"/>
      <c r="P48" s="572"/>
      <c r="Q48" s="572"/>
    </row>
    <row r="49" spans="7:16" ht="15.6" customHeight="1" x14ac:dyDescent="0.25">
      <c r="G49" s="470"/>
      <c r="H49" s="573"/>
      <c r="I49" s="573"/>
      <c r="J49" s="450" t="s">
        <v>563</v>
      </c>
      <c r="K49" s="372"/>
      <c r="L49" s="573"/>
      <c r="M49" s="573"/>
      <c r="N49" s="573"/>
      <c r="O49" s="573"/>
      <c r="P49" s="573"/>
    </row>
  </sheetData>
  <mergeCells count="21">
    <mergeCell ref="G4:I4"/>
    <mergeCell ref="J4:P4"/>
    <mergeCell ref="A1:I1"/>
    <mergeCell ref="J1:P1"/>
    <mergeCell ref="A3:F3"/>
    <mergeCell ref="G3:I3"/>
    <mergeCell ref="J3:P3"/>
    <mergeCell ref="M5:P5"/>
    <mergeCell ref="I7:I8"/>
    <mergeCell ref="J7:J8"/>
    <mergeCell ref="K7:K8"/>
    <mergeCell ref="L7:L8"/>
    <mergeCell ref="M7:M8"/>
    <mergeCell ref="N7:N8"/>
    <mergeCell ref="O7:O8"/>
    <mergeCell ref="P7:P8"/>
    <mergeCell ref="A8:F8"/>
    <mergeCell ref="A9:C9"/>
    <mergeCell ref="D9:F9"/>
    <mergeCell ref="E10:F10"/>
    <mergeCell ref="J5:L5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92" firstPageNumber="78" fitToWidth="0" orientation="portrait" r:id="rId1"/>
  <headerFooter alignWithMargins="0"/>
  <colBreaks count="1" manualBreakCount="1">
    <brk id="9" max="56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</sheetPr>
  <dimension ref="A1:AB53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B8" sqref="B8"/>
    </sheetView>
  </sheetViews>
  <sheetFormatPr defaultColWidth="9" defaultRowHeight="15.75" x14ac:dyDescent="0.25"/>
  <cols>
    <col min="1" max="1" width="12" style="21" customWidth="1"/>
    <col min="2" max="10" width="11.125" style="21" customWidth="1"/>
    <col min="11" max="11" width="0.625" style="21" customWidth="1"/>
    <col min="12" max="20" width="11.125" style="21" customWidth="1"/>
    <col min="21" max="21" width="11.875" style="21" customWidth="1"/>
    <col min="22" max="22" width="9" style="21"/>
    <col min="23" max="24" width="15.625" style="21" bestFit="1" customWidth="1"/>
    <col min="25" max="25" width="13.75" style="21" bestFit="1" customWidth="1"/>
    <col min="26" max="26" width="10.75" style="21" customWidth="1"/>
    <col min="27" max="27" width="9" style="21"/>
    <col min="28" max="28" width="11.125" style="21" customWidth="1"/>
    <col min="29" max="16384" width="9" style="21"/>
  </cols>
  <sheetData>
    <row r="1" spans="1:28" ht="23.45" customHeight="1" x14ac:dyDescent="0.25">
      <c r="A1" s="720" t="s">
        <v>661</v>
      </c>
      <c r="B1" s="720"/>
      <c r="C1" s="720"/>
      <c r="D1" s="720"/>
      <c r="E1" s="720"/>
      <c r="F1" s="720"/>
      <c r="G1" s="720"/>
      <c r="H1" s="720"/>
      <c r="I1" s="720"/>
      <c r="J1" s="720"/>
      <c r="K1" s="576"/>
      <c r="L1" s="721" t="s">
        <v>552</v>
      </c>
      <c r="M1" s="721"/>
      <c r="N1" s="721"/>
      <c r="O1" s="721"/>
      <c r="P1" s="721"/>
      <c r="Q1" s="721"/>
      <c r="R1" s="721"/>
      <c r="S1" s="721"/>
      <c r="T1" s="721"/>
      <c r="U1" s="721"/>
    </row>
    <row r="2" spans="1:28" ht="16.149999999999999" customHeight="1" x14ac:dyDescent="0.25">
      <c r="A2" s="577" t="s">
        <v>132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4"/>
      <c r="M2" s="574"/>
      <c r="N2" s="574"/>
      <c r="O2" s="574"/>
      <c r="P2" s="574"/>
      <c r="Q2" s="574"/>
      <c r="R2" s="722" t="s">
        <v>133</v>
      </c>
      <c r="S2" s="722"/>
      <c r="T2" s="722"/>
      <c r="U2" s="722"/>
    </row>
    <row r="3" spans="1:28" s="22" customFormat="1" ht="15.6" customHeight="1" x14ac:dyDescent="0.25">
      <c r="A3" s="723" t="s">
        <v>469</v>
      </c>
      <c r="B3" s="726" t="s">
        <v>546</v>
      </c>
      <c r="C3" s="727"/>
      <c r="D3" s="728"/>
      <c r="E3" s="726" t="s">
        <v>487</v>
      </c>
      <c r="F3" s="727"/>
      <c r="G3" s="728"/>
      <c r="H3" s="726" t="s">
        <v>488</v>
      </c>
      <c r="I3" s="727"/>
      <c r="J3" s="728"/>
      <c r="K3" s="578"/>
      <c r="L3" s="727" t="s">
        <v>489</v>
      </c>
      <c r="M3" s="727"/>
      <c r="N3" s="728"/>
      <c r="O3" s="729" t="s">
        <v>490</v>
      </c>
      <c r="P3" s="729"/>
      <c r="Q3" s="729"/>
      <c r="R3" s="729" t="s">
        <v>491</v>
      </c>
      <c r="S3" s="729"/>
      <c r="T3" s="729"/>
      <c r="U3" s="735" t="s">
        <v>470</v>
      </c>
    </row>
    <row r="4" spans="1:28" ht="14.45" customHeight="1" x14ac:dyDescent="0.25">
      <c r="A4" s="724"/>
      <c r="B4" s="730">
        <v>2013</v>
      </c>
      <c r="C4" s="731"/>
      <c r="D4" s="732"/>
      <c r="E4" s="730">
        <v>2014</v>
      </c>
      <c r="F4" s="731"/>
      <c r="G4" s="732"/>
      <c r="H4" s="730">
        <v>2015</v>
      </c>
      <c r="I4" s="731"/>
      <c r="J4" s="732"/>
      <c r="K4" s="578"/>
      <c r="L4" s="731">
        <v>2016</v>
      </c>
      <c r="M4" s="731"/>
      <c r="N4" s="732"/>
      <c r="O4" s="747">
        <v>2017</v>
      </c>
      <c r="P4" s="747"/>
      <c r="Q4" s="747"/>
      <c r="R4" s="747">
        <v>2018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33" t="s">
        <v>486</v>
      </c>
      <c r="F5" s="740"/>
      <c r="G5" s="741"/>
      <c r="H5" s="742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3" customHeight="1" x14ac:dyDescent="0.25">
      <c r="A6" s="724"/>
      <c r="B6" s="734"/>
      <c r="C6" s="329" t="s">
        <v>467</v>
      </c>
      <c r="D6" s="329" t="s">
        <v>468</v>
      </c>
      <c r="E6" s="734"/>
      <c r="F6" s="329" t="s">
        <v>467</v>
      </c>
      <c r="G6" s="329" t="s">
        <v>468</v>
      </c>
      <c r="H6" s="743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8.9" customHeight="1" x14ac:dyDescent="0.25">
      <c r="A7" s="725"/>
      <c r="B7" s="141" t="s">
        <v>430</v>
      </c>
      <c r="C7" s="260" t="s">
        <v>431</v>
      </c>
      <c r="D7" s="260" t="s">
        <v>547</v>
      </c>
      <c r="E7" s="141" t="s">
        <v>430</v>
      </c>
      <c r="F7" s="260" t="s">
        <v>431</v>
      </c>
      <c r="G7" s="260" t="s">
        <v>547</v>
      </c>
      <c r="H7" s="142" t="s">
        <v>430</v>
      </c>
      <c r="I7" s="260" t="s">
        <v>431</v>
      </c>
      <c r="J7" s="260" t="s">
        <v>548</v>
      </c>
      <c r="K7" s="293"/>
      <c r="L7" s="142" t="s">
        <v>430</v>
      </c>
      <c r="M7" s="260" t="s">
        <v>431</v>
      </c>
      <c r="N7" s="260" t="s">
        <v>432</v>
      </c>
      <c r="O7" s="141" t="s">
        <v>430</v>
      </c>
      <c r="P7" s="260" t="s">
        <v>431</v>
      </c>
      <c r="Q7" s="260" t="s">
        <v>432</v>
      </c>
      <c r="R7" s="141" t="s">
        <v>430</v>
      </c>
      <c r="S7" s="260" t="s">
        <v>431</v>
      </c>
      <c r="T7" s="260" t="s">
        <v>432</v>
      </c>
      <c r="U7" s="737"/>
    </row>
    <row r="8" spans="1:28" ht="19.149999999999999" customHeight="1" x14ac:dyDescent="0.25">
      <c r="A8" s="204" t="s">
        <v>136</v>
      </c>
      <c r="B8" s="222">
        <v>35466</v>
      </c>
      <c r="C8" s="223">
        <v>33218</v>
      </c>
      <c r="D8" s="224">
        <v>2248</v>
      </c>
      <c r="E8" s="223">
        <v>36327</v>
      </c>
      <c r="F8" s="223">
        <v>33994</v>
      </c>
      <c r="G8" s="224">
        <v>2333</v>
      </c>
      <c r="H8" s="222">
        <v>35910</v>
      </c>
      <c r="I8" s="223">
        <v>33616</v>
      </c>
      <c r="J8" s="224">
        <v>2294</v>
      </c>
      <c r="K8" s="231"/>
      <c r="L8" s="223">
        <v>37301</v>
      </c>
      <c r="M8" s="223">
        <v>34608</v>
      </c>
      <c r="N8" s="224">
        <v>2693</v>
      </c>
      <c r="O8" s="222">
        <v>41921</v>
      </c>
      <c r="P8" s="223">
        <v>39196</v>
      </c>
      <c r="Q8" s="224">
        <v>2725</v>
      </c>
      <c r="R8" s="222">
        <v>45072</v>
      </c>
      <c r="S8" s="223">
        <v>41918</v>
      </c>
      <c r="T8" s="224">
        <v>3154</v>
      </c>
      <c r="U8" s="215" t="s">
        <v>137</v>
      </c>
    </row>
    <row r="9" spans="1:28" ht="19.149999999999999" customHeight="1" x14ac:dyDescent="0.25">
      <c r="A9" s="205" t="s">
        <v>138</v>
      </c>
      <c r="B9" s="160">
        <v>143845</v>
      </c>
      <c r="C9" s="158">
        <v>135046</v>
      </c>
      <c r="D9" s="159">
        <v>8799</v>
      </c>
      <c r="E9" s="158">
        <v>152516</v>
      </c>
      <c r="F9" s="158">
        <v>143892</v>
      </c>
      <c r="G9" s="159">
        <v>8624</v>
      </c>
      <c r="H9" s="160">
        <v>133919</v>
      </c>
      <c r="I9" s="158">
        <v>126252</v>
      </c>
      <c r="J9" s="159">
        <v>7667</v>
      </c>
      <c r="K9" s="160"/>
      <c r="L9" s="158">
        <v>141247</v>
      </c>
      <c r="M9" s="158">
        <v>131830</v>
      </c>
      <c r="N9" s="159">
        <v>9417</v>
      </c>
      <c r="O9" s="160">
        <v>149826</v>
      </c>
      <c r="P9" s="158">
        <v>142715</v>
      </c>
      <c r="Q9" s="159">
        <v>7111</v>
      </c>
      <c r="R9" s="160">
        <v>154596</v>
      </c>
      <c r="S9" s="158">
        <v>146791</v>
      </c>
      <c r="T9" s="159">
        <v>7806</v>
      </c>
      <c r="U9" s="215" t="s">
        <v>139</v>
      </c>
      <c r="W9" s="314"/>
      <c r="X9" s="314"/>
      <c r="Y9" s="314"/>
      <c r="Z9" s="255"/>
      <c r="AA9" s="255"/>
      <c r="AB9" s="255"/>
    </row>
    <row r="10" spans="1:28" ht="19.149999999999999" customHeight="1" x14ac:dyDescent="0.25">
      <c r="A10" s="205" t="s">
        <v>140</v>
      </c>
      <c r="B10" s="160">
        <v>46861</v>
      </c>
      <c r="C10" s="158">
        <v>44389</v>
      </c>
      <c r="D10" s="159">
        <v>2473</v>
      </c>
      <c r="E10" s="158">
        <v>48669</v>
      </c>
      <c r="F10" s="158">
        <v>46099</v>
      </c>
      <c r="G10" s="159">
        <v>2570</v>
      </c>
      <c r="H10" s="160">
        <v>42106</v>
      </c>
      <c r="I10" s="158">
        <v>39916</v>
      </c>
      <c r="J10" s="159">
        <v>2190</v>
      </c>
      <c r="K10" s="160"/>
      <c r="L10" s="158">
        <v>43495</v>
      </c>
      <c r="M10" s="158">
        <v>41405</v>
      </c>
      <c r="N10" s="159">
        <v>2090</v>
      </c>
      <c r="O10" s="160">
        <v>46219</v>
      </c>
      <c r="P10" s="158">
        <v>43863</v>
      </c>
      <c r="Q10" s="159">
        <v>2356</v>
      </c>
      <c r="R10" s="160">
        <v>50111</v>
      </c>
      <c r="S10" s="158">
        <v>47592</v>
      </c>
      <c r="T10" s="159">
        <v>2519</v>
      </c>
      <c r="U10" s="215" t="s">
        <v>141</v>
      </c>
      <c r="W10" s="314"/>
      <c r="X10" s="314"/>
      <c r="Y10" s="314"/>
      <c r="Z10" s="255"/>
      <c r="AA10" s="255"/>
      <c r="AB10" s="255"/>
    </row>
    <row r="11" spans="1:28" ht="19.149999999999999" customHeight="1" x14ac:dyDescent="0.25">
      <c r="A11" s="205" t="s">
        <v>142</v>
      </c>
      <c r="B11" s="160" t="s">
        <v>57</v>
      </c>
      <c r="C11" s="158">
        <v>55753</v>
      </c>
      <c r="D11" s="159" t="s">
        <v>57</v>
      </c>
      <c r="E11" s="158" t="s">
        <v>57</v>
      </c>
      <c r="F11" s="158">
        <v>57136</v>
      </c>
      <c r="G11" s="159" t="s">
        <v>57</v>
      </c>
      <c r="H11" s="160" t="s">
        <v>57</v>
      </c>
      <c r="I11" s="158">
        <v>50180</v>
      </c>
      <c r="J11" s="159" t="s">
        <v>57</v>
      </c>
      <c r="K11" s="160"/>
      <c r="L11" s="158" t="s">
        <v>57</v>
      </c>
      <c r="M11" s="158">
        <v>51688</v>
      </c>
      <c r="N11" s="159" t="s">
        <v>57</v>
      </c>
      <c r="O11" s="160" t="s">
        <v>57</v>
      </c>
      <c r="P11" s="158">
        <v>54802</v>
      </c>
      <c r="Q11" s="159" t="s">
        <v>57</v>
      </c>
      <c r="R11" s="160" t="s">
        <v>57</v>
      </c>
      <c r="S11" s="158">
        <v>59657</v>
      </c>
      <c r="T11" s="159" t="s">
        <v>57</v>
      </c>
      <c r="U11" s="215" t="s">
        <v>143</v>
      </c>
      <c r="W11" s="314"/>
      <c r="X11" s="314"/>
      <c r="Y11" s="314"/>
      <c r="Z11" s="255"/>
      <c r="AA11" s="255"/>
      <c r="AB11" s="255"/>
    </row>
    <row r="12" spans="1:28" ht="19.149999999999999" customHeight="1" x14ac:dyDescent="0.25">
      <c r="A12" s="205" t="s">
        <v>144</v>
      </c>
      <c r="B12" s="160">
        <v>201627</v>
      </c>
      <c r="C12" s="158">
        <v>192703</v>
      </c>
      <c r="D12" s="159">
        <v>8923</v>
      </c>
      <c r="E12" s="158">
        <v>193524</v>
      </c>
      <c r="F12" s="158">
        <v>185652</v>
      </c>
      <c r="G12" s="159">
        <v>7871</v>
      </c>
      <c r="H12" s="160">
        <v>174633</v>
      </c>
      <c r="I12" s="158">
        <v>167542</v>
      </c>
      <c r="J12" s="159">
        <v>7090</v>
      </c>
      <c r="K12" s="160"/>
      <c r="L12" s="158">
        <v>175411</v>
      </c>
      <c r="M12" s="158">
        <v>168939</v>
      </c>
      <c r="N12" s="159">
        <v>6472</v>
      </c>
      <c r="O12" s="160">
        <v>186473</v>
      </c>
      <c r="P12" s="158">
        <v>180169</v>
      </c>
      <c r="Q12" s="159">
        <v>6304</v>
      </c>
      <c r="R12" s="160">
        <v>195032</v>
      </c>
      <c r="S12" s="158">
        <v>188448</v>
      </c>
      <c r="T12" s="159">
        <v>6584</v>
      </c>
      <c r="U12" s="215" t="s">
        <v>145</v>
      </c>
      <c r="W12" s="314"/>
      <c r="X12" s="314"/>
      <c r="Y12" s="314"/>
      <c r="Z12" s="255"/>
      <c r="AA12" s="255"/>
      <c r="AB12" s="255"/>
    </row>
    <row r="13" spans="1:28" ht="19.149999999999999" customHeight="1" x14ac:dyDescent="0.25">
      <c r="A13" s="205" t="s">
        <v>146</v>
      </c>
      <c r="B13" s="163">
        <v>21485</v>
      </c>
      <c r="C13" s="156">
        <v>20725</v>
      </c>
      <c r="D13" s="159">
        <v>760</v>
      </c>
      <c r="E13" s="156" t="s">
        <v>57</v>
      </c>
      <c r="F13" s="156">
        <v>20341</v>
      </c>
      <c r="G13" s="159" t="s">
        <v>57</v>
      </c>
      <c r="H13" s="163" t="s">
        <v>57</v>
      </c>
      <c r="I13" s="156">
        <v>20252</v>
      </c>
      <c r="J13" s="159" t="s">
        <v>57</v>
      </c>
      <c r="K13" s="160"/>
      <c r="L13" s="158">
        <v>22091</v>
      </c>
      <c r="M13" s="158">
        <v>21334</v>
      </c>
      <c r="N13" s="159">
        <v>756</v>
      </c>
      <c r="O13" s="160">
        <v>25802</v>
      </c>
      <c r="P13" s="158">
        <v>25123</v>
      </c>
      <c r="Q13" s="159">
        <v>679</v>
      </c>
      <c r="R13" s="160" t="s">
        <v>57</v>
      </c>
      <c r="S13" s="158">
        <v>27031</v>
      </c>
      <c r="T13" s="159" t="s">
        <v>57</v>
      </c>
      <c r="U13" s="215" t="s">
        <v>147</v>
      </c>
      <c r="W13" s="314"/>
      <c r="X13" s="314"/>
      <c r="Y13" s="314"/>
      <c r="Z13" s="255"/>
      <c r="AA13" s="255"/>
      <c r="AB13" s="255"/>
    </row>
    <row r="14" spans="1:28" ht="19.149999999999999" customHeight="1" x14ac:dyDescent="0.25">
      <c r="A14" s="225" t="s">
        <v>383</v>
      </c>
      <c r="B14" s="163" t="s">
        <v>57</v>
      </c>
      <c r="C14" s="156">
        <v>26812</v>
      </c>
      <c r="D14" s="159" t="s">
        <v>57</v>
      </c>
      <c r="E14" s="156" t="s">
        <v>57</v>
      </c>
      <c r="F14" s="156">
        <v>27394</v>
      </c>
      <c r="G14" s="159" t="s">
        <v>57</v>
      </c>
      <c r="H14" s="163" t="s">
        <v>57</v>
      </c>
      <c r="I14" s="156">
        <v>22081</v>
      </c>
      <c r="J14" s="159" t="s">
        <v>57</v>
      </c>
      <c r="K14" s="160"/>
      <c r="L14" s="158" t="s">
        <v>57</v>
      </c>
      <c r="M14" s="158">
        <v>21292</v>
      </c>
      <c r="N14" s="159" t="s">
        <v>57</v>
      </c>
      <c r="O14" s="160" t="s">
        <v>57</v>
      </c>
      <c r="P14" s="158">
        <v>23947</v>
      </c>
      <c r="Q14" s="159" t="s">
        <v>57</v>
      </c>
      <c r="R14" s="160" t="s">
        <v>57</v>
      </c>
      <c r="S14" s="158">
        <v>25793</v>
      </c>
      <c r="T14" s="159" t="s">
        <v>57</v>
      </c>
      <c r="U14" s="226" t="s">
        <v>384</v>
      </c>
      <c r="W14" s="314"/>
      <c r="X14" s="314"/>
      <c r="Y14" s="314"/>
      <c r="Z14" s="255"/>
      <c r="AA14" s="255"/>
      <c r="AB14" s="255"/>
    </row>
    <row r="15" spans="1:28" ht="19.149999999999999" customHeight="1" x14ac:dyDescent="0.25">
      <c r="A15" s="225" t="s">
        <v>392</v>
      </c>
      <c r="B15" s="163">
        <v>4057</v>
      </c>
      <c r="C15" s="156">
        <v>3913</v>
      </c>
      <c r="D15" s="159">
        <v>144</v>
      </c>
      <c r="E15" s="156">
        <v>4087</v>
      </c>
      <c r="F15" s="156">
        <v>3985</v>
      </c>
      <c r="G15" s="159">
        <v>101</v>
      </c>
      <c r="H15" s="163">
        <v>4405</v>
      </c>
      <c r="I15" s="156">
        <v>4285</v>
      </c>
      <c r="J15" s="159">
        <v>121</v>
      </c>
      <c r="K15" s="160"/>
      <c r="L15" s="158">
        <v>4448</v>
      </c>
      <c r="M15" s="158">
        <v>4305</v>
      </c>
      <c r="N15" s="159">
        <v>143</v>
      </c>
      <c r="O15" s="160">
        <v>4417</v>
      </c>
      <c r="P15" s="158">
        <v>4263</v>
      </c>
      <c r="Q15" s="159">
        <v>154</v>
      </c>
      <c r="R15" s="160">
        <v>4699</v>
      </c>
      <c r="S15" s="158">
        <v>4548</v>
      </c>
      <c r="T15" s="159">
        <v>151</v>
      </c>
      <c r="U15" s="226" t="s">
        <v>391</v>
      </c>
      <c r="W15" s="314"/>
      <c r="X15" s="314"/>
      <c r="Y15" s="314"/>
      <c r="Z15" s="255"/>
      <c r="AA15" s="255"/>
      <c r="AB15" s="255"/>
    </row>
    <row r="16" spans="1:28" ht="19.149999999999999" customHeight="1" x14ac:dyDescent="0.25">
      <c r="A16" s="205" t="s">
        <v>148</v>
      </c>
      <c r="B16" s="160">
        <v>16049</v>
      </c>
      <c r="C16" s="158">
        <v>15867</v>
      </c>
      <c r="D16" s="159">
        <v>182</v>
      </c>
      <c r="E16" s="158">
        <v>16073</v>
      </c>
      <c r="F16" s="158">
        <v>15901</v>
      </c>
      <c r="G16" s="159">
        <v>172</v>
      </c>
      <c r="H16" s="160">
        <v>14010</v>
      </c>
      <c r="I16" s="158">
        <v>13793</v>
      </c>
      <c r="J16" s="159">
        <v>218</v>
      </c>
      <c r="K16" s="160"/>
      <c r="L16" s="158">
        <v>14718</v>
      </c>
      <c r="M16" s="158">
        <v>14510</v>
      </c>
      <c r="N16" s="159">
        <v>207</v>
      </c>
      <c r="O16" s="160">
        <v>16243</v>
      </c>
      <c r="P16" s="158">
        <v>16045</v>
      </c>
      <c r="Q16" s="159">
        <v>197</v>
      </c>
      <c r="R16" s="160">
        <v>18854</v>
      </c>
      <c r="S16" s="158">
        <v>18576</v>
      </c>
      <c r="T16" s="159">
        <v>278</v>
      </c>
      <c r="U16" s="215" t="s">
        <v>149</v>
      </c>
      <c r="W16" s="314"/>
      <c r="X16" s="314"/>
      <c r="Y16" s="314"/>
      <c r="Z16" s="255"/>
      <c r="AA16" s="255"/>
      <c r="AB16" s="255"/>
    </row>
    <row r="17" spans="1:28" ht="19.149999999999999" customHeight="1" x14ac:dyDescent="0.25">
      <c r="A17" s="205" t="s">
        <v>150</v>
      </c>
      <c r="B17" s="160">
        <v>37552</v>
      </c>
      <c r="C17" s="158">
        <v>35423</v>
      </c>
      <c r="D17" s="159">
        <v>2129</v>
      </c>
      <c r="E17" s="158">
        <v>38647</v>
      </c>
      <c r="F17" s="158">
        <v>36330</v>
      </c>
      <c r="G17" s="159">
        <v>2318</v>
      </c>
      <c r="H17" s="160">
        <v>33158</v>
      </c>
      <c r="I17" s="158">
        <v>31260</v>
      </c>
      <c r="J17" s="159">
        <v>1898</v>
      </c>
      <c r="K17" s="160"/>
      <c r="L17" s="158">
        <v>33927</v>
      </c>
      <c r="M17" s="158">
        <v>32055</v>
      </c>
      <c r="N17" s="159">
        <v>1872</v>
      </c>
      <c r="O17" s="160">
        <v>35630</v>
      </c>
      <c r="P17" s="158">
        <v>33538</v>
      </c>
      <c r="Q17" s="159">
        <v>2091</v>
      </c>
      <c r="R17" s="160">
        <v>38202</v>
      </c>
      <c r="S17" s="158">
        <v>36033</v>
      </c>
      <c r="T17" s="159">
        <v>2170</v>
      </c>
      <c r="U17" s="215" t="s">
        <v>151</v>
      </c>
      <c r="W17" s="314"/>
      <c r="X17" s="314"/>
      <c r="Y17" s="314"/>
      <c r="Z17" s="255"/>
      <c r="AA17" s="255"/>
      <c r="AB17" s="255"/>
    </row>
    <row r="18" spans="1:28" ht="19.149999999999999" customHeight="1" x14ac:dyDescent="0.25">
      <c r="A18" s="205" t="s">
        <v>152</v>
      </c>
      <c r="B18" s="163">
        <v>1694</v>
      </c>
      <c r="C18" s="158">
        <v>1577</v>
      </c>
      <c r="D18" s="159">
        <v>116</v>
      </c>
      <c r="E18" s="156">
        <v>1760</v>
      </c>
      <c r="F18" s="158">
        <v>1694</v>
      </c>
      <c r="G18" s="159">
        <v>66</v>
      </c>
      <c r="H18" s="163">
        <v>1661</v>
      </c>
      <c r="I18" s="158">
        <v>1520</v>
      </c>
      <c r="J18" s="159">
        <v>140</v>
      </c>
      <c r="K18" s="160"/>
      <c r="L18" s="158">
        <v>1710</v>
      </c>
      <c r="M18" s="158">
        <v>1613</v>
      </c>
      <c r="N18" s="159">
        <v>96</v>
      </c>
      <c r="O18" s="160">
        <v>1840</v>
      </c>
      <c r="P18" s="158">
        <v>1776</v>
      </c>
      <c r="Q18" s="159">
        <v>64</v>
      </c>
      <c r="R18" s="160">
        <v>2130</v>
      </c>
      <c r="S18" s="158">
        <v>2049</v>
      </c>
      <c r="T18" s="159">
        <v>81</v>
      </c>
      <c r="U18" s="215" t="s">
        <v>153</v>
      </c>
      <c r="W18" s="314"/>
      <c r="X18" s="314"/>
      <c r="Y18" s="314"/>
      <c r="Z18" s="255"/>
      <c r="AA18" s="255"/>
      <c r="AB18" s="255"/>
    </row>
    <row r="19" spans="1:28" ht="19.149999999999999" customHeight="1" x14ac:dyDescent="0.25">
      <c r="A19" s="205" t="s">
        <v>154</v>
      </c>
      <c r="B19" s="160">
        <v>27733</v>
      </c>
      <c r="C19" s="158">
        <v>26608</v>
      </c>
      <c r="D19" s="159">
        <v>1124</v>
      </c>
      <c r="E19" s="158">
        <v>27975</v>
      </c>
      <c r="F19" s="158">
        <v>26885</v>
      </c>
      <c r="G19" s="159">
        <v>1090</v>
      </c>
      <c r="H19" s="160">
        <v>23532</v>
      </c>
      <c r="I19" s="158">
        <v>22621</v>
      </c>
      <c r="J19" s="159">
        <v>910</v>
      </c>
      <c r="K19" s="160"/>
      <c r="L19" s="158">
        <v>23503</v>
      </c>
      <c r="M19" s="158">
        <v>22579</v>
      </c>
      <c r="N19" s="159">
        <v>924</v>
      </c>
      <c r="O19" s="160">
        <v>24573</v>
      </c>
      <c r="P19" s="158">
        <v>23332</v>
      </c>
      <c r="Q19" s="159">
        <v>1241</v>
      </c>
      <c r="R19" s="160">
        <v>26203</v>
      </c>
      <c r="S19" s="158">
        <v>24931</v>
      </c>
      <c r="T19" s="159">
        <v>1272</v>
      </c>
      <c r="U19" s="215" t="s">
        <v>155</v>
      </c>
      <c r="W19" s="314"/>
      <c r="X19" s="314"/>
      <c r="Y19" s="314"/>
      <c r="Z19" s="255"/>
      <c r="AA19" s="255"/>
      <c r="AB19" s="255"/>
    </row>
    <row r="20" spans="1:28" ht="19.149999999999999" customHeight="1" x14ac:dyDescent="0.25">
      <c r="A20" s="205" t="s">
        <v>156</v>
      </c>
      <c r="B20" s="160" t="s">
        <v>57</v>
      </c>
      <c r="C20" s="158">
        <v>323242</v>
      </c>
      <c r="D20" s="159" t="s">
        <v>57</v>
      </c>
      <c r="E20" s="158" t="s">
        <v>57</v>
      </c>
      <c r="F20" s="158">
        <v>331313</v>
      </c>
      <c r="G20" s="159" t="s">
        <v>57</v>
      </c>
      <c r="H20" s="160" t="s">
        <v>57</v>
      </c>
      <c r="I20" s="158">
        <v>280894</v>
      </c>
      <c r="J20" s="159" t="s">
        <v>57</v>
      </c>
      <c r="K20" s="160"/>
      <c r="L20" s="158" t="s">
        <v>57</v>
      </c>
      <c r="M20" s="158">
        <v>285835</v>
      </c>
      <c r="N20" s="159" t="s">
        <v>57</v>
      </c>
      <c r="O20" s="160" t="s">
        <v>57</v>
      </c>
      <c r="P20" s="158">
        <v>296411</v>
      </c>
      <c r="Q20" s="159" t="s">
        <v>57</v>
      </c>
      <c r="R20" s="160" t="s">
        <v>57</v>
      </c>
      <c r="S20" s="158">
        <v>314554</v>
      </c>
      <c r="T20" s="159" t="s">
        <v>57</v>
      </c>
      <c r="U20" s="215" t="s">
        <v>157</v>
      </c>
      <c r="W20" s="314"/>
      <c r="X20" s="314"/>
      <c r="Y20" s="314"/>
      <c r="Z20" s="255"/>
      <c r="AA20" s="255"/>
      <c r="AB20" s="255"/>
    </row>
    <row r="21" spans="1:28" ht="19.149999999999999" customHeight="1" x14ac:dyDescent="0.25">
      <c r="A21" s="205" t="s">
        <v>158</v>
      </c>
      <c r="B21" s="160" t="s">
        <v>57</v>
      </c>
      <c r="C21" s="158">
        <v>409111</v>
      </c>
      <c r="D21" s="159" t="s">
        <v>57</v>
      </c>
      <c r="E21" s="158" t="s">
        <v>57</v>
      </c>
      <c r="F21" s="158">
        <v>427045</v>
      </c>
      <c r="G21" s="159" t="s">
        <v>57</v>
      </c>
      <c r="H21" s="160" t="s">
        <v>57</v>
      </c>
      <c r="I21" s="158">
        <v>373963</v>
      </c>
      <c r="J21" s="159" t="s">
        <v>57</v>
      </c>
      <c r="K21" s="160"/>
      <c r="L21" s="158" t="s">
        <v>57</v>
      </c>
      <c r="M21" s="158">
        <v>388142</v>
      </c>
      <c r="N21" s="159" t="s">
        <v>57</v>
      </c>
      <c r="O21" s="160" t="s">
        <v>57</v>
      </c>
      <c r="P21" s="158">
        <v>415856</v>
      </c>
      <c r="Q21" s="159" t="s">
        <v>57</v>
      </c>
      <c r="R21" s="160" t="s">
        <v>57</v>
      </c>
      <c r="S21" s="158">
        <v>453169</v>
      </c>
      <c r="T21" s="159" t="s">
        <v>57</v>
      </c>
      <c r="U21" s="215" t="s">
        <v>159</v>
      </c>
      <c r="W21" s="314"/>
      <c r="X21" s="314"/>
      <c r="Y21" s="314"/>
      <c r="Z21" s="255"/>
      <c r="AA21" s="255"/>
      <c r="AB21" s="255"/>
    </row>
    <row r="22" spans="1:28" ht="19.149999999999999" customHeight="1" x14ac:dyDescent="0.25">
      <c r="A22" s="205" t="s">
        <v>160</v>
      </c>
      <c r="B22" s="160">
        <v>20494</v>
      </c>
      <c r="C22" s="158">
        <v>20159</v>
      </c>
      <c r="D22" s="159">
        <v>335</v>
      </c>
      <c r="E22" s="158">
        <v>18827</v>
      </c>
      <c r="F22" s="158">
        <v>18581</v>
      </c>
      <c r="G22" s="159">
        <v>246</v>
      </c>
      <c r="H22" s="160">
        <v>16313</v>
      </c>
      <c r="I22" s="158">
        <v>16085</v>
      </c>
      <c r="J22" s="159">
        <v>228</v>
      </c>
      <c r="K22" s="160"/>
      <c r="L22" s="158">
        <v>16522</v>
      </c>
      <c r="M22" s="158">
        <v>16319</v>
      </c>
      <c r="N22" s="159">
        <v>204</v>
      </c>
      <c r="O22" s="160">
        <v>16519</v>
      </c>
      <c r="P22" s="158">
        <v>16258</v>
      </c>
      <c r="Q22" s="159">
        <v>262</v>
      </c>
      <c r="R22" s="160">
        <v>17604</v>
      </c>
      <c r="S22" s="158">
        <v>17219</v>
      </c>
      <c r="T22" s="159">
        <v>385</v>
      </c>
      <c r="U22" s="215" t="s">
        <v>161</v>
      </c>
      <c r="W22" s="314"/>
      <c r="X22" s="314"/>
      <c r="Y22" s="314"/>
      <c r="Z22" s="255"/>
      <c r="AA22" s="255"/>
      <c r="AB22" s="255"/>
    </row>
    <row r="23" spans="1:28" ht="19.149999999999999" customHeight="1" x14ac:dyDescent="0.25">
      <c r="A23" s="205" t="s">
        <v>162</v>
      </c>
      <c r="B23" s="160">
        <v>10074</v>
      </c>
      <c r="C23" s="158">
        <v>9816</v>
      </c>
      <c r="D23" s="159">
        <v>258</v>
      </c>
      <c r="E23" s="158">
        <v>10322</v>
      </c>
      <c r="F23" s="158">
        <v>9938</v>
      </c>
      <c r="G23" s="159">
        <v>384</v>
      </c>
      <c r="H23" s="160">
        <v>9162</v>
      </c>
      <c r="I23" s="158">
        <v>8579</v>
      </c>
      <c r="J23" s="159">
        <v>583</v>
      </c>
      <c r="K23" s="160"/>
      <c r="L23" s="158">
        <v>9119</v>
      </c>
      <c r="M23" s="158">
        <v>8987</v>
      </c>
      <c r="N23" s="159">
        <v>132</v>
      </c>
      <c r="O23" s="160">
        <v>9877</v>
      </c>
      <c r="P23" s="158">
        <v>9651</v>
      </c>
      <c r="Q23" s="159">
        <v>226</v>
      </c>
      <c r="R23" s="160">
        <v>10846</v>
      </c>
      <c r="S23" s="158">
        <v>10565</v>
      </c>
      <c r="T23" s="159">
        <v>281</v>
      </c>
      <c r="U23" s="215" t="s">
        <v>163</v>
      </c>
      <c r="W23" s="314"/>
      <c r="X23" s="314"/>
      <c r="Y23" s="314"/>
      <c r="Z23" s="255"/>
      <c r="AA23" s="255"/>
      <c r="AB23" s="255"/>
    </row>
    <row r="24" spans="1:28" ht="19.149999999999999" customHeight="1" x14ac:dyDescent="0.25">
      <c r="A24" s="205" t="s">
        <v>164</v>
      </c>
      <c r="B24" s="160">
        <v>1356</v>
      </c>
      <c r="C24" s="158">
        <v>1327</v>
      </c>
      <c r="D24" s="159">
        <v>29</v>
      </c>
      <c r="E24" s="158">
        <v>1521</v>
      </c>
      <c r="F24" s="158">
        <v>1481</v>
      </c>
      <c r="G24" s="159">
        <v>39</v>
      </c>
      <c r="H24" s="160">
        <v>1459</v>
      </c>
      <c r="I24" s="158">
        <v>1424</v>
      </c>
      <c r="J24" s="159">
        <v>35</v>
      </c>
      <c r="K24" s="160"/>
      <c r="L24" s="158">
        <v>1742</v>
      </c>
      <c r="M24" s="158">
        <v>1696</v>
      </c>
      <c r="N24" s="159">
        <v>46</v>
      </c>
      <c r="O24" s="160">
        <v>2117</v>
      </c>
      <c r="P24" s="158">
        <v>2058</v>
      </c>
      <c r="Q24" s="159">
        <v>59</v>
      </c>
      <c r="R24" s="160">
        <v>2312</v>
      </c>
      <c r="S24" s="158">
        <v>2216</v>
      </c>
      <c r="T24" s="159">
        <v>96</v>
      </c>
      <c r="U24" s="215" t="s">
        <v>165</v>
      </c>
      <c r="W24" s="314"/>
      <c r="X24" s="314"/>
      <c r="Y24" s="314"/>
      <c r="Z24" s="255"/>
      <c r="AA24" s="255"/>
      <c r="AB24" s="255"/>
    </row>
    <row r="25" spans="1:28" ht="19.149999999999999" customHeight="1" x14ac:dyDescent="0.25">
      <c r="A25" s="205" t="s">
        <v>166</v>
      </c>
      <c r="B25" s="160">
        <v>25631</v>
      </c>
      <c r="C25" s="158">
        <v>24411</v>
      </c>
      <c r="D25" s="159">
        <v>1219</v>
      </c>
      <c r="E25" s="158">
        <v>25819</v>
      </c>
      <c r="F25" s="158">
        <v>24627</v>
      </c>
      <c r="G25" s="159">
        <v>1193</v>
      </c>
      <c r="H25" s="160">
        <v>22590</v>
      </c>
      <c r="I25" s="158">
        <v>21404</v>
      </c>
      <c r="J25" s="159">
        <v>1185</v>
      </c>
      <c r="K25" s="160"/>
      <c r="L25" s="158">
        <v>23793</v>
      </c>
      <c r="M25" s="158">
        <v>22435</v>
      </c>
      <c r="N25" s="159">
        <v>1358</v>
      </c>
      <c r="O25" s="160">
        <v>25446</v>
      </c>
      <c r="P25" s="158">
        <v>24109</v>
      </c>
      <c r="Q25" s="159">
        <v>1338</v>
      </c>
      <c r="R25" s="160">
        <v>28354</v>
      </c>
      <c r="S25" s="158">
        <v>26682</v>
      </c>
      <c r="T25" s="159">
        <v>1672</v>
      </c>
      <c r="U25" s="215" t="s">
        <v>167</v>
      </c>
      <c r="W25" s="314"/>
      <c r="X25" s="314"/>
      <c r="Y25" s="314"/>
      <c r="Z25" s="255"/>
      <c r="AA25" s="255"/>
      <c r="AB25" s="255"/>
    </row>
    <row r="26" spans="1:28" ht="19.149999999999999" customHeight="1" x14ac:dyDescent="0.25">
      <c r="A26" s="205" t="s">
        <v>168</v>
      </c>
      <c r="B26" s="160">
        <v>21548</v>
      </c>
      <c r="C26" s="158">
        <v>20717</v>
      </c>
      <c r="D26" s="159">
        <v>831</v>
      </c>
      <c r="E26" s="158">
        <v>22899</v>
      </c>
      <c r="F26" s="158">
        <v>22146</v>
      </c>
      <c r="G26" s="159">
        <v>753</v>
      </c>
      <c r="H26" s="160">
        <v>22221</v>
      </c>
      <c r="I26" s="158">
        <v>21306</v>
      </c>
      <c r="J26" s="159">
        <v>915</v>
      </c>
      <c r="K26" s="160"/>
      <c r="L26" s="158">
        <v>23684</v>
      </c>
      <c r="M26" s="158">
        <v>22855</v>
      </c>
      <c r="N26" s="159">
        <v>829</v>
      </c>
      <c r="O26" s="160">
        <v>26711</v>
      </c>
      <c r="P26" s="158">
        <v>25708</v>
      </c>
      <c r="Q26" s="159">
        <v>1003</v>
      </c>
      <c r="R26" s="160">
        <v>28137</v>
      </c>
      <c r="S26" s="158">
        <v>27227</v>
      </c>
      <c r="T26" s="159">
        <v>909</v>
      </c>
      <c r="U26" s="215" t="s">
        <v>169</v>
      </c>
      <c r="W26" s="314"/>
      <c r="X26" s="314"/>
      <c r="Y26" s="314"/>
      <c r="Z26" s="255"/>
      <c r="AA26" s="255"/>
      <c r="AB26" s="255"/>
    </row>
    <row r="27" spans="1:28" ht="19.149999999999999" customHeight="1" x14ac:dyDescent="0.25">
      <c r="A27" s="205" t="s">
        <v>170</v>
      </c>
      <c r="B27" s="160" t="s">
        <v>57</v>
      </c>
      <c r="C27" s="158">
        <v>189263</v>
      </c>
      <c r="D27" s="159" t="s">
        <v>57</v>
      </c>
      <c r="E27" s="158" t="s">
        <v>57</v>
      </c>
      <c r="F27" s="158">
        <v>192532</v>
      </c>
      <c r="G27" s="159" t="s">
        <v>57</v>
      </c>
      <c r="H27" s="160" t="s">
        <v>57</v>
      </c>
      <c r="I27" s="158">
        <v>163246</v>
      </c>
      <c r="J27" s="159" t="s">
        <v>57</v>
      </c>
      <c r="K27" s="160"/>
      <c r="L27" s="158" t="s">
        <v>57</v>
      </c>
      <c r="M27" s="158">
        <v>164564</v>
      </c>
      <c r="N27" s="159" t="s">
        <v>57</v>
      </c>
      <c r="O27" s="160" t="s">
        <v>57</v>
      </c>
      <c r="P27" s="158">
        <v>171267</v>
      </c>
      <c r="Q27" s="159" t="s">
        <v>57</v>
      </c>
      <c r="R27" s="160" t="s">
        <v>57</v>
      </c>
      <c r="S27" s="158">
        <v>181699</v>
      </c>
      <c r="T27" s="159" t="s">
        <v>57</v>
      </c>
      <c r="U27" s="215" t="s">
        <v>171</v>
      </c>
      <c r="W27" s="314"/>
      <c r="X27" s="314"/>
      <c r="Y27" s="314"/>
      <c r="Z27" s="255"/>
      <c r="AA27" s="255"/>
      <c r="AB27" s="255"/>
    </row>
    <row r="28" spans="1:28" ht="19.149999999999999" customHeight="1" x14ac:dyDescent="0.25">
      <c r="A28" s="205" t="s">
        <v>172</v>
      </c>
      <c r="B28" s="160" t="s">
        <v>57</v>
      </c>
      <c r="C28" s="158">
        <v>556384</v>
      </c>
      <c r="D28" s="159" t="s">
        <v>57</v>
      </c>
      <c r="E28" s="158" t="s">
        <v>57</v>
      </c>
      <c r="F28" s="158">
        <v>525399</v>
      </c>
      <c r="G28" s="159" t="s">
        <v>57</v>
      </c>
      <c r="H28" s="160" t="s">
        <v>57</v>
      </c>
      <c r="I28" s="158">
        <v>477817</v>
      </c>
      <c r="J28" s="159" t="s">
        <v>57</v>
      </c>
      <c r="K28" s="160"/>
      <c r="L28" s="158" t="s">
        <v>57</v>
      </c>
      <c r="M28" s="158">
        <v>533338</v>
      </c>
      <c r="N28" s="159" t="s">
        <v>57</v>
      </c>
      <c r="O28" s="160" t="s">
        <v>57</v>
      </c>
      <c r="P28" s="158">
        <v>525443</v>
      </c>
      <c r="Q28" s="159" t="s">
        <v>57</v>
      </c>
      <c r="R28" s="160" t="s">
        <v>57</v>
      </c>
      <c r="S28" s="158">
        <v>541385</v>
      </c>
      <c r="T28" s="159" t="s">
        <v>57</v>
      </c>
      <c r="U28" s="215" t="s">
        <v>173</v>
      </c>
      <c r="W28" s="314"/>
      <c r="X28" s="314"/>
      <c r="Y28" s="314"/>
      <c r="Z28" s="255"/>
      <c r="AA28" s="255"/>
      <c r="AB28" s="255"/>
    </row>
    <row r="29" spans="1:28" ht="19.149999999999999" customHeight="1" x14ac:dyDescent="0.25">
      <c r="A29" s="205" t="s">
        <v>174</v>
      </c>
      <c r="B29" s="160">
        <v>90765</v>
      </c>
      <c r="C29" s="158">
        <v>87031</v>
      </c>
      <c r="D29" s="159">
        <v>3734</v>
      </c>
      <c r="E29" s="158">
        <v>100941</v>
      </c>
      <c r="F29" s="158">
        <v>97154</v>
      </c>
      <c r="G29" s="159">
        <v>3787</v>
      </c>
      <c r="H29" s="160">
        <v>103310</v>
      </c>
      <c r="I29" s="158">
        <v>99436</v>
      </c>
      <c r="J29" s="159">
        <v>3874</v>
      </c>
      <c r="K29" s="160"/>
      <c r="L29" s="158">
        <v>108502</v>
      </c>
      <c r="M29" s="158">
        <v>104755</v>
      </c>
      <c r="N29" s="159">
        <v>3747</v>
      </c>
      <c r="O29" s="160">
        <v>120687</v>
      </c>
      <c r="P29" s="158">
        <v>116223</v>
      </c>
      <c r="Q29" s="159">
        <v>4463</v>
      </c>
      <c r="R29" s="160">
        <v>135757</v>
      </c>
      <c r="S29" s="158">
        <v>130257</v>
      </c>
      <c r="T29" s="159">
        <v>5499</v>
      </c>
      <c r="U29" s="215" t="s">
        <v>175</v>
      </c>
      <c r="W29" s="314"/>
      <c r="X29" s="314"/>
      <c r="Y29" s="314"/>
      <c r="Z29" s="255"/>
      <c r="AA29" s="255"/>
      <c r="AB29" s="255"/>
    </row>
    <row r="30" spans="1:28" ht="19.149999999999999" customHeight="1" x14ac:dyDescent="0.25">
      <c r="A30" s="205" t="s">
        <v>176</v>
      </c>
      <c r="B30" s="163" t="s">
        <v>57</v>
      </c>
      <c r="C30" s="156">
        <v>1633</v>
      </c>
      <c r="D30" s="159" t="s">
        <v>57</v>
      </c>
      <c r="E30" s="156" t="s">
        <v>57</v>
      </c>
      <c r="F30" s="156">
        <v>1715</v>
      </c>
      <c r="G30" s="159" t="s">
        <v>57</v>
      </c>
      <c r="H30" s="163" t="s">
        <v>57</v>
      </c>
      <c r="I30" s="156">
        <v>1541</v>
      </c>
      <c r="J30" s="159" t="s">
        <v>57</v>
      </c>
      <c r="K30" s="160"/>
      <c r="L30" s="158" t="s">
        <v>57</v>
      </c>
      <c r="M30" s="158">
        <v>1722</v>
      </c>
      <c r="N30" s="159" t="s">
        <v>57</v>
      </c>
      <c r="O30" s="160">
        <v>1914</v>
      </c>
      <c r="P30" s="158">
        <v>1818</v>
      </c>
      <c r="Q30" s="159">
        <v>96</v>
      </c>
      <c r="R30" s="160">
        <v>2254</v>
      </c>
      <c r="S30" s="158">
        <v>2131</v>
      </c>
      <c r="T30" s="159">
        <v>123</v>
      </c>
      <c r="U30" s="215" t="s">
        <v>177</v>
      </c>
      <c r="W30" s="314"/>
      <c r="X30" s="314"/>
      <c r="Y30" s="314"/>
      <c r="Z30" s="255"/>
      <c r="AA30" s="255"/>
      <c r="AB30" s="255"/>
    </row>
    <row r="31" spans="1:28" ht="19.149999999999999" customHeight="1" x14ac:dyDescent="0.25">
      <c r="A31" s="205" t="s">
        <v>306</v>
      </c>
      <c r="B31" s="163" t="s">
        <v>57</v>
      </c>
      <c r="C31" s="156">
        <v>2849</v>
      </c>
      <c r="D31" s="159" t="s">
        <v>57</v>
      </c>
      <c r="E31" s="156" t="s">
        <v>57</v>
      </c>
      <c r="F31" s="156">
        <v>3008</v>
      </c>
      <c r="G31" s="159" t="s">
        <v>57</v>
      </c>
      <c r="H31" s="163" t="s">
        <v>57</v>
      </c>
      <c r="I31" s="156">
        <v>2689</v>
      </c>
      <c r="J31" s="159" t="s">
        <v>57</v>
      </c>
      <c r="K31" s="160"/>
      <c r="L31" s="158" t="s">
        <v>57</v>
      </c>
      <c r="M31" s="158">
        <v>2857</v>
      </c>
      <c r="N31" s="159" t="s">
        <v>57</v>
      </c>
      <c r="O31" s="160" t="s">
        <v>57</v>
      </c>
      <c r="P31" s="158">
        <v>3087</v>
      </c>
      <c r="Q31" s="159" t="s">
        <v>57</v>
      </c>
      <c r="R31" s="160" t="s">
        <v>57</v>
      </c>
      <c r="S31" s="158">
        <v>3510</v>
      </c>
      <c r="T31" s="159" t="s">
        <v>57</v>
      </c>
      <c r="U31" s="215" t="s">
        <v>305</v>
      </c>
      <c r="W31" s="314"/>
      <c r="X31" s="314"/>
      <c r="Y31" s="314"/>
      <c r="Z31" s="255"/>
      <c r="AA31" s="255"/>
      <c r="AB31" s="255"/>
    </row>
    <row r="32" spans="1:28" ht="19.149999999999999" customHeight="1" x14ac:dyDescent="0.25">
      <c r="A32" s="205" t="s">
        <v>178</v>
      </c>
      <c r="B32" s="160" t="s">
        <v>57</v>
      </c>
      <c r="C32" s="158">
        <v>3414</v>
      </c>
      <c r="D32" s="159" t="s">
        <v>57</v>
      </c>
      <c r="E32" s="158" t="s">
        <v>57</v>
      </c>
      <c r="F32" s="158">
        <v>3599</v>
      </c>
      <c r="G32" s="159" t="s">
        <v>57</v>
      </c>
      <c r="H32" s="160" t="s">
        <v>57</v>
      </c>
      <c r="I32" s="158">
        <v>3052</v>
      </c>
      <c r="J32" s="159" t="s">
        <v>57</v>
      </c>
      <c r="K32" s="160"/>
      <c r="L32" s="158" t="s">
        <v>57</v>
      </c>
      <c r="M32" s="158">
        <v>3155</v>
      </c>
      <c r="N32" s="159" t="s">
        <v>57</v>
      </c>
      <c r="O32" s="160" t="s">
        <v>57</v>
      </c>
      <c r="P32" s="158">
        <v>3375</v>
      </c>
      <c r="Q32" s="159" t="s">
        <v>57</v>
      </c>
      <c r="R32" s="160" t="s">
        <v>57</v>
      </c>
      <c r="S32" s="158">
        <v>3749</v>
      </c>
      <c r="T32" s="159" t="s">
        <v>57</v>
      </c>
      <c r="U32" s="215" t="s">
        <v>179</v>
      </c>
      <c r="W32" s="314"/>
      <c r="X32" s="314"/>
      <c r="Y32" s="314"/>
      <c r="Z32" s="255"/>
      <c r="AA32" s="255"/>
      <c r="AB32" s="255"/>
    </row>
    <row r="33" spans="1:28" ht="19.149999999999999" customHeight="1" x14ac:dyDescent="0.25">
      <c r="A33" s="205" t="s">
        <v>180</v>
      </c>
      <c r="B33" s="163">
        <v>75158</v>
      </c>
      <c r="C33" s="158">
        <v>74035</v>
      </c>
      <c r="D33" s="159">
        <v>1123</v>
      </c>
      <c r="E33" s="156">
        <v>74275</v>
      </c>
      <c r="F33" s="158">
        <v>73047</v>
      </c>
      <c r="G33" s="159">
        <v>1228</v>
      </c>
      <c r="H33" s="163">
        <v>67962</v>
      </c>
      <c r="I33" s="158">
        <v>67063</v>
      </c>
      <c r="J33" s="159">
        <v>898</v>
      </c>
      <c r="K33" s="160"/>
      <c r="L33" s="158">
        <v>60787</v>
      </c>
      <c r="M33" s="158">
        <v>59894</v>
      </c>
      <c r="N33" s="159">
        <v>894</v>
      </c>
      <c r="O33" s="160">
        <v>64063</v>
      </c>
      <c r="P33" s="158">
        <v>63249</v>
      </c>
      <c r="Q33" s="159">
        <v>814</v>
      </c>
      <c r="R33" s="160">
        <v>66844</v>
      </c>
      <c r="S33" s="158">
        <v>65808</v>
      </c>
      <c r="T33" s="159">
        <v>1036</v>
      </c>
      <c r="U33" s="215" t="s">
        <v>181</v>
      </c>
      <c r="W33" s="314"/>
      <c r="X33" s="314"/>
      <c r="Y33" s="314"/>
      <c r="Z33" s="255"/>
      <c r="AA33" s="255"/>
      <c r="AB33" s="255"/>
    </row>
    <row r="34" spans="1:28" ht="19.149999999999999" customHeight="1" x14ac:dyDescent="0.25">
      <c r="A34" s="205" t="s">
        <v>182</v>
      </c>
      <c r="B34" s="160" t="s">
        <v>57</v>
      </c>
      <c r="C34" s="158">
        <v>92837</v>
      </c>
      <c r="D34" s="159" t="s">
        <v>57</v>
      </c>
      <c r="E34" s="158" t="s">
        <v>57</v>
      </c>
      <c r="F34" s="158">
        <v>94276</v>
      </c>
      <c r="G34" s="159" t="s">
        <v>57</v>
      </c>
      <c r="H34" s="160" t="s">
        <v>57</v>
      </c>
      <c r="I34" s="158">
        <v>79037</v>
      </c>
      <c r="J34" s="159" t="s">
        <v>57</v>
      </c>
      <c r="K34" s="160"/>
      <c r="L34" s="158" t="s">
        <v>57</v>
      </c>
      <c r="M34" s="158">
        <v>80713</v>
      </c>
      <c r="N34" s="159" t="s">
        <v>57</v>
      </c>
      <c r="O34" s="160" t="s">
        <v>57</v>
      </c>
      <c r="P34" s="158">
        <v>84290</v>
      </c>
      <c r="Q34" s="159" t="s">
        <v>57</v>
      </c>
      <c r="R34" s="160" t="s">
        <v>57</v>
      </c>
      <c r="S34" s="158">
        <v>91587</v>
      </c>
      <c r="T34" s="159" t="s">
        <v>57</v>
      </c>
      <c r="U34" s="215" t="s">
        <v>183</v>
      </c>
      <c r="W34" s="314"/>
      <c r="X34" s="314"/>
      <c r="Y34" s="314"/>
      <c r="Z34" s="255"/>
      <c r="AA34" s="255"/>
      <c r="AB34" s="255"/>
    </row>
    <row r="35" spans="1:28" ht="19.149999999999999" customHeight="1" x14ac:dyDescent="0.25">
      <c r="A35" s="205" t="s">
        <v>184</v>
      </c>
      <c r="B35" s="160" t="s">
        <v>57</v>
      </c>
      <c r="C35" s="158">
        <v>17075</v>
      </c>
      <c r="D35" s="159" t="s">
        <v>57</v>
      </c>
      <c r="E35" s="158" t="s">
        <v>57</v>
      </c>
      <c r="F35" s="158">
        <v>18080</v>
      </c>
      <c r="G35" s="159" t="s">
        <v>57</v>
      </c>
      <c r="H35" s="160" t="s">
        <v>57</v>
      </c>
      <c r="I35" s="158">
        <v>15843</v>
      </c>
      <c r="J35" s="159" t="s">
        <v>57</v>
      </c>
      <c r="K35" s="160"/>
      <c r="L35" s="158" t="s">
        <v>57</v>
      </c>
      <c r="M35" s="158">
        <v>16582</v>
      </c>
      <c r="N35" s="159" t="s">
        <v>57</v>
      </c>
      <c r="O35" s="160" t="s">
        <v>57</v>
      </c>
      <c r="P35" s="158">
        <v>17817</v>
      </c>
      <c r="Q35" s="159" t="s">
        <v>57</v>
      </c>
      <c r="R35" s="160" t="s">
        <v>57</v>
      </c>
      <c r="S35" s="158">
        <v>18166</v>
      </c>
      <c r="T35" s="159" t="s">
        <v>57</v>
      </c>
      <c r="U35" s="215" t="s">
        <v>185</v>
      </c>
      <c r="W35" s="314"/>
      <c r="X35" s="314"/>
      <c r="Y35" s="314"/>
      <c r="Z35" s="255"/>
      <c r="AA35" s="255"/>
      <c r="AB35" s="255"/>
    </row>
    <row r="36" spans="1:28" ht="19.149999999999999" customHeight="1" x14ac:dyDescent="0.25">
      <c r="A36" s="205" t="s">
        <v>186</v>
      </c>
      <c r="B36" s="160">
        <v>49233</v>
      </c>
      <c r="C36" s="158">
        <v>46680</v>
      </c>
      <c r="D36" s="159">
        <v>2553</v>
      </c>
      <c r="E36" s="158">
        <v>49320</v>
      </c>
      <c r="F36" s="158">
        <v>46576</v>
      </c>
      <c r="G36" s="159">
        <v>2744</v>
      </c>
      <c r="H36" s="160">
        <v>40988</v>
      </c>
      <c r="I36" s="158">
        <v>39087</v>
      </c>
      <c r="J36" s="159">
        <v>1901</v>
      </c>
      <c r="K36" s="160"/>
      <c r="L36" s="158">
        <v>41124</v>
      </c>
      <c r="M36" s="158">
        <v>39064</v>
      </c>
      <c r="N36" s="159">
        <v>2061</v>
      </c>
      <c r="O36" s="160">
        <v>43075</v>
      </c>
      <c r="P36" s="158">
        <v>41098</v>
      </c>
      <c r="Q36" s="159">
        <v>1977</v>
      </c>
      <c r="R36" s="160">
        <v>46049</v>
      </c>
      <c r="S36" s="158">
        <v>43805</v>
      </c>
      <c r="T36" s="159">
        <v>2244</v>
      </c>
      <c r="U36" s="215" t="s">
        <v>187</v>
      </c>
      <c r="W36" s="314"/>
      <c r="X36" s="314"/>
      <c r="Y36" s="314"/>
      <c r="Z36" s="255"/>
      <c r="AA36" s="255"/>
      <c r="AB36" s="255"/>
    </row>
    <row r="37" spans="1:28" ht="19.149999999999999" customHeight="1" x14ac:dyDescent="0.25">
      <c r="A37" s="205" t="s">
        <v>188</v>
      </c>
      <c r="B37" s="160" t="s">
        <v>57</v>
      </c>
      <c r="C37" s="158">
        <v>33422</v>
      </c>
      <c r="D37" s="159" t="s">
        <v>57</v>
      </c>
      <c r="E37" s="158" t="s">
        <v>57</v>
      </c>
      <c r="F37" s="158">
        <v>34064</v>
      </c>
      <c r="G37" s="159" t="s">
        <v>57</v>
      </c>
      <c r="H37" s="160" t="s">
        <v>57</v>
      </c>
      <c r="I37" s="158">
        <v>30555</v>
      </c>
      <c r="J37" s="159" t="s">
        <v>57</v>
      </c>
      <c r="K37" s="160"/>
      <c r="L37" s="158" t="s">
        <v>57</v>
      </c>
      <c r="M37" s="158">
        <v>30885</v>
      </c>
      <c r="N37" s="159" t="s">
        <v>57</v>
      </c>
      <c r="O37" s="160" t="s">
        <v>57</v>
      </c>
      <c r="P37" s="158">
        <v>34539</v>
      </c>
      <c r="Q37" s="159" t="s">
        <v>57</v>
      </c>
      <c r="R37" s="160" t="s">
        <v>57</v>
      </c>
      <c r="S37" s="158">
        <v>37169</v>
      </c>
      <c r="T37" s="159" t="s">
        <v>57</v>
      </c>
      <c r="U37" s="215" t="s">
        <v>189</v>
      </c>
      <c r="W37" s="314"/>
      <c r="X37" s="314"/>
      <c r="Y37" s="314"/>
      <c r="Z37" s="255"/>
      <c r="AA37" s="255"/>
      <c r="AB37" s="255"/>
    </row>
    <row r="38" spans="1:28" ht="19.149999999999999" customHeight="1" x14ac:dyDescent="0.25">
      <c r="A38" s="205" t="s">
        <v>190</v>
      </c>
      <c r="B38" s="160" t="s">
        <v>57</v>
      </c>
      <c r="C38" s="158">
        <v>21296</v>
      </c>
      <c r="D38" s="159" t="s">
        <v>57</v>
      </c>
      <c r="E38" s="158" t="s">
        <v>57</v>
      </c>
      <c r="F38" s="158">
        <v>21479</v>
      </c>
      <c r="G38" s="159" t="s">
        <v>57</v>
      </c>
      <c r="H38" s="160" t="s">
        <v>57</v>
      </c>
      <c r="I38" s="158">
        <v>18576</v>
      </c>
      <c r="J38" s="159" t="s">
        <v>57</v>
      </c>
      <c r="K38" s="160"/>
      <c r="L38" s="158">
        <v>21281</v>
      </c>
      <c r="M38" s="158">
        <v>19392</v>
      </c>
      <c r="N38" s="159">
        <v>1889</v>
      </c>
      <c r="O38" s="160">
        <v>22699</v>
      </c>
      <c r="P38" s="158">
        <v>20599</v>
      </c>
      <c r="Q38" s="159">
        <v>2099</v>
      </c>
      <c r="R38" s="160">
        <v>25310</v>
      </c>
      <c r="S38" s="158">
        <v>22808</v>
      </c>
      <c r="T38" s="159">
        <v>2502</v>
      </c>
      <c r="U38" s="215" t="s">
        <v>191</v>
      </c>
      <c r="W38" s="314"/>
      <c r="X38" s="314"/>
      <c r="Y38" s="314"/>
      <c r="Z38" s="255"/>
      <c r="AA38" s="255"/>
      <c r="AB38" s="255"/>
    </row>
    <row r="39" spans="1:28" ht="19.149999999999999" customHeight="1" x14ac:dyDescent="0.25">
      <c r="A39" s="205" t="s">
        <v>498</v>
      </c>
      <c r="B39" s="160" t="s">
        <v>57</v>
      </c>
      <c r="C39" s="158">
        <v>11326</v>
      </c>
      <c r="D39" s="159" t="s">
        <v>57</v>
      </c>
      <c r="E39" s="160" t="s">
        <v>57</v>
      </c>
      <c r="F39" s="158">
        <v>12189</v>
      </c>
      <c r="G39" s="159" t="s">
        <v>57</v>
      </c>
      <c r="H39" s="160" t="s">
        <v>57</v>
      </c>
      <c r="I39" s="158">
        <v>12876</v>
      </c>
      <c r="J39" s="159" t="s">
        <v>57</v>
      </c>
      <c r="K39" s="160"/>
      <c r="L39" s="158" t="s">
        <v>57</v>
      </c>
      <c r="M39" s="158">
        <v>14000</v>
      </c>
      <c r="N39" s="159" t="s">
        <v>57</v>
      </c>
      <c r="O39" s="160" t="s">
        <v>57</v>
      </c>
      <c r="P39" s="158">
        <v>14983</v>
      </c>
      <c r="Q39" s="159" t="s">
        <v>57</v>
      </c>
      <c r="R39" s="160" t="s">
        <v>57</v>
      </c>
      <c r="S39" s="158">
        <v>15359</v>
      </c>
      <c r="T39" s="159" t="s">
        <v>57</v>
      </c>
      <c r="U39" s="215" t="s">
        <v>499</v>
      </c>
      <c r="W39" s="320"/>
      <c r="X39" s="320"/>
      <c r="Y39" s="320"/>
    </row>
    <row r="40" spans="1:28" ht="19.149999999999999" customHeight="1" x14ac:dyDescent="0.25">
      <c r="A40" s="205" t="s">
        <v>192</v>
      </c>
      <c r="B40" s="160">
        <v>7668</v>
      </c>
      <c r="C40" s="158">
        <v>7415</v>
      </c>
      <c r="D40" s="159">
        <v>253</v>
      </c>
      <c r="E40" s="158" t="s">
        <v>57</v>
      </c>
      <c r="F40" s="158">
        <v>6983</v>
      </c>
      <c r="G40" s="159" t="s">
        <v>57</v>
      </c>
      <c r="H40" s="160" t="s">
        <v>57</v>
      </c>
      <c r="I40" s="158">
        <v>6012</v>
      </c>
      <c r="J40" s="159" t="s">
        <v>57</v>
      </c>
      <c r="K40" s="160"/>
      <c r="L40" s="158" t="s">
        <v>57</v>
      </c>
      <c r="M40" s="158">
        <v>6272</v>
      </c>
      <c r="N40" s="159" t="s">
        <v>57</v>
      </c>
      <c r="O40" s="160" t="s">
        <v>57</v>
      </c>
      <c r="P40" s="158">
        <v>6463</v>
      </c>
      <c r="Q40" s="159" t="s">
        <v>57</v>
      </c>
      <c r="R40" s="160" t="s">
        <v>57</v>
      </c>
      <c r="S40" s="158">
        <v>7076</v>
      </c>
      <c r="T40" s="159" t="s">
        <v>57</v>
      </c>
      <c r="U40" s="215" t="s">
        <v>193</v>
      </c>
      <c r="W40" s="314"/>
      <c r="X40" s="314"/>
      <c r="Y40" s="314"/>
      <c r="Z40" s="255"/>
      <c r="AA40" s="255"/>
      <c r="AB40" s="255"/>
    </row>
    <row r="41" spans="1:28" ht="19.149999999999999" customHeight="1" x14ac:dyDescent="0.25">
      <c r="A41" s="205" t="s">
        <v>194</v>
      </c>
      <c r="B41" s="163">
        <v>4408</v>
      </c>
      <c r="C41" s="156">
        <v>4232</v>
      </c>
      <c r="D41" s="159">
        <v>177</v>
      </c>
      <c r="E41" s="156" t="s">
        <v>57</v>
      </c>
      <c r="F41" s="156">
        <v>4251</v>
      </c>
      <c r="G41" s="159" t="s">
        <v>57</v>
      </c>
      <c r="H41" s="163" t="s">
        <v>57</v>
      </c>
      <c r="I41" s="156">
        <v>3672</v>
      </c>
      <c r="J41" s="159" t="s">
        <v>57</v>
      </c>
      <c r="K41" s="160"/>
      <c r="L41" s="158" t="s">
        <v>57</v>
      </c>
      <c r="M41" s="158">
        <v>3795</v>
      </c>
      <c r="N41" s="159" t="s">
        <v>57</v>
      </c>
      <c r="O41" s="160">
        <v>4178</v>
      </c>
      <c r="P41" s="158">
        <v>3977</v>
      </c>
      <c r="Q41" s="159">
        <v>201</v>
      </c>
      <c r="R41" s="160" t="s">
        <v>57</v>
      </c>
      <c r="S41" s="158">
        <v>4484</v>
      </c>
      <c r="T41" s="159" t="s">
        <v>57</v>
      </c>
      <c r="U41" s="215" t="s">
        <v>195</v>
      </c>
      <c r="W41" s="314"/>
      <c r="X41" s="314"/>
      <c r="Y41" s="314"/>
      <c r="Z41" s="255"/>
      <c r="AA41" s="255"/>
      <c r="AB41" s="255"/>
    </row>
    <row r="42" spans="1:28" ht="19.149999999999999" customHeight="1" x14ac:dyDescent="0.25">
      <c r="A42" s="205" t="s">
        <v>196</v>
      </c>
      <c r="B42" s="160">
        <v>125980</v>
      </c>
      <c r="C42" s="158">
        <v>124465</v>
      </c>
      <c r="D42" s="159">
        <v>1515</v>
      </c>
      <c r="E42" s="158">
        <v>127861</v>
      </c>
      <c r="F42" s="158">
        <v>126309</v>
      </c>
      <c r="G42" s="159">
        <v>1551</v>
      </c>
      <c r="H42" s="160">
        <v>112191</v>
      </c>
      <c r="I42" s="158">
        <v>110672</v>
      </c>
      <c r="J42" s="159">
        <v>1519</v>
      </c>
      <c r="K42" s="160"/>
      <c r="L42" s="158">
        <v>113552</v>
      </c>
      <c r="M42" s="158">
        <v>112037</v>
      </c>
      <c r="N42" s="159">
        <v>1515</v>
      </c>
      <c r="O42" s="160">
        <v>120884</v>
      </c>
      <c r="P42" s="158">
        <v>119245</v>
      </c>
      <c r="Q42" s="159">
        <v>1638</v>
      </c>
      <c r="R42" s="160">
        <v>131934</v>
      </c>
      <c r="S42" s="158">
        <v>129867</v>
      </c>
      <c r="T42" s="159">
        <v>2066</v>
      </c>
      <c r="U42" s="215" t="s">
        <v>197</v>
      </c>
      <c r="W42" s="314"/>
      <c r="X42" s="314"/>
      <c r="Y42" s="314"/>
      <c r="Z42" s="255"/>
      <c r="AA42" s="255"/>
      <c r="AB42" s="255"/>
    </row>
    <row r="43" spans="1:28" ht="19.149999999999999" customHeight="1" x14ac:dyDescent="0.25">
      <c r="A43" s="205" t="s">
        <v>198</v>
      </c>
      <c r="B43" s="160">
        <v>67562</v>
      </c>
      <c r="C43" s="158">
        <v>64179</v>
      </c>
      <c r="D43" s="159">
        <v>3382</v>
      </c>
      <c r="E43" s="158">
        <v>67392</v>
      </c>
      <c r="F43" s="158">
        <v>63967</v>
      </c>
      <c r="G43" s="159">
        <v>3425</v>
      </c>
      <c r="H43" s="160">
        <v>57949</v>
      </c>
      <c r="I43" s="158">
        <v>54839</v>
      </c>
      <c r="J43" s="159">
        <v>3110</v>
      </c>
      <c r="K43" s="160"/>
      <c r="L43" s="158">
        <v>59249</v>
      </c>
      <c r="M43" s="158">
        <v>56342</v>
      </c>
      <c r="N43" s="159">
        <v>2906</v>
      </c>
      <c r="O43" s="160">
        <v>61728</v>
      </c>
      <c r="P43" s="158">
        <v>58687</v>
      </c>
      <c r="Q43" s="159">
        <v>3041</v>
      </c>
      <c r="R43" s="160">
        <v>64623</v>
      </c>
      <c r="S43" s="158">
        <v>61148</v>
      </c>
      <c r="T43" s="159">
        <v>3475</v>
      </c>
      <c r="U43" s="215" t="s">
        <v>199</v>
      </c>
      <c r="W43" s="314"/>
      <c r="X43" s="314"/>
      <c r="Y43" s="314"/>
      <c r="Z43" s="255"/>
      <c r="AA43" s="255"/>
      <c r="AB43" s="255"/>
    </row>
    <row r="44" spans="1:28" ht="19.149999999999999" customHeight="1" x14ac:dyDescent="0.25">
      <c r="A44" s="205" t="s">
        <v>200</v>
      </c>
      <c r="B44" s="160" t="s">
        <v>57</v>
      </c>
      <c r="C44" s="158">
        <v>74822</v>
      </c>
      <c r="D44" s="159" t="s">
        <v>57</v>
      </c>
      <c r="E44" s="158" t="s">
        <v>57</v>
      </c>
      <c r="F44" s="158">
        <v>77559</v>
      </c>
      <c r="G44" s="159" t="s">
        <v>57</v>
      </c>
      <c r="H44" s="160" t="s">
        <v>57</v>
      </c>
      <c r="I44" s="158">
        <v>76213</v>
      </c>
      <c r="J44" s="159" t="s">
        <v>57</v>
      </c>
      <c r="K44" s="160"/>
      <c r="L44" s="158" t="s">
        <v>57</v>
      </c>
      <c r="M44" s="158">
        <v>77061</v>
      </c>
      <c r="N44" s="159" t="s">
        <v>57</v>
      </c>
      <c r="O44" s="160" t="s">
        <v>57</v>
      </c>
      <c r="P44" s="158">
        <v>79077</v>
      </c>
      <c r="Q44" s="159" t="s">
        <v>57</v>
      </c>
      <c r="R44" s="160" t="s">
        <v>57</v>
      </c>
      <c r="S44" s="158">
        <v>80962</v>
      </c>
      <c r="T44" s="159" t="s">
        <v>57</v>
      </c>
      <c r="U44" s="215" t="s">
        <v>201</v>
      </c>
      <c r="W44" s="314"/>
      <c r="X44" s="314"/>
      <c r="Y44" s="314"/>
      <c r="Z44" s="255"/>
      <c r="AA44" s="255"/>
      <c r="AB44" s="255"/>
    </row>
    <row r="45" spans="1:28" ht="19.149999999999999" customHeight="1" x14ac:dyDescent="0.25">
      <c r="A45" s="205" t="s">
        <v>202</v>
      </c>
      <c r="B45" s="160" t="s">
        <v>57</v>
      </c>
      <c r="C45" s="158">
        <v>41865</v>
      </c>
      <c r="D45" s="159" t="s">
        <v>57</v>
      </c>
      <c r="E45" s="158" t="s">
        <v>57</v>
      </c>
      <c r="F45" s="158">
        <v>40611</v>
      </c>
      <c r="G45" s="159" t="s">
        <v>57</v>
      </c>
      <c r="H45" s="160" t="s">
        <v>57</v>
      </c>
      <c r="I45" s="158">
        <v>35583</v>
      </c>
      <c r="J45" s="159" t="s">
        <v>57</v>
      </c>
      <c r="K45" s="160"/>
      <c r="L45" s="158">
        <v>39652</v>
      </c>
      <c r="M45" s="158">
        <v>37263</v>
      </c>
      <c r="N45" s="159">
        <v>2389</v>
      </c>
      <c r="O45" s="160">
        <v>38553</v>
      </c>
      <c r="P45" s="158">
        <v>35904</v>
      </c>
      <c r="Q45" s="159">
        <v>2650</v>
      </c>
      <c r="R45" s="160" t="s">
        <v>57</v>
      </c>
      <c r="S45" s="158">
        <v>32102</v>
      </c>
      <c r="T45" s="159" t="s">
        <v>57</v>
      </c>
      <c r="U45" s="215" t="s">
        <v>401</v>
      </c>
      <c r="W45" s="314"/>
      <c r="X45" s="314"/>
      <c r="Y45" s="314"/>
      <c r="Z45" s="255"/>
      <c r="AA45" s="255"/>
      <c r="AB45" s="255"/>
    </row>
    <row r="46" spans="1:28" ht="19.149999999999999" customHeight="1" x14ac:dyDescent="0.25">
      <c r="A46" s="205" t="s">
        <v>203</v>
      </c>
      <c r="B46" s="160">
        <v>285318</v>
      </c>
      <c r="C46" s="158">
        <v>278231</v>
      </c>
      <c r="D46" s="159">
        <v>7087</v>
      </c>
      <c r="E46" s="158">
        <v>314252</v>
      </c>
      <c r="F46" s="158">
        <v>305762</v>
      </c>
      <c r="G46" s="159">
        <v>8491</v>
      </c>
      <c r="H46" s="160">
        <v>299912</v>
      </c>
      <c r="I46" s="158">
        <v>291048</v>
      </c>
      <c r="J46" s="159">
        <v>8864</v>
      </c>
      <c r="K46" s="160"/>
      <c r="L46" s="158">
        <v>273029</v>
      </c>
      <c r="M46" s="158">
        <v>265438</v>
      </c>
      <c r="N46" s="159">
        <v>7591</v>
      </c>
      <c r="O46" s="160">
        <v>268577</v>
      </c>
      <c r="P46" s="158">
        <v>260109</v>
      </c>
      <c r="Q46" s="159">
        <v>8469</v>
      </c>
      <c r="R46" s="160">
        <v>290873</v>
      </c>
      <c r="S46" s="158">
        <v>281265</v>
      </c>
      <c r="T46" s="159">
        <v>9607</v>
      </c>
      <c r="U46" s="215" t="s">
        <v>204</v>
      </c>
      <c r="W46" s="314"/>
      <c r="X46" s="314"/>
      <c r="Y46" s="314"/>
      <c r="Z46" s="255"/>
      <c r="AA46" s="255"/>
      <c r="AB46" s="255"/>
    </row>
    <row r="47" spans="1:28" ht="18.600000000000001" customHeight="1" x14ac:dyDescent="0.25">
      <c r="A47" s="206" t="s">
        <v>205</v>
      </c>
      <c r="B47" s="157">
        <v>2809242</v>
      </c>
      <c r="C47" s="157">
        <v>2692852</v>
      </c>
      <c r="D47" s="159">
        <v>116390</v>
      </c>
      <c r="E47" s="157">
        <v>2956074</v>
      </c>
      <c r="F47" s="157">
        <v>2842233</v>
      </c>
      <c r="G47" s="159">
        <v>113841</v>
      </c>
      <c r="H47" s="161">
        <v>3119132</v>
      </c>
      <c r="I47" s="157">
        <v>3000668</v>
      </c>
      <c r="J47" s="159">
        <v>118465</v>
      </c>
      <c r="K47" s="160"/>
      <c r="L47" s="157">
        <v>3260308</v>
      </c>
      <c r="M47" s="157">
        <v>3138924</v>
      </c>
      <c r="N47" s="159">
        <v>121385</v>
      </c>
      <c r="O47" s="161">
        <v>3395493</v>
      </c>
      <c r="P47" s="157">
        <v>3263116</v>
      </c>
      <c r="Q47" s="159">
        <v>132377</v>
      </c>
      <c r="R47" s="161">
        <v>3550020</v>
      </c>
      <c r="S47" s="157">
        <v>3411037</v>
      </c>
      <c r="T47" s="159">
        <v>138983</v>
      </c>
      <c r="U47" s="216" t="s">
        <v>206</v>
      </c>
      <c r="W47" s="314"/>
      <c r="X47" s="314"/>
      <c r="Y47" s="314"/>
      <c r="Z47" s="255"/>
      <c r="AA47" s="255"/>
      <c r="AB47" s="255"/>
    </row>
    <row r="48" spans="1:28" s="227" customFormat="1" ht="14.1" customHeight="1" x14ac:dyDescent="0.25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  <c r="W48" s="21"/>
      <c r="X48" s="21"/>
      <c r="Y48" s="21"/>
    </row>
    <row r="49" spans="1:25" s="151" customFormat="1" ht="14.1" customHeight="1" x14ac:dyDescent="0.25">
      <c r="A49" s="738" t="s">
        <v>602</v>
      </c>
      <c r="B49" s="738"/>
      <c r="C49" s="738"/>
      <c r="D49" s="738"/>
      <c r="E49" s="738"/>
      <c r="F49" s="738"/>
      <c r="G49" s="738"/>
      <c r="H49" s="738"/>
      <c r="I49" s="738"/>
      <c r="J49" s="738"/>
      <c r="K49" s="279"/>
      <c r="L49" s="739" t="s">
        <v>207</v>
      </c>
      <c r="M49" s="739"/>
      <c r="N49" s="739"/>
      <c r="O49" s="739"/>
      <c r="P49" s="739"/>
      <c r="Q49" s="739"/>
      <c r="R49" s="739"/>
      <c r="S49" s="739"/>
      <c r="T49" s="739"/>
      <c r="U49" s="739"/>
      <c r="W49" s="21"/>
      <c r="X49" s="21"/>
      <c r="Y49" s="21"/>
    </row>
    <row r="50" spans="1:25" s="203" customFormat="1" ht="12" x14ac:dyDescent="0.2">
      <c r="A50" s="228"/>
      <c r="B50" s="228"/>
      <c r="C50" s="228"/>
      <c r="D50" s="228"/>
      <c r="E50" s="228"/>
      <c r="F50" s="228"/>
      <c r="G50" s="229"/>
      <c r="H50" s="228"/>
      <c r="I50" s="228"/>
      <c r="J50" s="229"/>
      <c r="K50" s="229"/>
      <c r="L50" s="739"/>
      <c r="M50" s="739"/>
      <c r="N50" s="739"/>
      <c r="O50" s="739"/>
      <c r="P50" s="739"/>
      <c r="Q50" s="739"/>
      <c r="R50" s="739"/>
      <c r="S50" s="739"/>
      <c r="T50" s="739"/>
      <c r="U50" s="739"/>
      <c r="W50" s="227"/>
      <c r="X50" s="227"/>
      <c r="Y50" s="227"/>
    </row>
    <row r="51" spans="1:25" s="203" customFormat="1" ht="12" x14ac:dyDescent="0.2">
      <c r="W51" s="151"/>
      <c r="X51" s="151"/>
      <c r="Y51" s="151"/>
    </row>
    <row r="52" spans="1:25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W52" s="203"/>
      <c r="X52" s="203"/>
      <c r="Y52" s="203"/>
    </row>
    <row r="53" spans="1:25" x14ac:dyDescent="0.25">
      <c r="W53" s="203"/>
      <c r="X53" s="203"/>
      <c r="Y53" s="203"/>
    </row>
  </sheetData>
  <mergeCells count="34">
    <mergeCell ref="O4:Q4"/>
    <mergeCell ref="R4:T4"/>
    <mergeCell ref="L50:U50"/>
    <mergeCell ref="P5:Q5"/>
    <mergeCell ref="R5:R6"/>
    <mergeCell ref="S5:T5"/>
    <mergeCell ref="A49:J49"/>
    <mergeCell ref="L49:U49"/>
    <mergeCell ref="F5:G5"/>
    <mergeCell ref="H5:H6"/>
    <mergeCell ref="I5:J5"/>
    <mergeCell ref="L5:L6"/>
    <mergeCell ref="M5:N5"/>
    <mergeCell ref="B5:B6"/>
    <mergeCell ref="C5:D5"/>
    <mergeCell ref="E5:E6"/>
    <mergeCell ref="A48:J48"/>
    <mergeCell ref="L48:U48"/>
    <mergeCell ref="A1:J1"/>
    <mergeCell ref="L1:U1"/>
    <mergeCell ref="R2:U2"/>
    <mergeCell ref="A3:A7"/>
    <mergeCell ref="B3:D3"/>
    <mergeCell ref="E3:G3"/>
    <mergeCell ref="H3:J3"/>
    <mergeCell ref="L3:N3"/>
    <mergeCell ref="O3:Q3"/>
    <mergeCell ref="R3:T3"/>
    <mergeCell ref="E4:G4"/>
    <mergeCell ref="H4:J4"/>
    <mergeCell ref="L4:N4"/>
    <mergeCell ref="O5:O6"/>
    <mergeCell ref="U3:U7"/>
    <mergeCell ref="B4:D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  <colBreaks count="1" manualBreakCount="1"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/>
  </sheetPr>
  <dimension ref="A1:AB51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R8" sqref="R8"/>
    </sheetView>
  </sheetViews>
  <sheetFormatPr defaultColWidth="9" defaultRowHeight="15.75" x14ac:dyDescent="0.25"/>
  <cols>
    <col min="1" max="1" width="12" style="21" customWidth="1"/>
    <col min="2" max="7" width="11.125" style="21" customWidth="1"/>
    <col min="8" max="10" width="11.125" style="137" customWidth="1"/>
    <col min="11" max="11" width="0.375" style="137" customWidth="1"/>
    <col min="12" max="20" width="11.125" style="137" customWidth="1"/>
    <col min="21" max="21" width="11.875" style="21" customWidth="1"/>
    <col min="22" max="22" width="9" style="21"/>
    <col min="23" max="23" width="11.25" style="21" customWidth="1"/>
    <col min="24" max="24" width="15.625" style="21" bestFit="1" customWidth="1"/>
    <col min="25" max="25" width="16.125" style="21" customWidth="1"/>
    <col min="26" max="26" width="12.625" style="21" customWidth="1"/>
    <col min="27" max="27" width="9" style="21"/>
    <col min="28" max="28" width="12.25" style="21" customWidth="1"/>
    <col min="29" max="16384" width="9" style="21"/>
  </cols>
  <sheetData>
    <row r="1" spans="1:28" ht="23.45" customHeight="1" x14ac:dyDescent="0.25">
      <c r="A1" s="720" t="s">
        <v>660</v>
      </c>
      <c r="B1" s="748"/>
      <c r="C1" s="748"/>
      <c r="D1" s="748"/>
      <c r="E1" s="748"/>
      <c r="F1" s="748"/>
      <c r="G1" s="748"/>
      <c r="H1" s="748"/>
      <c r="I1" s="748"/>
      <c r="J1" s="748"/>
      <c r="K1" s="579"/>
      <c r="L1" s="721" t="s">
        <v>553</v>
      </c>
      <c r="M1" s="721"/>
      <c r="N1" s="721"/>
      <c r="O1" s="721"/>
      <c r="P1" s="721"/>
      <c r="Q1" s="721"/>
      <c r="R1" s="721"/>
      <c r="S1" s="721"/>
      <c r="T1" s="721"/>
      <c r="U1" s="721"/>
      <c r="V1" s="230"/>
      <c r="W1" s="230"/>
      <c r="X1" s="230"/>
    </row>
    <row r="2" spans="1:28" ht="16.149999999999999" customHeight="1" x14ac:dyDescent="0.25">
      <c r="A2" s="577" t="s">
        <v>132</v>
      </c>
      <c r="B2" s="577"/>
      <c r="C2" s="577"/>
      <c r="D2" s="577"/>
      <c r="E2" s="577"/>
      <c r="F2" s="577"/>
      <c r="G2" s="577"/>
      <c r="H2" s="580"/>
      <c r="I2" s="580"/>
      <c r="J2" s="580"/>
      <c r="K2" s="580"/>
      <c r="L2" s="580"/>
      <c r="M2" s="580"/>
      <c r="N2" s="581"/>
      <c r="O2" s="581"/>
      <c r="P2" s="582"/>
      <c r="Q2" s="582"/>
      <c r="R2" s="722" t="s">
        <v>133</v>
      </c>
      <c r="S2" s="722"/>
      <c r="T2" s="722"/>
      <c r="U2" s="722"/>
    </row>
    <row r="3" spans="1:28" s="22" customFormat="1" ht="15.6" customHeight="1" x14ac:dyDescent="0.25">
      <c r="A3" s="723" t="s">
        <v>469</v>
      </c>
      <c r="B3" s="729" t="s">
        <v>492</v>
      </c>
      <c r="C3" s="729"/>
      <c r="D3" s="729"/>
      <c r="E3" s="729" t="s">
        <v>493</v>
      </c>
      <c r="F3" s="729"/>
      <c r="G3" s="729"/>
      <c r="H3" s="729" t="s">
        <v>494</v>
      </c>
      <c r="I3" s="729"/>
      <c r="J3" s="729"/>
      <c r="K3" s="578"/>
      <c r="L3" s="728" t="s">
        <v>495</v>
      </c>
      <c r="M3" s="729"/>
      <c r="N3" s="729"/>
      <c r="O3" s="729" t="s">
        <v>549</v>
      </c>
      <c r="P3" s="729"/>
      <c r="Q3" s="729"/>
      <c r="R3" s="729" t="s">
        <v>578</v>
      </c>
      <c r="S3" s="729"/>
      <c r="T3" s="729"/>
      <c r="U3" s="735" t="s">
        <v>470</v>
      </c>
    </row>
    <row r="4" spans="1:28" ht="14.45" customHeight="1" x14ac:dyDescent="0.25">
      <c r="A4" s="724"/>
      <c r="B4" s="747">
        <v>2019</v>
      </c>
      <c r="C4" s="747"/>
      <c r="D4" s="747"/>
      <c r="E4" s="747">
        <v>2020</v>
      </c>
      <c r="F4" s="747"/>
      <c r="G4" s="747"/>
      <c r="H4" s="747">
        <v>2021</v>
      </c>
      <c r="I4" s="747"/>
      <c r="J4" s="747"/>
      <c r="K4" s="578"/>
      <c r="L4" s="732">
        <v>2022</v>
      </c>
      <c r="M4" s="747"/>
      <c r="N4" s="747"/>
      <c r="O4" s="747">
        <v>2023</v>
      </c>
      <c r="P4" s="747"/>
      <c r="Q4" s="747"/>
      <c r="R4" s="747">
        <v>2024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42" t="s">
        <v>486</v>
      </c>
      <c r="F5" s="740"/>
      <c r="G5" s="741"/>
      <c r="H5" s="742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3" customHeight="1" x14ac:dyDescent="0.25">
      <c r="A6" s="724"/>
      <c r="B6" s="734"/>
      <c r="C6" s="329" t="s">
        <v>467</v>
      </c>
      <c r="D6" s="329" t="s">
        <v>468</v>
      </c>
      <c r="E6" s="743"/>
      <c r="F6" s="329" t="s">
        <v>467</v>
      </c>
      <c r="G6" s="329" t="s">
        <v>468</v>
      </c>
      <c r="H6" s="743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8.9" customHeight="1" x14ac:dyDescent="0.25">
      <c r="A7" s="725"/>
      <c r="B7" s="141" t="s">
        <v>430</v>
      </c>
      <c r="C7" s="260" t="s">
        <v>431</v>
      </c>
      <c r="D7" s="260" t="s">
        <v>432</v>
      </c>
      <c r="E7" s="141" t="s">
        <v>430</v>
      </c>
      <c r="F7" s="260" t="s">
        <v>431</v>
      </c>
      <c r="G7" s="260" t="s">
        <v>547</v>
      </c>
      <c r="H7" s="141" t="s">
        <v>430</v>
      </c>
      <c r="I7" s="260" t="s">
        <v>431</v>
      </c>
      <c r="J7" s="260" t="s">
        <v>550</v>
      </c>
      <c r="K7" s="293"/>
      <c r="L7" s="142" t="s">
        <v>430</v>
      </c>
      <c r="M7" s="260" t="s">
        <v>431</v>
      </c>
      <c r="N7" s="260" t="s">
        <v>432</v>
      </c>
      <c r="O7" s="141" t="s">
        <v>430</v>
      </c>
      <c r="P7" s="260" t="s">
        <v>431</v>
      </c>
      <c r="Q7" s="260" t="s">
        <v>432</v>
      </c>
      <c r="R7" s="141" t="s">
        <v>430</v>
      </c>
      <c r="S7" s="260" t="s">
        <v>431</v>
      </c>
      <c r="T7" s="260" t="s">
        <v>432</v>
      </c>
      <c r="U7" s="737"/>
    </row>
    <row r="8" spans="1:28" ht="19.149999999999999" customHeight="1" x14ac:dyDescent="0.25">
      <c r="A8" s="204" t="s">
        <v>136</v>
      </c>
      <c r="B8" s="231">
        <v>45944</v>
      </c>
      <c r="C8" s="232">
        <v>43012</v>
      </c>
      <c r="D8" s="224">
        <v>2931</v>
      </c>
      <c r="E8" s="231">
        <v>51964</v>
      </c>
      <c r="F8" s="232">
        <v>48455</v>
      </c>
      <c r="G8" s="224">
        <v>3509</v>
      </c>
      <c r="H8" s="231">
        <v>59009</v>
      </c>
      <c r="I8" s="232">
        <v>55281</v>
      </c>
      <c r="J8" s="224">
        <v>3729</v>
      </c>
      <c r="K8" s="231"/>
      <c r="L8" s="232">
        <v>59391</v>
      </c>
      <c r="M8" s="232">
        <v>55928</v>
      </c>
      <c r="N8" s="224">
        <v>3462</v>
      </c>
      <c r="O8" s="231">
        <v>58899</v>
      </c>
      <c r="P8" s="232">
        <v>54891</v>
      </c>
      <c r="Q8" s="224">
        <v>4008</v>
      </c>
      <c r="R8" s="231">
        <v>58850</v>
      </c>
      <c r="S8" s="232">
        <v>54939</v>
      </c>
      <c r="T8" s="224">
        <v>3910</v>
      </c>
      <c r="U8" s="215" t="s">
        <v>137</v>
      </c>
    </row>
    <row r="9" spans="1:28" ht="19.149999999999999" customHeight="1" x14ac:dyDescent="0.25">
      <c r="A9" s="205" t="s">
        <v>138</v>
      </c>
      <c r="B9" s="163">
        <v>149008</v>
      </c>
      <c r="C9" s="156">
        <v>141260</v>
      </c>
      <c r="D9" s="159">
        <v>7748</v>
      </c>
      <c r="E9" s="163">
        <v>161714</v>
      </c>
      <c r="F9" s="156">
        <v>153639</v>
      </c>
      <c r="G9" s="159">
        <v>8075</v>
      </c>
      <c r="H9" s="163">
        <v>192894</v>
      </c>
      <c r="I9" s="156">
        <v>184086</v>
      </c>
      <c r="J9" s="159">
        <v>8807</v>
      </c>
      <c r="K9" s="160"/>
      <c r="L9" s="156">
        <v>186459</v>
      </c>
      <c r="M9" s="156">
        <v>176175</v>
      </c>
      <c r="N9" s="159">
        <v>10284</v>
      </c>
      <c r="O9" s="163" t="s">
        <v>57</v>
      </c>
      <c r="P9" s="156">
        <v>175499</v>
      </c>
      <c r="Q9" s="159" t="s">
        <v>57</v>
      </c>
      <c r="R9" s="163" t="s">
        <v>57</v>
      </c>
      <c r="S9" s="156">
        <v>189404</v>
      </c>
      <c r="T9" s="159" t="s">
        <v>57</v>
      </c>
      <c r="U9" s="215" t="s">
        <v>139</v>
      </c>
      <c r="W9" s="314"/>
      <c r="X9" s="314"/>
      <c r="Y9" s="314"/>
      <c r="Z9" s="255"/>
      <c r="AA9" s="255"/>
      <c r="AB9" s="255"/>
    </row>
    <row r="10" spans="1:28" ht="19.149999999999999" customHeight="1" x14ac:dyDescent="0.25">
      <c r="A10" s="205" t="s">
        <v>140</v>
      </c>
      <c r="B10" s="163">
        <v>49293</v>
      </c>
      <c r="C10" s="156">
        <v>47068</v>
      </c>
      <c r="D10" s="159">
        <v>2225</v>
      </c>
      <c r="E10" s="163">
        <v>51901</v>
      </c>
      <c r="F10" s="156">
        <v>49578</v>
      </c>
      <c r="G10" s="159">
        <v>2323</v>
      </c>
      <c r="H10" s="163">
        <v>61058</v>
      </c>
      <c r="I10" s="156">
        <v>58546</v>
      </c>
      <c r="J10" s="159">
        <v>2512</v>
      </c>
      <c r="K10" s="160"/>
      <c r="L10" s="156">
        <v>55183</v>
      </c>
      <c r="M10" s="156">
        <v>52958</v>
      </c>
      <c r="N10" s="159">
        <v>2226</v>
      </c>
      <c r="O10" s="163">
        <v>59676</v>
      </c>
      <c r="P10" s="156">
        <v>57068</v>
      </c>
      <c r="Q10" s="159">
        <v>2608</v>
      </c>
      <c r="R10" s="163">
        <v>64305</v>
      </c>
      <c r="S10" s="156">
        <v>61724</v>
      </c>
      <c r="T10" s="159">
        <v>2581</v>
      </c>
      <c r="U10" s="215" t="s">
        <v>141</v>
      </c>
      <c r="W10" s="314"/>
      <c r="X10" s="314"/>
      <c r="Y10" s="314"/>
      <c r="Z10" s="255"/>
      <c r="AA10" s="255"/>
      <c r="AB10" s="255"/>
    </row>
    <row r="11" spans="1:28" ht="19.149999999999999" customHeight="1" x14ac:dyDescent="0.25">
      <c r="A11" s="205" t="s">
        <v>142</v>
      </c>
      <c r="B11" s="163" t="s">
        <v>57</v>
      </c>
      <c r="C11" s="156">
        <v>58279</v>
      </c>
      <c r="D11" s="159" t="s">
        <v>57</v>
      </c>
      <c r="E11" s="163" t="s">
        <v>57</v>
      </c>
      <c r="F11" s="156">
        <v>60716</v>
      </c>
      <c r="G11" s="159" t="s">
        <v>57</v>
      </c>
      <c r="H11" s="163" t="s">
        <v>57</v>
      </c>
      <c r="I11" s="156">
        <v>67563</v>
      </c>
      <c r="J11" s="159" t="s">
        <v>57</v>
      </c>
      <c r="K11" s="160"/>
      <c r="L11" s="156" t="s">
        <v>57</v>
      </c>
      <c r="M11" s="156">
        <v>63753</v>
      </c>
      <c r="N11" s="159" t="s">
        <v>57</v>
      </c>
      <c r="O11" s="163" t="s">
        <v>57</v>
      </c>
      <c r="P11" s="156">
        <v>69647</v>
      </c>
      <c r="Q11" s="159" t="s">
        <v>57</v>
      </c>
      <c r="R11" s="163" t="s">
        <v>57</v>
      </c>
      <c r="S11" s="156">
        <v>72898</v>
      </c>
      <c r="T11" s="159" t="s">
        <v>57</v>
      </c>
      <c r="U11" s="215" t="s">
        <v>143</v>
      </c>
      <c r="W11" s="314"/>
      <c r="X11" s="314"/>
      <c r="Y11" s="314"/>
      <c r="Z11" s="255"/>
      <c r="AA11" s="255"/>
      <c r="AB11" s="255"/>
    </row>
    <row r="12" spans="1:28" ht="19.149999999999999" customHeight="1" x14ac:dyDescent="0.25">
      <c r="A12" s="205" t="s">
        <v>144</v>
      </c>
      <c r="B12" s="163">
        <v>199417</v>
      </c>
      <c r="C12" s="156">
        <v>192651</v>
      </c>
      <c r="D12" s="159">
        <v>6766</v>
      </c>
      <c r="E12" s="163">
        <v>223447</v>
      </c>
      <c r="F12" s="156">
        <v>215526</v>
      </c>
      <c r="G12" s="159">
        <v>7921</v>
      </c>
      <c r="H12" s="163">
        <v>259172</v>
      </c>
      <c r="I12" s="156">
        <v>250392</v>
      </c>
      <c r="J12" s="159">
        <v>8779</v>
      </c>
      <c r="K12" s="160"/>
      <c r="L12" s="156">
        <v>252667</v>
      </c>
      <c r="M12" s="156">
        <v>242724</v>
      </c>
      <c r="N12" s="159">
        <v>9943</v>
      </c>
      <c r="O12" s="163">
        <v>253975</v>
      </c>
      <c r="P12" s="156">
        <v>243130</v>
      </c>
      <c r="Q12" s="159">
        <v>10845</v>
      </c>
      <c r="R12" s="163">
        <v>264678</v>
      </c>
      <c r="S12" s="156">
        <v>253476</v>
      </c>
      <c r="T12" s="159">
        <v>11202</v>
      </c>
      <c r="U12" s="215" t="s">
        <v>145</v>
      </c>
      <c r="W12" s="314"/>
      <c r="X12" s="314"/>
      <c r="Y12" s="314"/>
      <c r="Z12" s="255"/>
      <c r="AA12" s="255"/>
      <c r="AB12" s="255"/>
    </row>
    <row r="13" spans="1:28" ht="19.149999999999999" customHeight="1" x14ac:dyDescent="0.25">
      <c r="A13" s="205" t="s">
        <v>146</v>
      </c>
      <c r="B13" s="163" t="s">
        <v>57</v>
      </c>
      <c r="C13" s="156">
        <v>25898</v>
      </c>
      <c r="D13" s="159" t="s">
        <v>57</v>
      </c>
      <c r="E13" s="163" t="s">
        <v>57</v>
      </c>
      <c r="F13" s="156">
        <v>24620</v>
      </c>
      <c r="G13" s="159" t="s">
        <v>57</v>
      </c>
      <c r="H13" s="163" t="s">
        <v>57</v>
      </c>
      <c r="I13" s="156">
        <v>30677</v>
      </c>
      <c r="J13" s="159" t="s">
        <v>57</v>
      </c>
      <c r="K13" s="160"/>
      <c r="L13" s="156" t="s">
        <v>57</v>
      </c>
      <c r="M13" s="156">
        <v>30139</v>
      </c>
      <c r="N13" s="159" t="s">
        <v>57</v>
      </c>
      <c r="O13" s="163" t="s">
        <v>57</v>
      </c>
      <c r="P13" s="156">
        <v>34138</v>
      </c>
      <c r="Q13" s="159" t="s">
        <v>57</v>
      </c>
      <c r="R13" s="163" t="s">
        <v>57</v>
      </c>
      <c r="S13" s="156">
        <v>34780</v>
      </c>
      <c r="T13" s="159" t="s">
        <v>57</v>
      </c>
      <c r="U13" s="215" t="s">
        <v>147</v>
      </c>
      <c r="W13" s="314"/>
      <c r="X13" s="314"/>
      <c r="Y13" s="314"/>
      <c r="Z13" s="255"/>
      <c r="AA13" s="255"/>
      <c r="AB13" s="255"/>
    </row>
    <row r="14" spans="1:28" ht="19.149999999999999" customHeight="1" x14ac:dyDescent="0.25">
      <c r="A14" s="225" t="s">
        <v>383</v>
      </c>
      <c r="B14" s="163" t="s">
        <v>57</v>
      </c>
      <c r="C14" s="156">
        <v>25306</v>
      </c>
      <c r="D14" s="159" t="s">
        <v>57</v>
      </c>
      <c r="E14" s="163" t="s">
        <v>57</v>
      </c>
      <c r="F14" s="156">
        <v>23514</v>
      </c>
      <c r="G14" s="159" t="s">
        <v>57</v>
      </c>
      <c r="H14" s="163" t="s">
        <v>57</v>
      </c>
      <c r="I14" s="156">
        <v>29118</v>
      </c>
      <c r="J14" s="159" t="s">
        <v>57</v>
      </c>
      <c r="K14" s="160"/>
      <c r="L14" s="156" t="s">
        <v>57</v>
      </c>
      <c r="M14" s="156">
        <v>26235</v>
      </c>
      <c r="N14" s="159" t="s">
        <v>57</v>
      </c>
      <c r="O14" s="163" t="s">
        <v>57</v>
      </c>
      <c r="P14" s="156">
        <v>29883</v>
      </c>
      <c r="Q14" s="159" t="s">
        <v>57</v>
      </c>
      <c r="R14" s="163" t="s">
        <v>57</v>
      </c>
      <c r="S14" s="156">
        <v>34075</v>
      </c>
      <c r="T14" s="159" t="s">
        <v>57</v>
      </c>
      <c r="U14" s="226" t="s">
        <v>384</v>
      </c>
      <c r="W14" s="314"/>
      <c r="X14" s="314"/>
      <c r="Y14" s="314"/>
      <c r="Z14" s="255"/>
      <c r="AA14" s="255"/>
      <c r="AB14" s="255"/>
    </row>
    <row r="15" spans="1:28" ht="19.149999999999999" customHeight="1" x14ac:dyDescent="0.25">
      <c r="A15" s="225" t="s">
        <v>392</v>
      </c>
      <c r="B15" s="163">
        <v>4837</v>
      </c>
      <c r="C15" s="156">
        <v>4652</v>
      </c>
      <c r="D15" s="159">
        <v>185</v>
      </c>
      <c r="E15" s="163">
        <v>5149</v>
      </c>
      <c r="F15" s="156">
        <v>4883</v>
      </c>
      <c r="G15" s="159">
        <v>266</v>
      </c>
      <c r="H15" s="163">
        <v>5151</v>
      </c>
      <c r="I15" s="156">
        <v>4944</v>
      </c>
      <c r="J15" s="159">
        <v>206</v>
      </c>
      <c r="K15" s="160"/>
      <c r="L15" s="156">
        <v>5203</v>
      </c>
      <c r="M15" s="156">
        <v>4974</v>
      </c>
      <c r="N15" s="159">
        <v>229</v>
      </c>
      <c r="O15" s="163">
        <v>6210</v>
      </c>
      <c r="P15" s="156">
        <v>5939</v>
      </c>
      <c r="Q15" s="159">
        <v>271</v>
      </c>
      <c r="R15" s="163" t="s">
        <v>57</v>
      </c>
      <c r="S15" s="156">
        <v>6469</v>
      </c>
      <c r="T15" s="159" t="s">
        <v>57</v>
      </c>
      <c r="U15" s="226" t="s">
        <v>391</v>
      </c>
      <c r="W15" s="314"/>
      <c r="X15" s="314"/>
      <c r="Y15" s="314"/>
      <c r="Z15" s="255"/>
      <c r="AA15" s="255"/>
      <c r="AB15" s="255"/>
    </row>
    <row r="16" spans="1:28" ht="19.149999999999999" customHeight="1" x14ac:dyDescent="0.25">
      <c r="A16" s="205" t="s">
        <v>148</v>
      </c>
      <c r="B16" s="163">
        <v>19485</v>
      </c>
      <c r="C16" s="156">
        <v>19228</v>
      </c>
      <c r="D16" s="159">
        <v>257</v>
      </c>
      <c r="E16" s="163">
        <v>22803</v>
      </c>
      <c r="F16" s="156">
        <v>22524</v>
      </c>
      <c r="G16" s="159">
        <v>278</v>
      </c>
      <c r="H16" s="163">
        <v>26914</v>
      </c>
      <c r="I16" s="156">
        <v>26636</v>
      </c>
      <c r="J16" s="159">
        <v>277</v>
      </c>
      <c r="K16" s="160"/>
      <c r="L16" s="156">
        <v>25877</v>
      </c>
      <c r="M16" s="156">
        <v>25567</v>
      </c>
      <c r="N16" s="159">
        <v>310</v>
      </c>
      <c r="O16" s="163">
        <v>29411</v>
      </c>
      <c r="P16" s="156">
        <v>28921</v>
      </c>
      <c r="Q16" s="159">
        <v>490</v>
      </c>
      <c r="R16" s="163" t="s">
        <v>57</v>
      </c>
      <c r="S16" s="156">
        <v>29353</v>
      </c>
      <c r="T16" s="159" t="s">
        <v>57</v>
      </c>
      <c r="U16" s="215" t="s">
        <v>149</v>
      </c>
      <c r="W16" s="314"/>
      <c r="X16" s="314"/>
      <c r="Y16" s="314"/>
      <c r="Z16" s="255"/>
      <c r="AA16" s="255"/>
      <c r="AB16" s="255"/>
    </row>
    <row r="17" spans="1:28" ht="19.149999999999999" customHeight="1" x14ac:dyDescent="0.25">
      <c r="A17" s="205" t="s">
        <v>150</v>
      </c>
      <c r="B17" s="163">
        <v>37253</v>
      </c>
      <c r="C17" s="156">
        <v>35178</v>
      </c>
      <c r="D17" s="159">
        <v>2075</v>
      </c>
      <c r="E17" s="163">
        <v>40750</v>
      </c>
      <c r="F17" s="156">
        <v>38025</v>
      </c>
      <c r="G17" s="159">
        <v>2724</v>
      </c>
      <c r="H17" s="163">
        <v>46414</v>
      </c>
      <c r="I17" s="156">
        <v>43516</v>
      </c>
      <c r="J17" s="159">
        <v>2898</v>
      </c>
      <c r="K17" s="160"/>
      <c r="L17" s="156">
        <v>40718</v>
      </c>
      <c r="M17" s="156">
        <v>38081</v>
      </c>
      <c r="N17" s="159">
        <v>2637</v>
      </c>
      <c r="O17" s="163">
        <v>41493</v>
      </c>
      <c r="P17" s="156">
        <v>38726</v>
      </c>
      <c r="Q17" s="159">
        <v>2767</v>
      </c>
      <c r="R17" s="163">
        <v>43083</v>
      </c>
      <c r="S17" s="156">
        <v>40318</v>
      </c>
      <c r="T17" s="159">
        <v>2765</v>
      </c>
      <c r="U17" s="215" t="s">
        <v>151</v>
      </c>
      <c r="W17" s="314"/>
      <c r="X17" s="314"/>
      <c r="Y17" s="314"/>
      <c r="Z17" s="255"/>
      <c r="AA17" s="255"/>
      <c r="AB17" s="255"/>
    </row>
    <row r="18" spans="1:28" ht="19.149999999999999" customHeight="1" x14ac:dyDescent="0.25">
      <c r="A18" s="205" t="s">
        <v>152</v>
      </c>
      <c r="B18" s="163">
        <v>2207</v>
      </c>
      <c r="C18" s="156">
        <v>2119</v>
      </c>
      <c r="D18" s="159">
        <v>88</v>
      </c>
      <c r="E18" s="163">
        <v>2506</v>
      </c>
      <c r="F18" s="156">
        <v>2378</v>
      </c>
      <c r="G18" s="159">
        <v>128</v>
      </c>
      <c r="H18" s="163">
        <v>2954</v>
      </c>
      <c r="I18" s="156">
        <v>2781</v>
      </c>
      <c r="J18" s="159">
        <v>173</v>
      </c>
      <c r="K18" s="160"/>
      <c r="L18" s="156">
        <v>2770</v>
      </c>
      <c r="M18" s="156">
        <v>2662</v>
      </c>
      <c r="N18" s="159">
        <v>108</v>
      </c>
      <c r="O18" s="163">
        <v>3382</v>
      </c>
      <c r="P18" s="156">
        <v>3085</v>
      </c>
      <c r="Q18" s="159">
        <v>298</v>
      </c>
      <c r="R18" s="163" t="s">
        <v>57</v>
      </c>
      <c r="S18" s="156">
        <v>3351</v>
      </c>
      <c r="T18" s="159" t="s">
        <v>57</v>
      </c>
      <c r="U18" s="215" t="s">
        <v>153</v>
      </c>
      <c r="W18" s="314"/>
      <c r="X18" s="314"/>
      <c r="Y18" s="314"/>
      <c r="Z18" s="255"/>
      <c r="AA18" s="255"/>
      <c r="AB18" s="255"/>
    </row>
    <row r="19" spans="1:28" ht="19.149999999999999" customHeight="1" x14ac:dyDescent="0.25">
      <c r="A19" s="205" t="s">
        <v>154</v>
      </c>
      <c r="B19" s="163">
        <v>25908</v>
      </c>
      <c r="C19" s="156">
        <v>24627</v>
      </c>
      <c r="D19" s="159">
        <v>1282</v>
      </c>
      <c r="E19" s="163">
        <v>27642</v>
      </c>
      <c r="F19" s="156">
        <v>26189</v>
      </c>
      <c r="G19" s="159">
        <v>1452</v>
      </c>
      <c r="H19" s="163">
        <v>30656</v>
      </c>
      <c r="I19" s="156">
        <v>29157</v>
      </c>
      <c r="J19" s="159">
        <v>1500</v>
      </c>
      <c r="K19" s="160"/>
      <c r="L19" s="156">
        <v>28590</v>
      </c>
      <c r="M19" s="156">
        <v>27301</v>
      </c>
      <c r="N19" s="159">
        <v>1289</v>
      </c>
      <c r="O19" s="163">
        <v>31729</v>
      </c>
      <c r="P19" s="156">
        <v>30893</v>
      </c>
      <c r="Q19" s="159">
        <v>836</v>
      </c>
      <c r="R19" s="163" t="s">
        <v>57</v>
      </c>
      <c r="S19" s="156">
        <v>31792</v>
      </c>
      <c r="T19" s="159" t="s">
        <v>57</v>
      </c>
      <c r="U19" s="215" t="s">
        <v>155</v>
      </c>
      <c r="W19" s="314"/>
      <c r="X19" s="314"/>
      <c r="Y19" s="314"/>
      <c r="Z19" s="255"/>
      <c r="AA19" s="255"/>
      <c r="AB19" s="255"/>
    </row>
    <row r="20" spans="1:28" ht="19.149999999999999" customHeight="1" x14ac:dyDescent="0.25">
      <c r="A20" s="205" t="s">
        <v>156</v>
      </c>
      <c r="B20" s="163" t="s">
        <v>57</v>
      </c>
      <c r="C20" s="156">
        <v>304152</v>
      </c>
      <c r="D20" s="159" t="s">
        <v>57</v>
      </c>
      <c r="E20" s="163" t="s">
        <v>57</v>
      </c>
      <c r="F20" s="156">
        <v>321180</v>
      </c>
      <c r="G20" s="159" t="s">
        <v>57</v>
      </c>
      <c r="H20" s="163" t="s">
        <v>57</v>
      </c>
      <c r="I20" s="156">
        <v>363357</v>
      </c>
      <c r="J20" s="159" t="s">
        <v>57</v>
      </c>
      <c r="K20" s="160"/>
      <c r="L20" s="156" t="s">
        <v>57</v>
      </c>
      <c r="M20" s="156">
        <v>330771</v>
      </c>
      <c r="N20" s="159" t="s">
        <v>57</v>
      </c>
      <c r="O20" s="163" t="s">
        <v>57</v>
      </c>
      <c r="P20" s="156">
        <v>351563</v>
      </c>
      <c r="Q20" s="159" t="s">
        <v>57</v>
      </c>
      <c r="R20" s="163" t="s">
        <v>57</v>
      </c>
      <c r="S20" s="156">
        <v>364755</v>
      </c>
      <c r="T20" s="159" t="s">
        <v>57</v>
      </c>
      <c r="U20" s="215" t="s">
        <v>157</v>
      </c>
      <c r="W20" s="314"/>
      <c r="X20" s="314"/>
      <c r="Y20" s="314"/>
      <c r="Z20" s="255"/>
      <c r="AA20" s="255"/>
      <c r="AB20" s="255"/>
    </row>
    <row r="21" spans="1:28" ht="19.149999999999999" customHeight="1" x14ac:dyDescent="0.25">
      <c r="A21" s="205" t="s">
        <v>158</v>
      </c>
      <c r="B21" s="163" t="s">
        <v>57</v>
      </c>
      <c r="C21" s="156">
        <v>452232</v>
      </c>
      <c r="D21" s="159" t="s">
        <v>57</v>
      </c>
      <c r="E21" s="163" t="s">
        <v>57</v>
      </c>
      <c r="F21" s="156">
        <v>491250</v>
      </c>
      <c r="G21" s="159" t="s">
        <v>57</v>
      </c>
      <c r="H21" s="163" t="s">
        <v>57</v>
      </c>
      <c r="I21" s="156">
        <v>553279</v>
      </c>
      <c r="J21" s="159" t="s">
        <v>57</v>
      </c>
      <c r="K21" s="160"/>
      <c r="L21" s="156" t="s">
        <v>57</v>
      </c>
      <c r="M21" s="156">
        <v>518246</v>
      </c>
      <c r="N21" s="159" t="s">
        <v>57</v>
      </c>
      <c r="O21" s="163" t="s">
        <v>57</v>
      </c>
      <c r="P21" s="156">
        <v>531511</v>
      </c>
      <c r="Q21" s="159" t="s">
        <v>57</v>
      </c>
      <c r="R21" s="163" t="s">
        <v>57</v>
      </c>
      <c r="S21" s="156">
        <v>571612</v>
      </c>
      <c r="T21" s="159" t="s">
        <v>57</v>
      </c>
      <c r="U21" s="215" t="s">
        <v>159</v>
      </c>
      <c r="W21" s="314"/>
      <c r="X21" s="314"/>
      <c r="Y21" s="314"/>
      <c r="Z21" s="255"/>
      <c r="AA21" s="255"/>
      <c r="AB21" s="255"/>
    </row>
    <row r="22" spans="1:28" ht="19.149999999999999" customHeight="1" x14ac:dyDescent="0.25">
      <c r="A22" s="205" t="s">
        <v>160</v>
      </c>
      <c r="B22" s="163">
        <v>17209</v>
      </c>
      <c r="C22" s="156">
        <v>16827</v>
      </c>
      <c r="D22" s="159">
        <v>382</v>
      </c>
      <c r="E22" s="163">
        <v>18264</v>
      </c>
      <c r="F22" s="156">
        <v>17951</v>
      </c>
      <c r="G22" s="159">
        <v>313</v>
      </c>
      <c r="H22" s="163">
        <v>20272</v>
      </c>
      <c r="I22" s="156">
        <v>19717</v>
      </c>
      <c r="J22" s="159">
        <v>555</v>
      </c>
      <c r="K22" s="160"/>
      <c r="L22" s="156">
        <v>19076</v>
      </c>
      <c r="M22" s="156">
        <v>18494</v>
      </c>
      <c r="N22" s="159">
        <v>582</v>
      </c>
      <c r="O22" s="163">
        <v>21081</v>
      </c>
      <c r="P22" s="156">
        <v>20438</v>
      </c>
      <c r="Q22" s="159">
        <v>643</v>
      </c>
      <c r="R22" s="163" t="s">
        <v>57</v>
      </c>
      <c r="S22" s="156">
        <v>20861</v>
      </c>
      <c r="T22" s="159" t="s">
        <v>57</v>
      </c>
      <c r="U22" s="215" t="s">
        <v>161</v>
      </c>
      <c r="W22" s="314"/>
      <c r="X22" s="314"/>
      <c r="Y22" s="314"/>
      <c r="Z22" s="255"/>
      <c r="AA22" s="255"/>
      <c r="AB22" s="255"/>
    </row>
    <row r="23" spans="1:28" ht="19.149999999999999" customHeight="1" x14ac:dyDescent="0.25">
      <c r="A23" s="205" t="s">
        <v>162</v>
      </c>
      <c r="B23" s="163">
        <v>10728</v>
      </c>
      <c r="C23" s="156">
        <v>10303</v>
      </c>
      <c r="D23" s="159">
        <v>425</v>
      </c>
      <c r="E23" s="163">
        <v>12092</v>
      </c>
      <c r="F23" s="156">
        <v>11458</v>
      </c>
      <c r="G23" s="159">
        <v>633</v>
      </c>
      <c r="H23" s="163">
        <v>14066</v>
      </c>
      <c r="I23" s="156">
        <v>13444</v>
      </c>
      <c r="J23" s="159">
        <v>621</v>
      </c>
      <c r="K23" s="160"/>
      <c r="L23" s="156">
        <v>12285</v>
      </c>
      <c r="M23" s="156">
        <v>11802</v>
      </c>
      <c r="N23" s="159">
        <v>483</v>
      </c>
      <c r="O23" s="163">
        <v>14151</v>
      </c>
      <c r="P23" s="156">
        <v>13630</v>
      </c>
      <c r="Q23" s="159">
        <v>521</v>
      </c>
      <c r="R23" s="163" t="s">
        <v>57</v>
      </c>
      <c r="S23" s="156">
        <v>14481</v>
      </c>
      <c r="T23" s="159" t="s">
        <v>57</v>
      </c>
      <c r="U23" s="215" t="s">
        <v>163</v>
      </c>
      <c r="W23" s="314"/>
      <c r="X23" s="314"/>
      <c r="Y23" s="314"/>
      <c r="Z23" s="255"/>
      <c r="AA23" s="255"/>
      <c r="AB23" s="255"/>
    </row>
    <row r="24" spans="1:28" ht="19.149999999999999" customHeight="1" x14ac:dyDescent="0.25">
      <c r="A24" s="205" t="s">
        <v>164</v>
      </c>
      <c r="B24" s="163">
        <v>2208</v>
      </c>
      <c r="C24" s="156">
        <v>2132</v>
      </c>
      <c r="D24" s="159">
        <v>75</v>
      </c>
      <c r="E24" s="163">
        <v>2147</v>
      </c>
      <c r="F24" s="156">
        <v>2087</v>
      </c>
      <c r="G24" s="159">
        <v>60</v>
      </c>
      <c r="H24" s="163">
        <v>2610</v>
      </c>
      <c r="I24" s="156">
        <v>2505</v>
      </c>
      <c r="J24" s="159">
        <v>105</v>
      </c>
      <c r="K24" s="160"/>
      <c r="L24" s="156">
        <v>2729</v>
      </c>
      <c r="M24" s="156">
        <v>2606</v>
      </c>
      <c r="N24" s="159">
        <v>123</v>
      </c>
      <c r="O24" s="163">
        <v>2901</v>
      </c>
      <c r="P24" s="156">
        <v>2738</v>
      </c>
      <c r="Q24" s="159">
        <v>163</v>
      </c>
      <c r="R24" s="163" t="s">
        <v>57</v>
      </c>
      <c r="S24" s="156">
        <v>3006</v>
      </c>
      <c r="T24" s="159" t="s">
        <v>57</v>
      </c>
      <c r="U24" s="215" t="s">
        <v>165</v>
      </c>
      <c r="W24" s="314"/>
      <c r="X24" s="314"/>
      <c r="Y24" s="314"/>
      <c r="Z24" s="255"/>
      <c r="AA24" s="255"/>
      <c r="AB24" s="255"/>
    </row>
    <row r="25" spans="1:28" ht="19.149999999999999" customHeight="1" x14ac:dyDescent="0.25">
      <c r="A25" s="205" t="s">
        <v>166</v>
      </c>
      <c r="B25" s="163">
        <v>28126</v>
      </c>
      <c r="C25" s="156">
        <v>26946</v>
      </c>
      <c r="D25" s="159">
        <v>1180</v>
      </c>
      <c r="E25" s="163">
        <v>31646</v>
      </c>
      <c r="F25" s="156">
        <v>30442</v>
      </c>
      <c r="G25" s="159">
        <v>1204</v>
      </c>
      <c r="H25" s="163">
        <v>35786</v>
      </c>
      <c r="I25" s="156">
        <v>34222</v>
      </c>
      <c r="J25" s="159">
        <v>1564</v>
      </c>
      <c r="K25" s="160"/>
      <c r="L25" s="156">
        <v>34557</v>
      </c>
      <c r="M25" s="156">
        <v>33028</v>
      </c>
      <c r="N25" s="159">
        <v>1529</v>
      </c>
      <c r="O25" s="163">
        <v>37983</v>
      </c>
      <c r="P25" s="156">
        <v>36256</v>
      </c>
      <c r="Q25" s="159">
        <v>1727</v>
      </c>
      <c r="R25" s="163" t="s">
        <v>57</v>
      </c>
      <c r="S25" s="156">
        <v>39575</v>
      </c>
      <c r="T25" s="159" t="s">
        <v>57</v>
      </c>
      <c r="U25" s="215" t="s">
        <v>167</v>
      </c>
      <c r="W25" s="314"/>
      <c r="X25" s="314"/>
      <c r="Y25" s="314"/>
      <c r="Z25" s="255"/>
      <c r="AA25" s="255"/>
      <c r="AB25" s="255"/>
    </row>
    <row r="26" spans="1:28" ht="19.149999999999999" customHeight="1" x14ac:dyDescent="0.25">
      <c r="A26" s="205" t="s">
        <v>168</v>
      </c>
      <c r="B26" s="163">
        <v>29939</v>
      </c>
      <c r="C26" s="156">
        <v>28875</v>
      </c>
      <c r="D26" s="159">
        <v>1064</v>
      </c>
      <c r="E26" s="163">
        <v>34052</v>
      </c>
      <c r="F26" s="156">
        <v>31827</v>
      </c>
      <c r="G26" s="159">
        <v>2226</v>
      </c>
      <c r="H26" s="163" t="s">
        <v>57</v>
      </c>
      <c r="I26" s="156">
        <v>38404</v>
      </c>
      <c r="J26" s="159" t="s">
        <v>57</v>
      </c>
      <c r="K26" s="160"/>
      <c r="L26" s="156" t="s">
        <v>57</v>
      </c>
      <c r="M26" s="156">
        <v>37394</v>
      </c>
      <c r="N26" s="159" t="s">
        <v>57</v>
      </c>
      <c r="O26" s="163" t="s">
        <v>57</v>
      </c>
      <c r="P26" s="156">
        <v>36356</v>
      </c>
      <c r="Q26" s="159" t="s">
        <v>57</v>
      </c>
      <c r="R26" s="163" t="s">
        <v>57</v>
      </c>
      <c r="S26" s="156">
        <v>40990</v>
      </c>
      <c r="T26" s="159" t="s">
        <v>57</v>
      </c>
      <c r="U26" s="215" t="s">
        <v>169</v>
      </c>
      <c r="W26" s="314"/>
      <c r="X26" s="314"/>
      <c r="Y26" s="314"/>
      <c r="Z26" s="255"/>
      <c r="AA26" s="255"/>
      <c r="AB26" s="255"/>
    </row>
    <row r="27" spans="1:28" ht="19.149999999999999" customHeight="1" x14ac:dyDescent="0.25">
      <c r="A27" s="205" t="s">
        <v>170</v>
      </c>
      <c r="B27" s="163" t="s">
        <v>57</v>
      </c>
      <c r="C27" s="156">
        <v>173997</v>
      </c>
      <c r="D27" s="159" t="s">
        <v>57</v>
      </c>
      <c r="E27" s="163" t="s">
        <v>57</v>
      </c>
      <c r="F27" s="156">
        <v>182437</v>
      </c>
      <c r="G27" s="159" t="s">
        <v>57</v>
      </c>
      <c r="H27" s="163" t="s">
        <v>57</v>
      </c>
      <c r="I27" s="156">
        <v>202266</v>
      </c>
      <c r="J27" s="159" t="s">
        <v>57</v>
      </c>
      <c r="K27" s="160"/>
      <c r="L27" s="156" t="s">
        <v>57</v>
      </c>
      <c r="M27" s="156">
        <v>186215</v>
      </c>
      <c r="N27" s="159" t="s">
        <v>57</v>
      </c>
      <c r="O27" s="163" t="s">
        <v>57</v>
      </c>
      <c r="P27" s="156">
        <v>193716</v>
      </c>
      <c r="Q27" s="159" t="s">
        <v>57</v>
      </c>
      <c r="R27" s="163" t="s">
        <v>57</v>
      </c>
      <c r="S27" s="156">
        <v>200366</v>
      </c>
      <c r="T27" s="159" t="s">
        <v>57</v>
      </c>
      <c r="U27" s="215" t="s">
        <v>171</v>
      </c>
      <c r="W27" s="314"/>
      <c r="X27" s="314"/>
      <c r="Y27" s="314"/>
      <c r="Z27" s="255"/>
      <c r="AA27" s="255"/>
      <c r="AB27" s="255"/>
    </row>
    <row r="28" spans="1:28" ht="19.149999999999999" customHeight="1" x14ac:dyDescent="0.25">
      <c r="A28" s="205" t="s">
        <v>172</v>
      </c>
      <c r="B28" s="163" t="s">
        <v>57</v>
      </c>
      <c r="C28" s="156">
        <v>561443</v>
      </c>
      <c r="D28" s="159" t="s">
        <v>57</v>
      </c>
      <c r="E28" s="163" t="s">
        <v>57</v>
      </c>
      <c r="F28" s="156">
        <v>578678</v>
      </c>
      <c r="G28" s="159" t="s">
        <v>57</v>
      </c>
      <c r="H28" s="163" t="s">
        <v>57</v>
      </c>
      <c r="I28" s="156">
        <v>608784</v>
      </c>
      <c r="J28" s="159" t="s">
        <v>57</v>
      </c>
      <c r="K28" s="160"/>
      <c r="L28" s="156" t="s">
        <v>57</v>
      </c>
      <c r="M28" s="156">
        <v>525214</v>
      </c>
      <c r="N28" s="159" t="s">
        <v>57</v>
      </c>
      <c r="O28" s="163" t="s">
        <v>57</v>
      </c>
      <c r="P28" s="156">
        <v>452486</v>
      </c>
      <c r="Q28" s="159" t="s">
        <v>57</v>
      </c>
      <c r="R28" s="163" t="s">
        <v>57</v>
      </c>
      <c r="S28" s="156">
        <v>427796</v>
      </c>
      <c r="T28" s="159" t="s">
        <v>57</v>
      </c>
      <c r="U28" s="215" t="s">
        <v>173</v>
      </c>
      <c r="W28" s="314"/>
      <c r="X28" s="314"/>
      <c r="Y28" s="314"/>
      <c r="Z28" s="255"/>
      <c r="AA28" s="255"/>
      <c r="AB28" s="255"/>
    </row>
    <row r="29" spans="1:28" ht="19.149999999999999" customHeight="1" x14ac:dyDescent="0.25">
      <c r="A29" s="205" t="s">
        <v>174</v>
      </c>
      <c r="B29" s="163">
        <v>139915</v>
      </c>
      <c r="C29" s="156">
        <v>134681</v>
      </c>
      <c r="D29" s="159">
        <v>5234</v>
      </c>
      <c r="E29" s="163">
        <v>145216</v>
      </c>
      <c r="F29" s="156">
        <v>139969</v>
      </c>
      <c r="G29" s="159">
        <v>5247</v>
      </c>
      <c r="H29" s="163">
        <v>167545</v>
      </c>
      <c r="I29" s="156">
        <v>161733</v>
      </c>
      <c r="J29" s="159">
        <v>5812</v>
      </c>
      <c r="K29" s="160"/>
      <c r="L29" s="156">
        <v>164093</v>
      </c>
      <c r="M29" s="156">
        <v>159115</v>
      </c>
      <c r="N29" s="159">
        <v>4978</v>
      </c>
      <c r="O29" s="163">
        <v>160740</v>
      </c>
      <c r="P29" s="156">
        <v>155799</v>
      </c>
      <c r="Q29" s="159">
        <v>4941</v>
      </c>
      <c r="R29" s="163">
        <v>161042</v>
      </c>
      <c r="S29" s="156">
        <v>156310</v>
      </c>
      <c r="T29" s="159">
        <v>4732</v>
      </c>
      <c r="U29" s="215" t="s">
        <v>175</v>
      </c>
      <c r="W29" s="314"/>
      <c r="X29" s="314"/>
      <c r="Y29" s="314"/>
      <c r="Z29" s="255"/>
      <c r="AA29" s="255"/>
      <c r="AB29" s="255"/>
    </row>
    <row r="30" spans="1:28" ht="19.149999999999999" customHeight="1" x14ac:dyDescent="0.25">
      <c r="A30" s="205" t="s">
        <v>176</v>
      </c>
      <c r="B30" s="163">
        <v>2403</v>
      </c>
      <c r="C30" s="156">
        <v>2272</v>
      </c>
      <c r="D30" s="159">
        <v>132</v>
      </c>
      <c r="E30" s="163">
        <v>2671</v>
      </c>
      <c r="F30" s="156">
        <v>2505</v>
      </c>
      <c r="G30" s="159">
        <v>166</v>
      </c>
      <c r="H30" s="163">
        <v>3857</v>
      </c>
      <c r="I30" s="156">
        <v>3593</v>
      </c>
      <c r="J30" s="159">
        <v>263</v>
      </c>
      <c r="K30" s="160"/>
      <c r="L30" s="156">
        <v>3380</v>
      </c>
      <c r="M30" s="156">
        <v>3081</v>
      </c>
      <c r="N30" s="159">
        <v>300</v>
      </c>
      <c r="O30" s="163">
        <v>3478</v>
      </c>
      <c r="P30" s="156">
        <v>3098</v>
      </c>
      <c r="Q30" s="159">
        <v>380</v>
      </c>
      <c r="R30" s="163" t="s">
        <v>57</v>
      </c>
      <c r="S30" s="156">
        <v>3303</v>
      </c>
      <c r="T30" s="159" t="s">
        <v>57</v>
      </c>
      <c r="U30" s="215" t="s">
        <v>177</v>
      </c>
      <c r="W30" s="314"/>
      <c r="X30" s="314"/>
      <c r="Y30" s="314"/>
      <c r="Z30" s="255"/>
      <c r="AA30" s="255"/>
      <c r="AB30" s="255"/>
    </row>
    <row r="31" spans="1:28" ht="19.149999999999999" customHeight="1" x14ac:dyDescent="0.25">
      <c r="A31" s="205" t="s">
        <v>306</v>
      </c>
      <c r="B31" s="163" t="s">
        <v>57</v>
      </c>
      <c r="C31" s="156">
        <v>3828</v>
      </c>
      <c r="D31" s="159" t="s">
        <v>57</v>
      </c>
      <c r="E31" s="163" t="s">
        <v>57</v>
      </c>
      <c r="F31" s="156">
        <v>4258</v>
      </c>
      <c r="G31" s="159" t="s">
        <v>57</v>
      </c>
      <c r="H31" s="163" t="s">
        <v>57</v>
      </c>
      <c r="I31" s="156">
        <v>5183</v>
      </c>
      <c r="J31" s="159" t="s">
        <v>57</v>
      </c>
      <c r="K31" s="160"/>
      <c r="L31" s="156" t="s">
        <v>57</v>
      </c>
      <c r="M31" s="156">
        <v>5145</v>
      </c>
      <c r="N31" s="159" t="s">
        <v>57</v>
      </c>
      <c r="O31" s="163" t="s">
        <v>57</v>
      </c>
      <c r="P31" s="156">
        <v>5840</v>
      </c>
      <c r="Q31" s="159" t="s">
        <v>57</v>
      </c>
      <c r="R31" s="163" t="s">
        <v>57</v>
      </c>
      <c r="S31" s="156">
        <v>6446</v>
      </c>
      <c r="T31" s="159" t="s">
        <v>57</v>
      </c>
      <c r="U31" s="215" t="s">
        <v>305</v>
      </c>
      <c r="W31" s="314"/>
      <c r="X31" s="314"/>
      <c r="Y31" s="314"/>
      <c r="Z31" s="255"/>
      <c r="AA31" s="255"/>
      <c r="AB31" s="255"/>
    </row>
    <row r="32" spans="1:28" ht="19.149999999999999" customHeight="1" x14ac:dyDescent="0.25">
      <c r="A32" s="205" t="s">
        <v>178</v>
      </c>
      <c r="B32" s="163" t="s">
        <v>57</v>
      </c>
      <c r="C32" s="156">
        <v>3819</v>
      </c>
      <c r="D32" s="159" t="s">
        <v>57</v>
      </c>
      <c r="E32" s="163" t="s">
        <v>57</v>
      </c>
      <c r="F32" s="156">
        <v>4249</v>
      </c>
      <c r="G32" s="159" t="s">
        <v>57</v>
      </c>
      <c r="H32" s="163" t="s">
        <v>57</v>
      </c>
      <c r="I32" s="156">
        <v>4845</v>
      </c>
      <c r="J32" s="159" t="s">
        <v>57</v>
      </c>
      <c r="K32" s="160"/>
      <c r="L32" s="156" t="s">
        <v>57</v>
      </c>
      <c r="M32" s="156">
        <v>4532</v>
      </c>
      <c r="N32" s="159" t="s">
        <v>57</v>
      </c>
      <c r="O32" s="163" t="s">
        <v>57</v>
      </c>
      <c r="P32" s="156">
        <v>4963</v>
      </c>
      <c r="Q32" s="159" t="s">
        <v>57</v>
      </c>
      <c r="R32" s="163" t="s">
        <v>57</v>
      </c>
      <c r="S32" s="156">
        <v>5491</v>
      </c>
      <c r="T32" s="159" t="s">
        <v>57</v>
      </c>
      <c r="U32" s="215" t="s">
        <v>179</v>
      </c>
      <c r="W32" s="314"/>
      <c r="X32" s="314"/>
      <c r="Y32" s="314"/>
      <c r="Z32" s="255"/>
      <c r="AA32" s="255"/>
      <c r="AB32" s="255"/>
    </row>
    <row r="33" spans="1:28" ht="19.149999999999999" customHeight="1" x14ac:dyDescent="0.25">
      <c r="A33" s="205" t="s">
        <v>180</v>
      </c>
      <c r="B33" s="163">
        <v>69944</v>
      </c>
      <c r="C33" s="156">
        <v>69135</v>
      </c>
      <c r="D33" s="159">
        <v>809</v>
      </c>
      <c r="E33" s="163">
        <v>69298</v>
      </c>
      <c r="F33" s="156">
        <v>67852</v>
      </c>
      <c r="G33" s="159">
        <v>1446</v>
      </c>
      <c r="H33" s="163">
        <v>78383</v>
      </c>
      <c r="I33" s="156">
        <v>77372</v>
      </c>
      <c r="J33" s="159">
        <v>1011</v>
      </c>
      <c r="K33" s="160"/>
      <c r="L33" s="156">
        <v>85407</v>
      </c>
      <c r="M33" s="156">
        <v>83723</v>
      </c>
      <c r="N33" s="159">
        <v>1683</v>
      </c>
      <c r="O33" s="163" t="s">
        <v>57</v>
      </c>
      <c r="P33" s="156">
        <v>102172</v>
      </c>
      <c r="Q33" s="159" t="s">
        <v>57</v>
      </c>
      <c r="R33" s="163" t="s">
        <v>57</v>
      </c>
      <c r="S33" s="156">
        <v>108743</v>
      </c>
      <c r="T33" s="159" t="s">
        <v>57</v>
      </c>
      <c r="U33" s="215" t="s">
        <v>181</v>
      </c>
      <c r="W33" s="314"/>
      <c r="X33" s="314"/>
      <c r="Y33" s="314"/>
      <c r="Z33" s="255"/>
      <c r="AA33" s="255"/>
      <c r="AB33" s="255"/>
    </row>
    <row r="34" spans="1:28" ht="19.149999999999999" customHeight="1" x14ac:dyDescent="0.25">
      <c r="A34" s="205" t="s">
        <v>182</v>
      </c>
      <c r="B34" s="163" t="s">
        <v>57</v>
      </c>
      <c r="C34" s="156">
        <v>92297</v>
      </c>
      <c r="D34" s="159" t="s">
        <v>57</v>
      </c>
      <c r="E34" s="163" t="s">
        <v>57</v>
      </c>
      <c r="F34" s="156">
        <v>102111</v>
      </c>
      <c r="G34" s="159" t="s">
        <v>57</v>
      </c>
      <c r="H34" s="163" t="s">
        <v>57</v>
      </c>
      <c r="I34" s="156">
        <v>117415</v>
      </c>
      <c r="J34" s="159" t="s">
        <v>57</v>
      </c>
      <c r="K34" s="160"/>
      <c r="L34" s="156" t="s">
        <v>57</v>
      </c>
      <c r="M34" s="156">
        <v>104979</v>
      </c>
      <c r="N34" s="159" t="s">
        <v>57</v>
      </c>
      <c r="O34" s="163" t="s">
        <v>57</v>
      </c>
      <c r="P34" s="156">
        <v>113491</v>
      </c>
      <c r="Q34" s="159" t="s">
        <v>57</v>
      </c>
      <c r="R34" s="163" t="s">
        <v>57</v>
      </c>
      <c r="S34" s="156">
        <v>122822</v>
      </c>
      <c r="T34" s="159" t="s">
        <v>57</v>
      </c>
      <c r="U34" s="215" t="s">
        <v>183</v>
      </c>
      <c r="W34" s="314"/>
      <c r="X34" s="314"/>
      <c r="Y34" s="314"/>
      <c r="Z34" s="255"/>
      <c r="AA34" s="255"/>
      <c r="AB34" s="255"/>
    </row>
    <row r="35" spans="1:28" ht="19.149999999999999" customHeight="1" x14ac:dyDescent="0.25">
      <c r="A35" s="205" t="s">
        <v>184</v>
      </c>
      <c r="B35" s="163" t="s">
        <v>57</v>
      </c>
      <c r="C35" s="156">
        <v>18359</v>
      </c>
      <c r="D35" s="159" t="s">
        <v>57</v>
      </c>
      <c r="E35" s="163" t="s">
        <v>57</v>
      </c>
      <c r="F35" s="156">
        <v>19710</v>
      </c>
      <c r="G35" s="159" t="s">
        <v>57</v>
      </c>
      <c r="H35" s="163" t="s">
        <v>57</v>
      </c>
      <c r="I35" s="156">
        <v>24257</v>
      </c>
      <c r="J35" s="159" t="s">
        <v>57</v>
      </c>
      <c r="K35" s="160"/>
      <c r="L35" s="156" t="s">
        <v>57</v>
      </c>
      <c r="M35" s="156">
        <v>26369</v>
      </c>
      <c r="N35" s="159" t="s">
        <v>57</v>
      </c>
      <c r="O35" s="163" t="s">
        <v>57</v>
      </c>
      <c r="P35" s="156">
        <v>25850</v>
      </c>
      <c r="Q35" s="159" t="s">
        <v>57</v>
      </c>
      <c r="R35" s="163" t="s">
        <v>57</v>
      </c>
      <c r="S35" s="156">
        <v>26185</v>
      </c>
      <c r="T35" s="159" t="s">
        <v>57</v>
      </c>
      <c r="U35" s="215" t="s">
        <v>185</v>
      </c>
      <c r="W35" s="314"/>
      <c r="X35" s="314"/>
      <c r="Y35" s="314"/>
      <c r="Z35" s="255"/>
      <c r="AA35" s="255"/>
      <c r="AB35" s="255"/>
    </row>
    <row r="36" spans="1:28" ht="19.149999999999999" customHeight="1" x14ac:dyDescent="0.25">
      <c r="A36" s="205" t="s">
        <v>186</v>
      </c>
      <c r="B36" s="163">
        <v>45323</v>
      </c>
      <c r="C36" s="156">
        <v>42665</v>
      </c>
      <c r="D36" s="159">
        <v>2658</v>
      </c>
      <c r="E36" s="163">
        <v>44773</v>
      </c>
      <c r="F36" s="156">
        <v>41999</v>
      </c>
      <c r="G36" s="159">
        <v>2774</v>
      </c>
      <c r="H36" s="163">
        <v>52846</v>
      </c>
      <c r="I36" s="156">
        <v>49402</v>
      </c>
      <c r="J36" s="159">
        <v>3444</v>
      </c>
      <c r="K36" s="160"/>
      <c r="L36" s="156">
        <v>50514</v>
      </c>
      <c r="M36" s="156">
        <v>47160</v>
      </c>
      <c r="N36" s="159">
        <v>3354</v>
      </c>
      <c r="O36" s="163" t="s">
        <v>57</v>
      </c>
      <c r="P36" s="156">
        <v>45477</v>
      </c>
      <c r="Q36" s="159" t="s">
        <v>57</v>
      </c>
      <c r="R36" s="163" t="s">
        <v>57</v>
      </c>
      <c r="S36" s="156">
        <v>46866</v>
      </c>
      <c r="T36" s="159" t="s">
        <v>57</v>
      </c>
      <c r="U36" s="215" t="s">
        <v>187</v>
      </c>
      <c r="W36" s="314"/>
      <c r="X36" s="314"/>
      <c r="Y36" s="314"/>
      <c r="Z36" s="255"/>
      <c r="AA36" s="255"/>
      <c r="AB36" s="255"/>
    </row>
    <row r="37" spans="1:28" ht="19.149999999999999" customHeight="1" x14ac:dyDescent="0.25">
      <c r="A37" s="205" t="s">
        <v>188</v>
      </c>
      <c r="B37" s="163" t="s">
        <v>57</v>
      </c>
      <c r="C37" s="156">
        <v>38506</v>
      </c>
      <c r="D37" s="159" t="s">
        <v>57</v>
      </c>
      <c r="E37" s="163" t="s">
        <v>57</v>
      </c>
      <c r="F37" s="156">
        <v>38944</v>
      </c>
      <c r="G37" s="159" t="s">
        <v>57</v>
      </c>
      <c r="H37" s="163" t="s">
        <v>57</v>
      </c>
      <c r="I37" s="156">
        <v>43869</v>
      </c>
      <c r="J37" s="159" t="s">
        <v>57</v>
      </c>
      <c r="K37" s="160"/>
      <c r="L37" s="156" t="s">
        <v>57</v>
      </c>
      <c r="M37" s="156">
        <v>44979</v>
      </c>
      <c r="N37" s="159" t="s">
        <v>57</v>
      </c>
      <c r="O37" s="163" t="s">
        <v>57</v>
      </c>
      <c r="P37" s="156">
        <v>57997</v>
      </c>
      <c r="Q37" s="159" t="s">
        <v>57</v>
      </c>
      <c r="R37" s="163" t="s">
        <v>57</v>
      </c>
      <c r="S37" s="156">
        <v>73759</v>
      </c>
      <c r="T37" s="159" t="s">
        <v>57</v>
      </c>
      <c r="U37" s="215" t="s">
        <v>189</v>
      </c>
      <c r="W37" s="314"/>
      <c r="X37" s="314"/>
      <c r="Y37" s="314"/>
      <c r="Z37" s="255"/>
      <c r="AA37" s="255"/>
      <c r="AB37" s="255"/>
    </row>
    <row r="38" spans="1:28" ht="19.149999999999999" customHeight="1" x14ac:dyDescent="0.25">
      <c r="A38" s="205" t="s">
        <v>190</v>
      </c>
      <c r="B38" s="163">
        <v>25293</v>
      </c>
      <c r="C38" s="156">
        <v>22832</v>
      </c>
      <c r="D38" s="159">
        <v>2461</v>
      </c>
      <c r="E38" s="163">
        <v>26912</v>
      </c>
      <c r="F38" s="156">
        <v>24158</v>
      </c>
      <c r="G38" s="159">
        <v>2755</v>
      </c>
      <c r="H38" s="163">
        <v>31954</v>
      </c>
      <c r="I38" s="156">
        <v>28730</v>
      </c>
      <c r="J38" s="159">
        <v>3223</v>
      </c>
      <c r="K38" s="160"/>
      <c r="L38" s="156">
        <v>30049</v>
      </c>
      <c r="M38" s="156">
        <v>27101</v>
      </c>
      <c r="N38" s="159">
        <v>2949</v>
      </c>
      <c r="O38" s="163" t="s">
        <v>57</v>
      </c>
      <c r="P38" s="156">
        <v>29050</v>
      </c>
      <c r="Q38" s="159" t="s">
        <v>57</v>
      </c>
      <c r="R38" s="163" t="s">
        <v>57</v>
      </c>
      <c r="S38" s="156">
        <v>31611</v>
      </c>
      <c r="T38" s="159" t="s">
        <v>57</v>
      </c>
      <c r="U38" s="215" t="s">
        <v>191</v>
      </c>
      <c r="W38" s="314"/>
      <c r="X38" s="314"/>
      <c r="Y38" s="314"/>
      <c r="Z38" s="255"/>
      <c r="AA38" s="255"/>
      <c r="AB38" s="255"/>
    </row>
    <row r="39" spans="1:28" ht="19.149999999999999" customHeight="1" x14ac:dyDescent="0.25">
      <c r="A39" s="205" t="s">
        <v>498</v>
      </c>
      <c r="B39" s="163" t="s">
        <v>57</v>
      </c>
      <c r="C39" s="156">
        <v>16579</v>
      </c>
      <c r="D39" s="159" t="s">
        <v>57</v>
      </c>
      <c r="E39" s="163" t="s">
        <v>57</v>
      </c>
      <c r="F39" s="156">
        <v>19903</v>
      </c>
      <c r="G39" s="159" t="s">
        <v>57</v>
      </c>
      <c r="H39" s="163" t="s">
        <v>57</v>
      </c>
      <c r="I39" s="156">
        <v>22467</v>
      </c>
      <c r="J39" s="159" t="s">
        <v>57</v>
      </c>
      <c r="K39" s="160"/>
      <c r="L39" s="156" t="s">
        <v>57</v>
      </c>
      <c r="M39" s="156">
        <v>22047</v>
      </c>
      <c r="N39" s="159" t="s">
        <v>57</v>
      </c>
      <c r="O39" s="163" t="s">
        <v>57</v>
      </c>
      <c r="P39" s="156">
        <v>22703</v>
      </c>
      <c r="Q39" s="159" t="s">
        <v>57</v>
      </c>
      <c r="R39" s="163" t="s">
        <v>57</v>
      </c>
      <c r="S39" s="156" t="s">
        <v>57</v>
      </c>
      <c r="T39" s="156" t="s">
        <v>57</v>
      </c>
      <c r="U39" s="215" t="s">
        <v>499</v>
      </c>
      <c r="W39" s="320"/>
      <c r="X39" s="320"/>
      <c r="Y39" s="320"/>
    </row>
    <row r="40" spans="1:28" ht="19.149999999999999" customHeight="1" x14ac:dyDescent="0.25">
      <c r="A40" s="205" t="s">
        <v>192</v>
      </c>
      <c r="B40" s="163" t="s">
        <v>57</v>
      </c>
      <c r="C40" s="156">
        <v>7315</v>
      </c>
      <c r="D40" s="159" t="s">
        <v>57</v>
      </c>
      <c r="E40" s="163" t="s">
        <v>57</v>
      </c>
      <c r="F40" s="156">
        <v>7606</v>
      </c>
      <c r="G40" s="159" t="s">
        <v>57</v>
      </c>
      <c r="H40" s="163" t="s">
        <v>57</v>
      </c>
      <c r="I40" s="156">
        <v>9197</v>
      </c>
      <c r="J40" s="159" t="s">
        <v>57</v>
      </c>
      <c r="K40" s="160"/>
      <c r="L40" s="156" t="s">
        <v>57</v>
      </c>
      <c r="M40" s="156">
        <v>8926</v>
      </c>
      <c r="N40" s="159" t="s">
        <v>57</v>
      </c>
      <c r="O40" s="163" t="s">
        <v>57</v>
      </c>
      <c r="P40" s="156">
        <v>9845</v>
      </c>
      <c r="Q40" s="159" t="s">
        <v>57</v>
      </c>
      <c r="R40" s="163" t="s">
        <v>57</v>
      </c>
      <c r="S40" s="156">
        <v>11859</v>
      </c>
      <c r="T40" s="159" t="s">
        <v>57</v>
      </c>
      <c r="U40" s="215" t="s">
        <v>193</v>
      </c>
      <c r="W40" s="314"/>
      <c r="X40" s="314"/>
      <c r="Y40" s="314"/>
      <c r="Z40" s="255"/>
      <c r="AA40" s="255"/>
      <c r="AB40" s="255"/>
    </row>
    <row r="41" spans="1:28" ht="19.149999999999999" customHeight="1" x14ac:dyDescent="0.25">
      <c r="A41" s="205" t="s">
        <v>194</v>
      </c>
      <c r="B41" s="163">
        <v>4830</v>
      </c>
      <c r="C41" s="156">
        <v>4618</v>
      </c>
      <c r="D41" s="159">
        <v>212</v>
      </c>
      <c r="E41" s="163">
        <v>5328</v>
      </c>
      <c r="F41" s="156">
        <v>5066</v>
      </c>
      <c r="G41" s="159">
        <v>262</v>
      </c>
      <c r="H41" s="163">
        <v>6183</v>
      </c>
      <c r="I41" s="156">
        <v>5862</v>
      </c>
      <c r="J41" s="159">
        <v>321</v>
      </c>
      <c r="K41" s="160"/>
      <c r="L41" s="156">
        <v>6092</v>
      </c>
      <c r="M41" s="156">
        <v>5769</v>
      </c>
      <c r="N41" s="159">
        <v>322</v>
      </c>
      <c r="O41" s="163">
        <v>6895</v>
      </c>
      <c r="P41" s="156">
        <v>6431</v>
      </c>
      <c r="Q41" s="159">
        <v>464</v>
      </c>
      <c r="R41" s="163" t="s">
        <v>57</v>
      </c>
      <c r="S41" s="156">
        <v>7159</v>
      </c>
      <c r="T41" s="159" t="s">
        <v>57</v>
      </c>
      <c r="U41" s="215" t="s">
        <v>195</v>
      </c>
      <c r="W41" s="314"/>
      <c r="X41" s="314"/>
      <c r="Y41" s="314"/>
      <c r="Z41" s="255"/>
      <c r="AA41" s="255"/>
      <c r="AB41" s="255"/>
    </row>
    <row r="42" spans="1:28" ht="19.149999999999999" customHeight="1" x14ac:dyDescent="0.25">
      <c r="A42" s="205" t="s">
        <v>196</v>
      </c>
      <c r="B42" s="163">
        <v>131343</v>
      </c>
      <c r="C42" s="156">
        <v>129338</v>
      </c>
      <c r="D42" s="159">
        <v>2006</v>
      </c>
      <c r="E42" s="163">
        <v>142265</v>
      </c>
      <c r="F42" s="156">
        <v>139230</v>
      </c>
      <c r="G42" s="159">
        <v>3035</v>
      </c>
      <c r="H42" s="163">
        <v>153992</v>
      </c>
      <c r="I42" s="156">
        <v>151154</v>
      </c>
      <c r="J42" s="159">
        <v>2838</v>
      </c>
      <c r="K42" s="160"/>
      <c r="L42" s="156">
        <v>143126</v>
      </c>
      <c r="M42" s="156">
        <v>140020</v>
      </c>
      <c r="N42" s="159">
        <v>3105</v>
      </c>
      <c r="O42" s="163">
        <v>154376</v>
      </c>
      <c r="P42" s="156">
        <v>149383</v>
      </c>
      <c r="Q42" s="159">
        <v>4993</v>
      </c>
      <c r="R42" s="163" t="s">
        <v>57</v>
      </c>
      <c r="S42" s="156">
        <v>158022</v>
      </c>
      <c r="T42" s="159" t="s">
        <v>57</v>
      </c>
      <c r="U42" s="215" t="s">
        <v>197</v>
      </c>
      <c r="W42" s="314"/>
      <c r="X42" s="314"/>
      <c r="Y42" s="314"/>
      <c r="Z42" s="255"/>
      <c r="AA42" s="255"/>
      <c r="AB42" s="255"/>
    </row>
    <row r="43" spans="1:28" ht="19.149999999999999" customHeight="1" x14ac:dyDescent="0.25">
      <c r="A43" s="205" t="s">
        <v>198</v>
      </c>
      <c r="B43" s="163">
        <v>61490</v>
      </c>
      <c r="C43" s="156">
        <v>58190</v>
      </c>
      <c r="D43" s="159">
        <v>3300</v>
      </c>
      <c r="E43" s="163">
        <v>65038</v>
      </c>
      <c r="F43" s="156">
        <v>62281</v>
      </c>
      <c r="G43" s="159">
        <v>2757</v>
      </c>
      <c r="H43" s="163">
        <v>74791</v>
      </c>
      <c r="I43" s="156">
        <v>71557</v>
      </c>
      <c r="J43" s="159">
        <v>3234</v>
      </c>
      <c r="K43" s="160"/>
      <c r="L43" s="156">
        <v>66303</v>
      </c>
      <c r="M43" s="156">
        <v>62948</v>
      </c>
      <c r="N43" s="159">
        <v>3355</v>
      </c>
      <c r="O43" s="163">
        <v>68836</v>
      </c>
      <c r="P43" s="156">
        <v>65299</v>
      </c>
      <c r="Q43" s="159">
        <v>3537</v>
      </c>
      <c r="R43" s="163" t="s">
        <v>57</v>
      </c>
      <c r="S43" s="156">
        <v>68425</v>
      </c>
      <c r="T43" s="159" t="s">
        <v>57</v>
      </c>
      <c r="U43" s="215" t="s">
        <v>199</v>
      </c>
      <c r="W43" s="314"/>
      <c r="X43" s="314"/>
      <c r="Y43" s="314"/>
      <c r="Z43" s="255"/>
      <c r="AA43" s="255"/>
      <c r="AB43" s="255"/>
    </row>
    <row r="44" spans="1:28" ht="19.149999999999999" customHeight="1" x14ac:dyDescent="0.25">
      <c r="A44" s="205" t="s">
        <v>200</v>
      </c>
      <c r="B44" s="163" t="s">
        <v>57</v>
      </c>
      <c r="C44" s="156">
        <v>82203</v>
      </c>
      <c r="D44" s="159" t="s">
        <v>57</v>
      </c>
      <c r="E44" s="163" t="s">
        <v>57</v>
      </c>
      <c r="F44" s="156">
        <v>88951</v>
      </c>
      <c r="G44" s="159" t="s">
        <v>57</v>
      </c>
      <c r="H44" s="163" t="s">
        <v>57</v>
      </c>
      <c r="I44" s="156">
        <v>97499</v>
      </c>
      <c r="J44" s="159" t="s">
        <v>57</v>
      </c>
      <c r="K44" s="160"/>
      <c r="L44" s="156" t="s">
        <v>57</v>
      </c>
      <c r="M44" s="156">
        <v>96100</v>
      </c>
      <c r="N44" s="159" t="s">
        <v>57</v>
      </c>
      <c r="O44" s="163" t="s">
        <v>57</v>
      </c>
      <c r="P44" s="156">
        <v>104567</v>
      </c>
      <c r="Q44" s="159" t="s">
        <v>57</v>
      </c>
      <c r="R44" s="163" t="s">
        <v>57</v>
      </c>
      <c r="S44" s="156">
        <v>110259</v>
      </c>
      <c r="T44" s="159" t="s">
        <v>57</v>
      </c>
      <c r="U44" s="215" t="s">
        <v>201</v>
      </c>
      <c r="W44" s="314"/>
      <c r="X44" s="314"/>
      <c r="Y44" s="314"/>
      <c r="Z44" s="255"/>
      <c r="AA44" s="255"/>
      <c r="AB44" s="255"/>
    </row>
    <row r="45" spans="1:28" ht="19.149999999999999" customHeight="1" x14ac:dyDescent="0.25">
      <c r="A45" s="205" t="s">
        <v>202</v>
      </c>
      <c r="B45" s="163">
        <v>35431</v>
      </c>
      <c r="C45" s="156">
        <v>33176</v>
      </c>
      <c r="D45" s="159">
        <v>2255</v>
      </c>
      <c r="E45" s="163">
        <v>35661</v>
      </c>
      <c r="F45" s="156">
        <v>33254</v>
      </c>
      <c r="G45" s="159">
        <v>2407</v>
      </c>
      <c r="H45" s="163">
        <v>39991</v>
      </c>
      <c r="I45" s="156">
        <v>37391</v>
      </c>
      <c r="J45" s="159">
        <v>2600</v>
      </c>
      <c r="K45" s="160"/>
      <c r="L45" s="156">
        <v>36669</v>
      </c>
      <c r="M45" s="156">
        <v>33594</v>
      </c>
      <c r="N45" s="159">
        <v>3075</v>
      </c>
      <c r="O45" s="163">
        <v>52414</v>
      </c>
      <c r="P45" s="156">
        <v>47808</v>
      </c>
      <c r="Q45" s="159">
        <v>4606</v>
      </c>
      <c r="R45" s="163" t="s">
        <v>57</v>
      </c>
      <c r="S45" s="156">
        <v>61985</v>
      </c>
      <c r="T45" s="159" t="s">
        <v>57</v>
      </c>
      <c r="U45" s="215" t="s">
        <v>401</v>
      </c>
      <c r="W45" s="314"/>
      <c r="X45" s="314"/>
      <c r="Y45" s="314"/>
      <c r="Z45" s="255"/>
      <c r="AA45" s="255"/>
      <c r="AB45" s="255"/>
    </row>
    <row r="46" spans="1:28" ht="19.149999999999999" customHeight="1" x14ac:dyDescent="0.25">
      <c r="A46" s="205" t="s">
        <v>203</v>
      </c>
      <c r="B46" s="163">
        <v>294050</v>
      </c>
      <c r="C46" s="156">
        <v>284557</v>
      </c>
      <c r="D46" s="159">
        <v>9493</v>
      </c>
      <c r="E46" s="163">
        <v>336110</v>
      </c>
      <c r="F46" s="156">
        <v>326415</v>
      </c>
      <c r="G46" s="159">
        <v>9695</v>
      </c>
      <c r="H46" s="163">
        <v>391060</v>
      </c>
      <c r="I46" s="156">
        <v>379823</v>
      </c>
      <c r="J46" s="159">
        <v>11237</v>
      </c>
      <c r="K46" s="160"/>
      <c r="L46" s="156">
        <v>355436</v>
      </c>
      <c r="M46" s="156">
        <v>345559</v>
      </c>
      <c r="N46" s="159">
        <v>9877</v>
      </c>
      <c r="O46" s="163">
        <v>382453</v>
      </c>
      <c r="P46" s="156">
        <v>370391</v>
      </c>
      <c r="Q46" s="159">
        <v>12062</v>
      </c>
      <c r="R46" s="163" t="s">
        <v>57</v>
      </c>
      <c r="S46" s="156">
        <v>405681</v>
      </c>
      <c r="T46" s="159" t="s">
        <v>57</v>
      </c>
      <c r="U46" s="215" t="s">
        <v>204</v>
      </c>
      <c r="W46" s="314"/>
      <c r="X46" s="314"/>
      <c r="Y46" s="314"/>
      <c r="Z46" s="255"/>
      <c r="AA46" s="255"/>
      <c r="AB46" s="255"/>
    </row>
    <row r="47" spans="1:28" ht="19.149999999999999" customHeight="1" x14ac:dyDescent="0.25">
      <c r="A47" s="206" t="s">
        <v>205</v>
      </c>
      <c r="B47" s="157">
        <v>3705526</v>
      </c>
      <c r="C47" s="157">
        <v>3563760</v>
      </c>
      <c r="D47" s="159">
        <v>141766</v>
      </c>
      <c r="E47" s="157">
        <v>4093646</v>
      </c>
      <c r="F47" s="157">
        <v>3953921</v>
      </c>
      <c r="G47" s="159">
        <v>139726</v>
      </c>
      <c r="H47" s="161">
        <v>4265123</v>
      </c>
      <c r="I47" s="157">
        <v>4109175</v>
      </c>
      <c r="J47" s="159">
        <v>155948</v>
      </c>
      <c r="K47" s="160"/>
      <c r="L47" s="157">
        <v>4457850</v>
      </c>
      <c r="M47" s="157">
        <v>4298615</v>
      </c>
      <c r="N47" s="159">
        <v>159235</v>
      </c>
      <c r="O47" s="161">
        <v>4794353</v>
      </c>
      <c r="P47" s="157">
        <v>4627736</v>
      </c>
      <c r="Q47" s="159">
        <v>166617</v>
      </c>
      <c r="R47" s="161" t="s">
        <v>57</v>
      </c>
      <c r="S47" s="157">
        <v>5011367</v>
      </c>
      <c r="T47" s="159" t="s">
        <v>57</v>
      </c>
      <c r="U47" s="216" t="s">
        <v>206</v>
      </c>
      <c r="W47" s="314"/>
      <c r="X47" s="314"/>
      <c r="Y47" s="314"/>
      <c r="Z47" s="255"/>
      <c r="AA47" s="255"/>
      <c r="AB47" s="255"/>
    </row>
    <row r="48" spans="1:28" s="227" customFormat="1" ht="14.1" customHeight="1" x14ac:dyDescent="0.25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  <c r="W48" s="21"/>
      <c r="X48" s="21"/>
      <c r="Y48" s="21"/>
      <c r="Z48" s="255"/>
      <c r="AA48" s="255"/>
      <c r="AB48" s="255"/>
    </row>
    <row r="49" spans="1:25" s="151" customFormat="1" ht="14.1" customHeight="1" x14ac:dyDescent="0.25">
      <c r="A49" s="738" t="s">
        <v>602</v>
      </c>
      <c r="B49" s="738"/>
      <c r="C49" s="738"/>
      <c r="D49" s="738"/>
      <c r="E49" s="738"/>
      <c r="F49" s="738"/>
      <c r="G49" s="738"/>
      <c r="H49" s="738"/>
      <c r="I49" s="738"/>
      <c r="J49" s="738"/>
      <c r="K49" s="279"/>
      <c r="L49" s="739" t="s">
        <v>207</v>
      </c>
      <c r="M49" s="739"/>
      <c r="N49" s="739"/>
      <c r="O49" s="739"/>
      <c r="P49" s="739"/>
      <c r="Q49" s="739"/>
      <c r="R49" s="739"/>
      <c r="S49" s="739"/>
      <c r="T49" s="739"/>
      <c r="U49" s="739"/>
      <c r="W49" s="21"/>
      <c r="X49" s="21"/>
      <c r="Y49" s="21"/>
    </row>
    <row r="50" spans="1:25" x14ac:dyDescent="0.25">
      <c r="W50" s="227"/>
      <c r="X50" s="227"/>
      <c r="Y50" s="227"/>
    </row>
    <row r="51" spans="1:25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W51" s="151"/>
      <c r="X51" s="151"/>
      <c r="Y51" s="151"/>
    </row>
  </sheetData>
  <mergeCells count="33">
    <mergeCell ref="O4:Q4"/>
    <mergeCell ref="R4:T4"/>
    <mergeCell ref="P5:Q5"/>
    <mergeCell ref="R5:R6"/>
    <mergeCell ref="S5:T5"/>
    <mergeCell ref="A49:J49"/>
    <mergeCell ref="L49:U49"/>
    <mergeCell ref="F5:G5"/>
    <mergeCell ref="H5:H6"/>
    <mergeCell ref="I5:J5"/>
    <mergeCell ref="L5:L6"/>
    <mergeCell ref="M5:N5"/>
    <mergeCell ref="B5:B6"/>
    <mergeCell ref="C5:D5"/>
    <mergeCell ref="E5:E6"/>
    <mergeCell ref="A48:J48"/>
    <mergeCell ref="L48:U48"/>
    <mergeCell ref="A1:J1"/>
    <mergeCell ref="L1:U1"/>
    <mergeCell ref="R2:U2"/>
    <mergeCell ref="A3:A7"/>
    <mergeCell ref="B3:D3"/>
    <mergeCell ref="E3:G3"/>
    <mergeCell ref="H3:J3"/>
    <mergeCell ref="L3:N3"/>
    <mergeCell ref="O3:Q3"/>
    <mergeCell ref="R3:T3"/>
    <mergeCell ref="E4:G4"/>
    <mergeCell ref="H4:J4"/>
    <mergeCell ref="L4:N4"/>
    <mergeCell ref="O5:O6"/>
    <mergeCell ref="U3:U7"/>
    <mergeCell ref="B4:D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/>
  </sheetPr>
  <dimension ref="A1:AB48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P10" sqref="P10"/>
    </sheetView>
  </sheetViews>
  <sheetFormatPr defaultColWidth="9" defaultRowHeight="15.75" x14ac:dyDescent="0.25"/>
  <cols>
    <col min="1" max="1" width="12" style="21" customWidth="1"/>
    <col min="2" max="10" width="11.125" style="21" customWidth="1"/>
    <col min="11" max="11" width="0.375" style="21" customWidth="1"/>
    <col min="12" max="20" width="11.125" style="21" customWidth="1"/>
    <col min="21" max="21" width="11.875" style="21" customWidth="1"/>
    <col min="22" max="22" width="9" style="21"/>
    <col min="23" max="24" width="9.125" style="21" bestFit="1" customWidth="1"/>
    <col min="25" max="25" width="10.625" style="21" bestFit="1" customWidth="1"/>
    <col min="26" max="16384" width="9" style="21"/>
  </cols>
  <sheetData>
    <row r="1" spans="1:28" s="48" customFormat="1" ht="23.45" customHeight="1" x14ac:dyDescent="0.25">
      <c r="A1" s="720" t="s">
        <v>659</v>
      </c>
      <c r="B1" s="720"/>
      <c r="C1" s="720"/>
      <c r="D1" s="720"/>
      <c r="E1" s="720"/>
      <c r="F1" s="720"/>
      <c r="G1" s="720"/>
      <c r="H1" s="720"/>
      <c r="I1" s="720"/>
      <c r="J1" s="720"/>
      <c r="K1" s="576"/>
      <c r="L1" s="748" t="s">
        <v>554</v>
      </c>
      <c r="M1" s="748"/>
      <c r="N1" s="748"/>
      <c r="O1" s="748"/>
      <c r="P1" s="748"/>
      <c r="Q1" s="748"/>
      <c r="R1" s="748"/>
      <c r="S1" s="748"/>
      <c r="T1" s="748"/>
      <c r="U1" s="748"/>
    </row>
    <row r="2" spans="1:28" s="49" customFormat="1" ht="14.45" customHeight="1" x14ac:dyDescent="0.25">
      <c r="A2" s="577" t="s">
        <v>208</v>
      </c>
      <c r="B2" s="583"/>
      <c r="C2" s="583"/>
      <c r="D2" s="583"/>
      <c r="E2" s="583"/>
      <c r="F2" s="583"/>
      <c r="G2" s="583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84"/>
      <c r="U2" s="584" t="s">
        <v>209</v>
      </c>
    </row>
    <row r="3" spans="1:28" x14ac:dyDescent="0.25">
      <c r="A3" s="723" t="s">
        <v>469</v>
      </c>
      <c r="B3" s="726" t="s">
        <v>546</v>
      </c>
      <c r="C3" s="727"/>
      <c r="D3" s="728"/>
      <c r="E3" s="726" t="s">
        <v>487</v>
      </c>
      <c r="F3" s="727"/>
      <c r="G3" s="728"/>
      <c r="H3" s="726" t="s">
        <v>488</v>
      </c>
      <c r="I3" s="727"/>
      <c r="J3" s="728"/>
      <c r="K3" s="578"/>
      <c r="L3" s="727" t="s">
        <v>489</v>
      </c>
      <c r="M3" s="727"/>
      <c r="N3" s="728"/>
      <c r="O3" s="729" t="s">
        <v>490</v>
      </c>
      <c r="P3" s="729"/>
      <c r="Q3" s="729"/>
      <c r="R3" s="729" t="s">
        <v>491</v>
      </c>
      <c r="S3" s="729"/>
      <c r="T3" s="729"/>
      <c r="U3" s="735" t="s">
        <v>470</v>
      </c>
    </row>
    <row r="4" spans="1:28" ht="14.45" customHeight="1" x14ac:dyDescent="0.25">
      <c r="A4" s="724"/>
      <c r="B4" s="730">
        <v>2013</v>
      </c>
      <c r="C4" s="731"/>
      <c r="D4" s="732"/>
      <c r="E4" s="730">
        <v>2014</v>
      </c>
      <c r="F4" s="731"/>
      <c r="G4" s="732"/>
      <c r="H4" s="730">
        <v>2015</v>
      </c>
      <c r="I4" s="731"/>
      <c r="J4" s="732"/>
      <c r="K4" s="578"/>
      <c r="L4" s="731">
        <v>2016</v>
      </c>
      <c r="M4" s="731"/>
      <c r="N4" s="732"/>
      <c r="O4" s="747">
        <v>2017</v>
      </c>
      <c r="P4" s="747"/>
      <c r="Q4" s="747"/>
      <c r="R4" s="747">
        <v>2018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33" t="s">
        <v>486</v>
      </c>
      <c r="F5" s="740"/>
      <c r="G5" s="741"/>
      <c r="H5" s="733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1.9" customHeight="1" x14ac:dyDescent="0.25">
      <c r="A6" s="724"/>
      <c r="B6" s="734"/>
      <c r="C6" s="329" t="s">
        <v>467</v>
      </c>
      <c r="D6" s="329" t="s">
        <v>468</v>
      </c>
      <c r="E6" s="734"/>
      <c r="F6" s="329" t="s">
        <v>467</v>
      </c>
      <c r="G6" s="329" t="s">
        <v>468</v>
      </c>
      <c r="H6" s="734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7" customHeight="1" x14ac:dyDescent="0.25">
      <c r="A7" s="725"/>
      <c r="B7" s="141" t="s">
        <v>430</v>
      </c>
      <c r="C7" s="260" t="s">
        <v>431</v>
      </c>
      <c r="D7" s="260" t="s">
        <v>432</v>
      </c>
      <c r="E7" s="142" t="s">
        <v>430</v>
      </c>
      <c r="F7" s="260" t="s">
        <v>431</v>
      </c>
      <c r="G7" s="260" t="s">
        <v>432</v>
      </c>
      <c r="H7" s="141" t="s">
        <v>430</v>
      </c>
      <c r="I7" s="260" t="s">
        <v>431</v>
      </c>
      <c r="J7" s="260" t="s">
        <v>548</v>
      </c>
      <c r="K7" s="293"/>
      <c r="L7" s="142" t="s">
        <v>430</v>
      </c>
      <c r="M7" s="260" t="s">
        <v>431</v>
      </c>
      <c r="N7" s="260" t="s">
        <v>548</v>
      </c>
      <c r="O7" s="141" t="s">
        <v>430</v>
      </c>
      <c r="P7" s="260" t="s">
        <v>431</v>
      </c>
      <c r="Q7" s="260" t="s">
        <v>548</v>
      </c>
      <c r="R7" s="142" t="s">
        <v>430</v>
      </c>
      <c r="S7" s="260" t="s">
        <v>431</v>
      </c>
      <c r="T7" s="585" t="s">
        <v>548</v>
      </c>
      <c r="U7" s="737"/>
    </row>
    <row r="8" spans="1:28" ht="19.149999999999999" customHeight="1" x14ac:dyDescent="0.25">
      <c r="A8" s="204" t="s">
        <v>136</v>
      </c>
      <c r="B8" s="218">
        <v>6.91</v>
      </c>
      <c r="C8" s="218">
        <v>6.48</v>
      </c>
      <c r="D8" s="138">
        <v>0.44</v>
      </c>
      <c r="E8" s="233">
        <v>6.79</v>
      </c>
      <c r="F8" s="234">
        <v>6.35</v>
      </c>
      <c r="G8" s="213">
        <v>0.44</v>
      </c>
      <c r="H8" s="143">
        <v>6.72</v>
      </c>
      <c r="I8" s="144">
        <v>6.29</v>
      </c>
      <c r="J8" s="213">
        <v>0.43</v>
      </c>
      <c r="K8" s="233"/>
      <c r="L8" s="144">
        <v>6.87</v>
      </c>
      <c r="M8" s="144">
        <v>6.37</v>
      </c>
      <c r="N8" s="213">
        <v>0.5</v>
      </c>
      <c r="O8" s="145">
        <v>7.08</v>
      </c>
      <c r="P8" s="145">
        <v>6.62</v>
      </c>
      <c r="Q8" s="138">
        <v>0.46</v>
      </c>
      <c r="R8" s="217">
        <v>7.38</v>
      </c>
      <c r="S8" s="218">
        <v>6.86</v>
      </c>
      <c r="T8" s="213">
        <v>0.52</v>
      </c>
      <c r="U8" s="215" t="s">
        <v>137</v>
      </c>
    </row>
    <row r="9" spans="1:28" ht="19.149999999999999" customHeight="1" x14ac:dyDescent="0.25">
      <c r="A9" s="205" t="s">
        <v>138</v>
      </c>
      <c r="B9" s="218">
        <v>9.3160000000000007</v>
      </c>
      <c r="C9" s="218">
        <v>8.7469999999999999</v>
      </c>
      <c r="D9" s="219">
        <v>0.56899999999999995</v>
      </c>
      <c r="E9" s="233">
        <v>10.417</v>
      </c>
      <c r="F9" s="234">
        <v>9.8279999999999994</v>
      </c>
      <c r="G9" s="219">
        <v>0.58899999999999997</v>
      </c>
      <c r="H9" s="143">
        <v>10.752000000000001</v>
      </c>
      <c r="I9" s="144">
        <v>10.135999999999999</v>
      </c>
      <c r="J9" s="219">
        <v>0.61599999999999999</v>
      </c>
      <c r="K9" s="217"/>
      <c r="L9" s="144">
        <v>10.81</v>
      </c>
      <c r="M9" s="144">
        <v>10.09</v>
      </c>
      <c r="N9" s="219">
        <v>0.72</v>
      </c>
      <c r="O9" s="145">
        <v>10.612</v>
      </c>
      <c r="P9" s="145">
        <v>10.109</v>
      </c>
      <c r="Q9" s="219">
        <v>0.503</v>
      </c>
      <c r="R9" s="217">
        <v>10.625999999999999</v>
      </c>
      <c r="S9" s="218">
        <v>10.089</v>
      </c>
      <c r="T9" s="219">
        <v>0.53700000000000003</v>
      </c>
      <c r="U9" s="215" t="s">
        <v>139</v>
      </c>
      <c r="V9" s="154"/>
      <c r="W9" s="313"/>
      <c r="X9" s="313"/>
      <c r="Y9" s="313"/>
      <c r="Z9" s="315"/>
      <c r="AA9" s="315"/>
      <c r="AB9" s="315"/>
    </row>
    <row r="10" spans="1:28" ht="19.149999999999999" customHeight="1" x14ac:dyDescent="0.25">
      <c r="A10" s="205" t="s">
        <v>140</v>
      </c>
      <c r="B10" s="218">
        <v>10.984999999999999</v>
      </c>
      <c r="C10" s="218">
        <v>10.406000000000001</v>
      </c>
      <c r="D10" s="219">
        <v>0.57899999999999996</v>
      </c>
      <c r="E10" s="233">
        <v>11.098000000000001</v>
      </c>
      <c r="F10" s="234">
        <v>10.512</v>
      </c>
      <c r="G10" s="219">
        <v>0.58599999999999997</v>
      </c>
      <c r="H10" s="143">
        <v>11.093999999999999</v>
      </c>
      <c r="I10" s="144">
        <v>10.516999999999999</v>
      </c>
      <c r="J10" s="219">
        <v>0.57699999999999996</v>
      </c>
      <c r="K10" s="217"/>
      <c r="L10" s="144">
        <v>11.048</v>
      </c>
      <c r="M10" s="144">
        <v>10.516999999999999</v>
      </c>
      <c r="N10" s="219">
        <v>0.53100000000000003</v>
      </c>
      <c r="O10" s="145">
        <v>11.138999999999999</v>
      </c>
      <c r="P10" s="145">
        <v>10.571</v>
      </c>
      <c r="Q10" s="219">
        <v>0.56799999999999995</v>
      </c>
      <c r="R10" s="217">
        <v>11.071999999999999</v>
      </c>
      <c r="S10" s="218">
        <v>10.516</v>
      </c>
      <c r="T10" s="219">
        <v>0.55600000000000005</v>
      </c>
      <c r="U10" s="215" t="s">
        <v>141</v>
      </c>
      <c r="V10" s="154"/>
      <c r="W10" s="313"/>
      <c r="X10" s="313"/>
      <c r="Y10" s="313"/>
      <c r="Z10" s="315"/>
      <c r="AA10" s="315"/>
      <c r="AB10" s="315"/>
    </row>
    <row r="11" spans="1:28" ht="19.149999999999999" customHeight="1" x14ac:dyDescent="0.25">
      <c r="A11" s="205" t="s">
        <v>142</v>
      </c>
      <c r="B11" s="218" t="s">
        <v>57</v>
      </c>
      <c r="C11" s="218">
        <v>10.638</v>
      </c>
      <c r="D11" s="219" t="s">
        <v>57</v>
      </c>
      <c r="E11" s="233" t="s">
        <v>57</v>
      </c>
      <c r="F11" s="234">
        <v>10.62</v>
      </c>
      <c r="G11" s="219" t="s">
        <v>57</v>
      </c>
      <c r="H11" s="143" t="s">
        <v>57</v>
      </c>
      <c r="I11" s="144">
        <v>10.884</v>
      </c>
      <c r="J11" s="219" t="s">
        <v>57</v>
      </c>
      <c r="K11" s="217"/>
      <c r="L11" s="144" t="s">
        <v>57</v>
      </c>
      <c r="M11" s="144">
        <v>10.898</v>
      </c>
      <c r="N11" s="219" t="s">
        <v>57</v>
      </c>
      <c r="O11" s="145" t="s">
        <v>57</v>
      </c>
      <c r="P11" s="145">
        <v>10.94</v>
      </c>
      <c r="Q11" s="219" t="s">
        <v>57</v>
      </c>
      <c r="R11" s="217" t="s">
        <v>57</v>
      </c>
      <c r="S11" s="218">
        <v>10.994</v>
      </c>
      <c r="T11" s="219" t="s">
        <v>57</v>
      </c>
      <c r="U11" s="215" t="s">
        <v>143</v>
      </c>
      <c r="V11" s="154"/>
      <c r="W11" s="313"/>
      <c r="X11" s="313"/>
      <c r="Y11" s="313"/>
      <c r="Z11" s="315"/>
      <c r="AA11" s="315"/>
      <c r="AB11" s="315"/>
    </row>
    <row r="12" spans="1:28" ht="19.149999999999999" customHeight="1" x14ac:dyDescent="0.25">
      <c r="A12" s="205" t="s">
        <v>144</v>
      </c>
      <c r="B12" s="218">
        <v>10.919</v>
      </c>
      <c r="C12" s="218">
        <v>10.436</v>
      </c>
      <c r="D12" s="219">
        <v>0.48299999999999998</v>
      </c>
      <c r="E12" s="233">
        <v>10.717000000000001</v>
      </c>
      <c r="F12" s="234">
        <v>10.281000000000001</v>
      </c>
      <c r="G12" s="219">
        <v>0.436</v>
      </c>
      <c r="H12" s="143">
        <v>11.22</v>
      </c>
      <c r="I12" s="144">
        <v>10.763999999999999</v>
      </c>
      <c r="J12" s="219">
        <v>0.45600000000000002</v>
      </c>
      <c r="K12" s="217"/>
      <c r="L12" s="144">
        <v>11.48</v>
      </c>
      <c r="M12" s="144">
        <v>11.055999999999999</v>
      </c>
      <c r="N12" s="219">
        <v>0.42399999999999999</v>
      </c>
      <c r="O12" s="145">
        <v>11.305999999999999</v>
      </c>
      <c r="P12" s="145">
        <v>10.923999999999999</v>
      </c>
      <c r="Q12" s="219">
        <v>0.38200000000000001</v>
      </c>
      <c r="R12" s="217">
        <v>11.304</v>
      </c>
      <c r="S12" s="218">
        <v>10.923</v>
      </c>
      <c r="T12" s="219">
        <v>0.38100000000000001</v>
      </c>
      <c r="U12" s="215" t="s">
        <v>145</v>
      </c>
      <c r="V12" s="154"/>
      <c r="W12" s="313"/>
      <c r="X12" s="313"/>
      <c r="Y12" s="313"/>
      <c r="Z12" s="315"/>
      <c r="AA12" s="315"/>
      <c r="AB12" s="315"/>
    </row>
    <row r="13" spans="1:28" ht="19.149999999999999" customHeight="1" x14ac:dyDescent="0.25">
      <c r="A13" s="205" t="s">
        <v>146</v>
      </c>
      <c r="B13" s="218">
        <v>7.7489999999999997</v>
      </c>
      <c r="C13" s="218">
        <v>7.476</v>
      </c>
      <c r="D13" s="219">
        <v>0.27300000000000002</v>
      </c>
      <c r="E13" s="235" t="s">
        <v>57</v>
      </c>
      <c r="F13" s="139">
        <v>7.8419999999999996</v>
      </c>
      <c r="G13" s="219" t="s">
        <v>57</v>
      </c>
      <c r="H13" s="143" t="s">
        <v>57</v>
      </c>
      <c r="I13" s="144">
        <v>8.3510000000000009</v>
      </c>
      <c r="J13" s="219" t="s">
        <v>57</v>
      </c>
      <c r="K13" s="217"/>
      <c r="L13" s="144">
        <v>8.8610000000000007</v>
      </c>
      <c r="M13" s="144">
        <v>8.5579999999999998</v>
      </c>
      <c r="N13" s="219">
        <v>0.30299999999999999</v>
      </c>
      <c r="O13" s="145">
        <v>9.3360000000000003</v>
      </c>
      <c r="P13" s="145">
        <v>9.0909999999999993</v>
      </c>
      <c r="Q13" s="219">
        <v>0.245</v>
      </c>
      <c r="R13" s="217" t="s">
        <v>57</v>
      </c>
      <c r="S13" s="218">
        <v>9.15</v>
      </c>
      <c r="T13" s="219" t="s">
        <v>57</v>
      </c>
      <c r="U13" s="215" t="s">
        <v>147</v>
      </c>
      <c r="V13" s="154"/>
      <c r="W13" s="313"/>
      <c r="X13" s="313"/>
      <c r="Y13" s="313"/>
      <c r="Z13" s="315"/>
      <c r="AA13" s="315"/>
      <c r="AB13" s="315"/>
    </row>
    <row r="14" spans="1:28" ht="19.149999999999999" customHeight="1" x14ac:dyDescent="0.25">
      <c r="A14" s="225" t="s">
        <v>383</v>
      </c>
      <c r="B14" s="218" t="s">
        <v>57</v>
      </c>
      <c r="C14" s="218">
        <v>7.0170000000000003</v>
      </c>
      <c r="D14" s="219" t="s">
        <v>57</v>
      </c>
      <c r="E14" s="235" t="s">
        <v>57</v>
      </c>
      <c r="F14" s="139">
        <v>7.1859999999999999</v>
      </c>
      <c r="G14" s="219" t="s">
        <v>57</v>
      </c>
      <c r="H14" s="143" t="s">
        <v>57</v>
      </c>
      <c r="I14" s="144">
        <v>7.5229999999999997</v>
      </c>
      <c r="J14" s="219" t="s">
        <v>57</v>
      </c>
      <c r="K14" s="217"/>
      <c r="L14" s="144" t="s">
        <v>57</v>
      </c>
      <c r="M14" s="144">
        <v>7.5309999999999997</v>
      </c>
      <c r="N14" s="219" t="s">
        <v>57</v>
      </c>
      <c r="O14" s="145" t="s">
        <v>57</v>
      </c>
      <c r="P14" s="145">
        <v>7.6790000000000003</v>
      </c>
      <c r="Q14" s="219" t="s">
        <v>57</v>
      </c>
      <c r="R14" s="217" t="s">
        <v>57</v>
      </c>
      <c r="S14" s="218">
        <v>7.718</v>
      </c>
      <c r="T14" s="219" t="s">
        <v>57</v>
      </c>
      <c r="U14" s="226" t="s">
        <v>384</v>
      </c>
      <c r="V14" s="154"/>
      <c r="W14" s="313"/>
      <c r="X14" s="313"/>
      <c r="Y14" s="313"/>
      <c r="Z14" s="315"/>
      <c r="AA14" s="315"/>
      <c r="AB14" s="315"/>
    </row>
    <row r="15" spans="1:28" ht="19.149999999999999" customHeight="1" x14ac:dyDescent="0.25">
      <c r="A15" s="225" t="s">
        <v>392</v>
      </c>
      <c r="B15" s="218">
        <v>7.9619999999999997</v>
      </c>
      <c r="C15" s="218">
        <v>7.6790000000000003</v>
      </c>
      <c r="D15" s="219">
        <v>0.28299999999999997</v>
      </c>
      <c r="E15" s="235">
        <v>7.8559999999999999</v>
      </c>
      <c r="F15" s="139">
        <v>7.6619999999999999</v>
      </c>
      <c r="G15" s="219">
        <v>0.19400000000000001</v>
      </c>
      <c r="H15" s="143">
        <v>7.8049999999999997</v>
      </c>
      <c r="I15" s="144">
        <v>7.5919999999999996</v>
      </c>
      <c r="J15" s="219">
        <v>0.21299999999999999</v>
      </c>
      <c r="K15" s="217"/>
      <c r="L15" s="144">
        <v>7.5579999999999998</v>
      </c>
      <c r="M15" s="144">
        <v>7.3150000000000004</v>
      </c>
      <c r="N15" s="219">
        <v>0.24299999999999999</v>
      </c>
      <c r="O15" s="145">
        <v>7.2990000000000004</v>
      </c>
      <c r="P15" s="145">
        <v>7.0449999999999999</v>
      </c>
      <c r="Q15" s="219">
        <v>0.254</v>
      </c>
      <c r="R15" s="217">
        <v>7.5279999999999996</v>
      </c>
      <c r="S15" s="218">
        <v>7.2859999999999996</v>
      </c>
      <c r="T15" s="219">
        <v>0.24199999999999999</v>
      </c>
      <c r="U15" s="226" t="s">
        <v>391</v>
      </c>
      <c r="V15" s="154"/>
      <c r="W15" s="313"/>
      <c r="X15" s="313"/>
      <c r="Y15" s="313"/>
      <c r="Z15" s="315"/>
      <c r="AA15" s="315"/>
      <c r="AB15" s="315"/>
    </row>
    <row r="16" spans="1:28" ht="19.149999999999999" customHeight="1" x14ac:dyDescent="0.25">
      <c r="A16" s="205" t="s">
        <v>148</v>
      </c>
      <c r="B16" s="218">
        <v>7.5339999999999998</v>
      </c>
      <c r="C16" s="218">
        <v>7.4480000000000004</v>
      </c>
      <c r="D16" s="219">
        <v>8.5999999999999993E-2</v>
      </c>
      <c r="E16" s="233">
        <v>7.6210000000000004</v>
      </c>
      <c r="F16" s="234">
        <v>7.5389999999999997</v>
      </c>
      <c r="G16" s="219">
        <v>8.2000000000000003E-2</v>
      </c>
      <c r="H16" s="143">
        <v>7.4089999999999998</v>
      </c>
      <c r="I16" s="144">
        <v>7.2930000000000001</v>
      </c>
      <c r="J16" s="219">
        <v>0.11600000000000001</v>
      </c>
      <c r="K16" s="217"/>
      <c r="L16" s="144">
        <v>7.4269999999999996</v>
      </c>
      <c r="M16" s="144">
        <v>7.3230000000000004</v>
      </c>
      <c r="N16" s="219">
        <v>0.104</v>
      </c>
      <c r="O16" s="145">
        <v>7.3310000000000004</v>
      </c>
      <c r="P16" s="145">
        <v>7.242</v>
      </c>
      <c r="Q16" s="219">
        <v>8.8999999999999996E-2</v>
      </c>
      <c r="R16" s="217">
        <v>7.4820000000000002</v>
      </c>
      <c r="S16" s="218">
        <v>7.3719999999999999</v>
      </c>
      <c r="T16" s="219">
        <v>0.11</v>
      </c>
      <c r="U16" s="215" t="s">
        <v>149</v>
      </c>
      <c r="V16" s="154"/>
      <c r="W16" s="313"/>
      <c r="X16" s="313"/>
      <c r="Y16" s="313"/>
      <c r="Z16" s="315"/>
      <c r="AA16" s="315"/>
      <c r="AB16" s="315"/>
    </row>
    <row r="17" spans="1:28" ht="19.149999999999999" customHeight="1" x14ac:dyDescent="0.25">
      <c r="A17" s="205" t="s">
        <v>150</v>
      </c>
      <c r="B17" s="218">
        <v>10.896000000000001</v>
      </c>
      <c r="C17" s="218">
        <v>10.279</v>
      </c>
      <c r="D17" s="219">
        <v>0.61699999999999999</v>
      </c>
      <c r="E17" s="233">
        <v>10.952999999999999</v>
      </c>
      <c r="F17" s="234">
        <v>10.297000000000001</v>
      </c>
      <c r="G17" s="219">
        <v>0.65600000000000003</v>
      </c>
      <c r="H17" s="143">
        <v>10.988</v>
      </c>
      <c r="I17" s="144">
        <v>10.359</v>
      </c>
      <c r="J17" s="219">
        <v>0.629</v>
      </c>
      <c r="K17" s="217"/>
      <c r="L17" s="144">
        <v>10.868</v>
      </c>
      <c r="M17" s="144">
        <v>10.268000000000001</v>
      </c>
      <c r="N17" s="219">
        <v>0.6</v>
      </c>
      <c r="O17" s="145">
        <v>10.744</v>
      </c>
      <c r="P17" s="145">
        <v>10.114000000000001</v>
      </c>
      <c r="Q17" s="219">
        <v>0.63</v>
      </c>
      <c r="R17" s="217">
        <v>10.752000000000001</v>
      </c>
      <c r="S17" s="218">
        <v>10.141999999999999</v>
      </c>
      <c r="T17" s="219">
        <v>0.61</v>
      </c>
      <c r="U17" s="215" t="s">
        <v>151</v>
      </c>
      <c r="V17" s="154"/>
      <c r="W17" s="313"/>
      <c r="X17" s="313"/>
      <c r="Y17" s="313"/>
      <c r="Z17" s="315"/>
      <c r="AA17" s="315"/>
      <c r="AB17" s="315"/>
    </row>
    <row r="18" spans="1:28" ht="19.149999999999999" customHeight="1" x14ac:dyDescent="0.25">
      <c r="A18" s="205" t="s">
        <v>152</v>
      </c>
      <c r="B18" s="218">
        <v>6.6539999999999999</v>
      </c>
      <c r="C18" s="218">
        <v>6.1980000000000004</v>
      </c>
      <c r="D18" s="219">
        <v>0.45600000000000002</v>
      </c>
      <c r="E18" s="235">
        <v>6.5069999999999997</v>
      </c>
      <c r="F18" s="234">
        <v>6.2629999999999999</v>
      </c>
      <c r="G18" s="219">
        <v>0.24399999999999999</v>
      </c>
      <c r="H18" s="143">
        <v>7.1230000000000002</v>
      </c>
      <c r="I18" s="144">
        <v>6.5209999999999999</v>
      </c>
      <c r="J18" s="219">
        <v>0.60199999999999998</v>
      </c>
      <c r="K18" s="217"/>
      <c r="L18" s="144">
        <v>6.9619999999999997</v>
      </c>
      <c r="M18" s="144">
        <v>6.569</v>
      </c>
      <c r="N18" s="219">
        <v>0.39300000000000002</v>
      </c>
      <c r="O18" s="145">
        <v>6.6980000000000004</v>
      </c>
      <c r="P18" s="145">
        <v>6.4660000000000002</v>
      </c>
      <c r="Q18" s="219">
        <v>0.23200000000000001</v>
      </c>
      <c r="R18" s="217">
        <v>6.8230000000000004</v>
      </c>
      <c r="S18" s="218">
        <v>6.5629999999999997</v>
      </c>
      <c r="T18" s="219">
        <v>0.26</v>
      </c>
      <c r="U18" s="215" t="s">
        <v>153</v>
      </c>
      <c r="V18" s="154"/>
      <c r="W18" s="313"/>
      <c r="X18" s="313"/>
      <c r="Y18" s="313"/>
      <c r="Z18" s="315"/>
      <c r="AA18" s="315"/>
      <c r="AB18" s="315"/>
    </row>
    <row r="19" spans="1:28" ht="19.149999999999999" customHeight="1" x14ac:dyDescent="0.25">
      <c r="A19" s="205" t="s">
        <v>154</v>
      </c>
      <c r="B19" s="218">
        <v>10.260999999999999</v>
      </c>
      <c r="C19" s="218">
        <v>9.8450000000000006</v>
      </c>
      <c r="D19" s="219">
        <v>0.41599999999999998</v>
      </c>
      <c r="E19" s="233">
        <v>10.228999999999999</v>
      </c>
      <c r="F19" s="234">
        <v>9.8309999999999995</v>
      </c>
      <c r="G19" s="219">
        <v>0.39800000000000002</v>
      </c>
      <c r="H19" s="143">
        <v>10.09</v>
      </c>
      <c r="I19" s="144">
        <v>9.6999999999999993</v>
      </c>
      <c r="J19" s="219">
        <v>0.39</v>
      </c>
      <c r="K19" s="217"/>
      <c r="L19" s="144">
        <v>9.843</v>
      </c>
      <c r="M19" s="144">
        <v>9.4559999999999995</v>
      </c>
      <c r="N19" s="219">
        <v>0.38700000000000001</v>
      </c>
      <c r="O19" s="145">
        <v>9.68</v>
      </c>
      <c r="P19" s="145">
        <v>9.1910000000000007</v>
      </c>
      <c r="Q19" s="219">
        <v>0.48899999999999999</v>
      </c>
      <c r="R19" s="217">
        <v>9.5679999999999996</v>
      </c>
      <c r="S19" s="218">
        <v>9.1029999999999998</v>
      </c>
      <c r="T19" s="219">
        <v>0.46500000000000002</v>
      </c>
      <c r="U19" s="215" t="s">
        <v>155</v>
      </c>
      <c r="V19" s="154"/>
      <c r="W19" s="313"/>
      <c r="X19" s="313"/>
      <c r="Y19" s="313"/>
      <c r="Z19" s="315"/>
      <c r="AA19" s="315"/>
      <c r="AB19" s="315"/>
    </row>
    <row r="20" spans="1:28" ht="19.149999999999999" customHeight="1" x14ac:dyDescent="0.25">
      <c r="A20" s="205" t="s">
        <v>156</v>
      </c>
      <c r="B20" s="218" t="s">
        <v>57</v>
      </c>
      <c r="C20" s="218">
        <v>11.478</v>
      </c>
      <c r="D20" s="219" t="s">
        <v>57</v>
      </c>
      <c r="E20" s="233" t="s">
        <v>57</v>
      </c>
      <c r="F20" s="234">
        <v>11.579000000000001</v>
      </c>
      <c r="G20" s="219" t="s">
        <v>57</v>
      </c>
      <c r="H20" s="143" t="s">
        <v>57</v>
      </c>
      <c r="I20" s="144">
        <v>11.5</v>
      </c>
      <c r="J20" s="219" t="s">
        <v>57</v>
      </c>
      <c r="K20" s="217"/>
      <c r="L20" s="144" t="s">
        <v>57</v>
      </c>
      <c r="M20" s="144">
        <v>11.57</v>
      </c>
      <c r="N20" s="219" t="s">
        <v>57</v>
      </c>
      <c r="O20" s="145" t="s">
        <v>57</v>
      </c>
      <c r="P20" s="145">
        <v>11.449</v>
      </c>
      <c r="Q20" s="219" t="s">
        <v>57</v>
      </c>
      <c r="R20" s="217" t="s">
        <v>57</v>
      </c>
      <c r="S20" s="218">
        <v>11.308</v>
      </c>
      <c r="T20" s="219" t="s">
        <v>57</v>
      </c>
      <c r="U20" s="215" t="s">
        <v>157</v>
      </c>
      <c r="V20" s="154"/>
      <c r="W20" s="313"/>
      <c r="X20" s="313"/>
      <c r="Y20" s="313"/>
      <c r="Z20" s="315"/>
      <c r="AA20" s="315"/>
      <c r="AB20" s="315"/>
    </row>
    <row r="21" spans="1:28" ht="19.149999999999999" customHeight="1" x14ac:dyDescent="0.25">
      <c r="A21" s="205" t="s">
        <v>158</v>
      </c>
      <c r="B21" s="218" t="s">
        <v>57</v>
      </c>
      <c r="C21" s="218">
        <v>10.743</v>
      </c>
      <c r="D21" s="219" t="s">
        <v>57</v>
      </c>
      <c r="E21" s="233" t="s">
        <v>57</v>
      </c>
      <c r="F21" s="234">
        <v>10.768000000000001</v>
      </c>
      <c r="G21" s="219" t="s">
        <v>57</v>
      </c>
      <c r="H21" s="143" t="s">
        <v>57</v>
      </c>
      <c r="I21" s="144">
        <v>10.923</v>
      </c>
      <c r="J21" s="219" t="s">
        <v>57</v>
      </c>
      <c r="K21" s="217"/>
      <c r="L21" s="144" t="s">
        <v>57</v>
      </c>
      <c r="M21" s="144">
        <v>10.971</v>
      </c>
      <c r="N21" s="219" t="s">
        <v>57</v>
      </c>
      <c r="O21" s="145" t="s">
        <v>57</v>
      </c>
      <c r="P21" s="145">
        <v>11.051</v>
      </c>
      <c r="Q21" s="219" t="s">
        <v>57</v>
      </c>
      <c r="R21" s="217" t="s">
        <v>57</v>
      </c>
      <c r="S21" s="218">
        <v>11.183999999999999</v>
      </c>
      <c r="T21" s="219" t="s">
        <v>57</v>
      </c>
      <c r="U21" s="215" t="s">
        <v>159</v>
      </c>
      <c r="V21" s="154"/>
      <c r="W21" s="313"/>
      <c r="X21" s="313"/>
      <c r="Y21" s="313"/>
      <c r="Z21" s="315"/>
      <c r="AA21" s="315"/>
      <c r="AB21" s="315"/>
    </row>
    <row r="22" spans="1:28" ht="19.149999999999999" customHeight="1" x14ac:dyDescent="0.25">
      <c r="A22" s="205" t="s">
        <v>160</v>
      </c>
      <c r="B22" s="218">
        <v>8.6630000000000003</v>
      </c>
      <c r="C22" s="218">
        <v>8.5220000000000002</v>
      </c>
      <c r="D22" s="219">
        <v>0.14099999999999999</v>
      </c>
      <c r="E22" s="233">
        <v>8.0489999999999995</v>
      </c>
      <c r="F22" s="234">
        <v>7.944</v>
      </c>
      <c r="G22" s="219">
        <v>0.105</v>
      </c>
      <c r="H22" s="143">
        <v>8.3840000000000003</v>
      </c>
      <c r="I22" s="144">
        <v>8.2669999999999995</v>
      </c>
      <c r="J22" s="219">
        <v>0.11700000000000001</v>
      </c>
      <c r="K22" s="217"/>
      <c r="L22" s="144">
        <v>8.5559999999999992</v>
      </c>
      <c r="M22" s="144">
        <v>8.4510000000000005</v>
      </c>
      <c r="N22" s="219">
        <v>0.105</v>
      </c>
      <c r="O22" s="145">
        <v>8.2439999999999998</v>
      </c>
      <c r="P22" s="145">
        <v>8.1129999999999995</v>
      </c>
      <c r="Q22" s="219">
        <v>0.13100000000000001</v>
      </c>
      <c r="R22" s="217">
        <v>8.2530000000000001</v>
      </c>
      <c r="S22" s="218">
        <v>8.0730000000000004</v>
      </c>
      <c r="T22" s="219">
        <v>0.18</v>
      </c>
      <c r="U22" s="215" t="s">
        <v>161</v>
      </c>
      <c r="V22" s="154"/>
      <c r="W22" s="313"/>
      <c r="X22" s="313"/>
      <c r="Y22" s="313"/>
      <c r="Z22" s="315"/>
      <c r="AA22" s="315"/>
      <c r="AB22" s="315"/>
    </row>
    <row r="23" spans="1:28" ht="19.149999999999999" customHeight="1" x14ac:dyDescent="0.25">
      <c r="A23" s="205" t="s">
        <v>162</v>
      </c>
      <c r="B23" s="218">
        <v>7.4269999999999996</v>
      </c>
      <c r="C23" s="218">
        <v>7.2359999999999998</v>
      </c>
      <c r="D23" s="219">
        <v>0.191</v>
      </c>
      <c r="E23" s="233">
        <v>7.3140000000000001</v>
      </c>
      <c r="F23" s="234">
        <v>7.0419999999999998</v>
      </c>
      <c r="G23" s="219">
        <v>0.27200000000000002</v>
      </c>
      <c r="H23" s="143">
        <v>7.3159999999999998</v>
      </c>
      <c r="I23" s="144">
        <v>6.85</v>
      </c>
      <c r="J23" s="219">
        <v>0.46600000000000003</v>
      </c>
      <c r="K23" s="217"/>
      <c r="L23" s="144">
        <v>7.07</v>
      </c>
      <c r="M23" s="144">
        <v>6.968</v>
      </c>
      <c r="N23" s="219">
        <v>0.10199999999999999</v>
      </c>
      <c r="O23" s="145">
        <v>6.891</v>
      </c>
      <c r="P23" s="145">
        <v>6.7329999999999997</v>
      </c>
      <c r="Q23" s="219">
        <v>0.158</v>
      </c>
      <c r="R23" s="217">
        <v>6.7290000000000001</v>
      </c>
      <c r="S23" s="218">
        <v>6.5549999999999997</v>
      </c>
      <c r="T23" s="219">
        <v>0.17399999999999999</v>
      </c>
      <c r="U23" s="215" t="s">
        <v>163</v>
      </c>
      <c r="V23" s="154"/>
      <c r="W23" s="313"/>
      <c r="X23" s="313"/>
      <c r="Y23" s="313"/>
      <c r="Z23" s="315"/>
      <c r="AA23" s="315"/>
      <c r="AB23" s="315"/>
    </row>
    <row r="24" spans="1:28" ht="19.149999999999999" customHeight="1" x14ac:dyDescent="0.25">
      <c r="A24" s="205" t="s">
        <v>164</v>
      </c>
      <c r="B24" s="218">
        <v>8.407</v>
      </c>
      <c r="C24" s="218">
        <v>8.2270000000000003</v>
      </c>
      <c r="D24" s="219">
        <v>0.18</v>
      </c>
      <c r="E24" s="233">
        <v>8.5109999999999992</v>
      </c>
      <c r="F24" s="234">
        <v>8.2899999999999991</v>
      </c>
      <c r="G24" s="219">
        <v>0.221</v>
      </c>
      <c r="H24" s="143">
        <v>8.3309999999999995</v>
      </c>
      <c r="I24" s="144">
        <v>8.1310000000000002</v>
      </c>
      <c r="J24" s="219">
        <v>0.2</v>
      </c>
      <c r="K24" s="217"/>
      <c r="L24" s="144">
        <v>8.3770000000000007</v>
      </c>
      <c r="M24" s="144">
        <v>8.1560000000000006</v>
      </c>
      <c r="N24" s="219">
        <v>0.221</v>
      </c>
      <c r="O24" s="145">
        <v>8.5609999999999999</v>
      </c>
      <c r="P24" s="145">
        <v>8.3239999999999998</v>
      </c>
      <c r="Q24" s="219">
        <v>0.23699999999999999</v>
      </c>
      <c r="R24" s="217">
        <v>8.8030000000000008</v>
      </c>
      <c r="S24" s="218">
        <v>8.4380000000000006</v>
      </c>
      <c r="T24" s="219">
        <v>0.36499999999999999</v>
      </c>
      <c r="U24" s="215" t="s">
        <v>165</v>
      </c>
      <c r="V24" s="154"/>
      <c r="W24" s="313"/>
      <c r="X24" s="313"/>
      <c r="Y24" s="313"/>
      <c r="Z24" s="315"/>
      <c r="AA24" s="315"/>
      <c r="AB24" s="315"/>
    </row>
    <row r="25" spans="1:28" ht="19.149999999999999" customHeight="1" x14ac:dyDescent="0.25">
      <c r="A25" s="205" t="s">
        <v>166</v>
      </c>
      <c r="B25" s="218">
        <v>10.535</v>
      </c>
      <c r="C25" s="218">
        <v>10.032999999999999</v>
      </c>
      <c r="D25" s="219">
        <v>0.502</v>
      </c>
      <c r="E25" s="233">
        <v>9.6780000000000008</v>
      </c>
      <c r="F25" s="234">
        <v>9.2309999999999999</v>
      </c>
      <c r="G25" s="219">
        <v>0.44700000000000001</v>
      </c>
      <c r="H25" s="143">
        <v>7.47</v>
      </c>
      <c r="I25" s="144">
        <v>7.0780000000000003</v>
      </c>
      <c r="J25" s="219">
        <v>0.39200000000000002</v>
      </c>
      <c r="K25" s="217"/>
      <c r="L25" s="144">
        <v>7.782</v>
      </c>
      <c r="M25" s="144">
        <v>7.3380000000000001</v>
      </c>
      <c r="N25" s="219">
        <v>0.44400000000000001</v>
      </c>
      <c r="O25" s="145">
        <v>7.3010000000000002</v>
      </c>
      <c r="P25" s="145">
        <v>6.9169999999999998</v>
      </c>
      <c r="Q25" s="219">
        <v>0.38400000000000001</v>
      </c>
      <c r="R25" s="217">
        <v>7.17</v>
      </c>
      <c r="S25" s="218">
        <v>6.7469999999999999</v>
      </c>
      <c r="T25" s="219">
        <v>0.42299999999999999</v>
      </c>
      <c r="U25" s="215" t="s">
        <v>167</v>
      </c>
      <c r="V25" s="154"/>
      <c r="W25" s="313"/>
      <c r="X25" s="313"/>
      <c r="Y25" s="313"/>
      <c r="Z25" s="315"/>
      <c r="AA25" s="315"/>
      <c r="AB25" s="315"/>
    </row>
    <row r="26" spans="1:28" ht="19.149999999999999" customHeight="1" x14ac:dyDescent="0.25">
      <c r="A26" s="205" t="s">
        <v>168</v>
      </c>
      <c r="B26" s="218">
        <v>7.2190000000000003</v>
      </c>
      <c r="C26" s="218">
        <v>6.9409999999999998</v>
      </c>
      <c r="D26" s="219">
        <v>0.27800000000000002</v>
      </c>
      <c r="E26" s="233">
        <v>7.2690000000000001</v>
      </c>
      <c r="F26" s="234">
        <v>7.03</v>
      </c>
      <c r="G26" s="219">
        <v>0.23899999999999999</v>
      </c>
      <c r="H26" s="143">
        <v>7.3220000000000001</v>
      </c>
      <c r="I26" s="144">
        <v>7.0209999999999999</v>
      </c>
      <c r="J26" s="219">
        <v>0.30099999999999999</v>
      </c>
      <c r="K26" s="217"/>
      <c r="L26" s="144">
        <v>7.3570000000000002</v>
      </c>
      <c r="M26" s="144">
        <v>7.0990000000000002</v>
      </c>
      <c r="N26" s="219">
        <v>0.25800000000000001</v>
      </c>
      <c r="O26" s="145">
        <v>7.452</v>
      </c>
      <c r="P26" s="145">
        <v>7.1719999999999997</v>
      </c>
      <c r="Q26" s="219">
        <v>0.28000000000000003</v>
      </c>
      <c r="R26" s="217">
        <v>7.4770000000000003</v>
      </c>
      <c r="S26" s="218">
        <v>7.2359999999999998</v>
      </c>
      <c r="T26" s="219">
        <v>0.24099999999999999</v>
      </c>
      <c r="U26" s="215" t="s">
        <v>169</v>
      </c>
      <c r="V26" s="154"/>
      <c r="W26" s="313"/>
      <c r="X26" s="313"/>
      <c r="Y26" s="313"/>
      <c r="Z26" s="315"/>
      <c r="AA26" s="315"/>
      <c r="AB26" s="315"/>
    </row>
    <row r="27" spans="1:28" ht="19.149999999999999" customHeight="1" x14ac:dyDescent="0.25">
      <c r="A27" s="205" t="s">
        <v>170</v>
      </c>
      <c r="B27" s="218" t="s">
        <v>57</v>
      </c>
      <c r="C27" s="218">
        <v>8.7899999999999991</v>
      </c>
      <c r="D27" s="219" t="s">
        <v>57</v>
      </c>
      <c r="E27" s="233" t="s">
        <v>57</v>
      </c>
      <c r="F27" s="234">
        <v>8.859</v>
      </c>
      <c r="G27" s="219" t="s">
        <v>57</v>
      </c>
      <c r="H27" s="143" t="s">
        <v>57</v>
      </c>
      <c r="I27" s="144">
        <v>8.8460000000000001</v>
      </c>
      <c r="J27" s="219" t="s">
        <v>57</v>
      </c>
      <c r="K27" s="217"/>
      <c r="L27" s="144" t="s">
        <v>57</v>
      </c>
      <c r="M27" s="144">
        <v>8.7200000000000006</v>
      </c>
      <c r="N27" s="219" t="s">
        <v>57</v>
      </c>
      <c r="O27" s="145" t="s">
        <v>57</v>
      </c>
      <c r="P27" s="145">
        <v>8.6910000000000007</v>
      </c>
      <c r="Q27" s="219" t="s">
        <v>57</v>
      </c>
      <c r="R27" s="217" t="s">
        <v>57</v>
      </c>
      <c r="S27" s="218">
        <v>8.6549999999999994</v>
      </c>
      <c r="T27" s="219" t="s">
        <v>57</v>
      </c>
      <c r="U27" s="215" t="s">
        <v>171</v>
      </c>
      <c r="V27" s="154"/>
      <c r="W27" s="313"/>
      <c r="X27" s="313"/>
      <c r="Y27" s="313"/>
      <c r="Z27" s="315"/>
      <c r="AA27" s="315"/>
      <c r="AB27" s="315"/>
    </row>
    <row r="28" spans="1:28" ht="19.149999999999999" customHeight="1" x14ac:dyDescent="0.25">
      <c r="A28" s="205" t="s">
        <v>172</v>
      </c>
      <c r="B28" s="218" t="s">
        <v>57</v>
      </c>
      <c r="C28" s="218">
        <v>10.673999999999999</v>
      </c>
      <c r="D28" s="219" t="s">
        <v>57</v>
      </c>
      <c r="E28" s="233" t="s">
        <v>57</v>
      </c>
      <c r="F28" s="234">
        <v>10.728999999999999</v>
      </c>
      <c r="G28" s="219" t="s">
        <v>57</v>
      </c>
      <c r="H28" s="143" t="s">
        <v>57</v>
      </c>
      <c r="I28" s="144">
        <v>10.75</v>
      </c>
      <c r="J28" s="219" t="s">
        <v>57</v>
      </c>
      <c r="K28" s="217"/>
      <c r="L28" s="144" t="s">
        <v>57</v>
      </c>
      <c r="M28" s="144">
        <v>10.659000000000001</v>
      </c>
      <c r="N28" s="219" t="s">
        <v>57</v>
      </c>
      <c r="O28" s="145" t="s">
        <v>57</v>
      </c>
      <c r="P28" s="145">
        <v>10.656000000000001</v>
      </c>
      <c r="Q28" s="219" t="s">
        <v>57</v>
      </c>
      <c r="R28" s="217" t="s">
        <v>57</v>
      </c>
      <c r="S28" s="218">
        <v>10.74</v>
      </c>
      <c r="T28" s="219" t="s">
        <v>57</v>
      </c>
      <c r="U28" s="215" t="s">
        <v>173</v>
      </c>
      <c r="V28" s="154"/>
      <c r="W28" s="313"/>
      <c r="X28" s="313"/>
      <c r="Y28" s="313"/>
      <c r="Z28" s="315"/>
      <c r="AA28" s="315"/>
      <c r="AB28" s="315"/>
    </row>
    <row r="29" spans="1:28" ht="19.149999999999999" customHeight="1" x14ac:dyDescent="0.25">
      <c r="A29" s="205" t="s">
        <v>174</v>
      </c>
      <c r="B29" s="218">
        <v>6.327</v>
      </c>
      <c r="C29" s="218">
        <v>6.0659999999999998</v>
      </c>
      <c r="D29" s="219">
        <v>0.26100000000000001</v>
      </c>
      <c r="E29" s="233">
        <v>6.4859999999999998</v>
      </c>
      <c r="F29" s="234">
        <v>6.2430000000000003</v>
      </c>
      <c r="G29" s="219">
        <v>0.24299999999999999</v>
      </c>
      <c r="H29" s="143">
        <v>6.7119999999999997</v>
      </c>
      <c r="I29" s="144">
        <v>6.46</v>
      </c>
      <c r="J29" s="219">
        <v>0.252</v>
      </c>
      <c r="K29" s="217"/>
      <c r="L29" s="144">
        <v>6.8710000000000004</v>
      </c>
      <c r="M29" s="144">
        <v>6.6340000000000003</v>
      </c>
      <c r="N29" s="219">
        <v>0.23699999999999999</v>
      </c>
      <c r="O29" s="145">
        <v>7.0570000000000004</v>
      </c>
      <c r="P29" s="145">
        <v>6.7960000000000003</v>
      </c>
      <c r="Q29" s="219">
        <v>0.26100000000000001</v>
      </c>
      <c r="R29" s="217">
        <v>7.4420000000000002</v>
      </c>
      <c r="S29" s="218">
        <v>7.14</v>
      </c>
      <c r="T29" s="219">
        <v>0.30199999999999999</v>
      </c>
      <c r="U29" s="215" t="s">
        <v>175</v>
      </c>
      <c r="V29" s="154"/>
      <c r="W29" s="313"/>
      <c r="X29" s="313"/>
      <c r="Y29" s="313"/>
      <c r="Z29" s="315"/>
      <c r="AA29" s="315"/>
      <c r="AB29" s="315"/>
    </row>
    <row r="30" spans="1:28" ht="19.149999999999999" customHeight="1" x14ac:dyDescent="0.25">
      <c r="A30" s="205" t="s">
        <v>176</v>
      </c>
      <c r="B30" s="218" t="s">
        <v>57</v>
      </c>
      <c r="C30" s="218">
        <v>5.6040000000000001</v>
      </c>
      <c r="D30" s="219" t="s">
        <v>57</v>
      </c>
      <c r="E30" s="235" t="s">
        <v>57</v>
      </c>
      <c r="F30" s="139">
        <v>5.6639999999999997</v>
      </c>
      <c r="G30" s="219" t="s">
        <v>57</v>
      </c>
      <c r="H30" s="143" t="s">
        <v>57</v>
      </c>
      <c r="I30" s="144">
        <v>5.8490000000000002</v>
      </c>
      <c r="J30" s="219" t="s">
        <v>57</v>
      </c>
      <c r="K30" s="217"/>
      <c r="L30" s="144" t="s">
        <v>57</v>
      </c>
      <c r="M30" s="144">
        <v>6.3520000000000003</v>
      </c>
      <c r="N30" s="219" t="s">
        <v>57</v>
      </c>
      <c r="O30" s="145">
        <v>6.5119999999999996</v>
      </c>
      <c r="P30" s="145">
        <v>6.1870000000000003</v>
      </c>
      <c r="Q30" s="219">
        <v>0.32500000000000001</v>
      </c>
      <c r="R30" s="217">
        <v>6.78</v>
      </c>
      <c r="S30" s="218">
        <v>6.4089999999999998</v>
      </c>
      <c r="T30" s="219">
        <v>0.371</v>
      </c>
      <c r="U30" s="215" t="s">
        <v>177</v>
      </c>
      <c r="V30" s="154"/>
      <c r="W30" s="313"/>
      <c r="X30" s="313"/>
      <c r="Y30" s="313"/>
      <c r="Z30" s="315"/>
      <c r="AA30" s="315"/>
      <c r="AB30" s="315"/>
    </row>
    <row r="31" spans="1:28" ht="19.149999999999999" customHeight="1" x14ac:dyDescent="0.25">
      <c r="A31" s="205" t="s">
        <v>306</v>
      </c>
      <c r="B31" s="218" t="s">
        <v>57</v>
      </c>
      <c r="C31" s="218">
        <v>6.1550000000000002</v>
      </c>
      <c r="D31" s="219" t="s">
        <v>57</v>
      </c>
      <c r="E31" s="235" t="s">
        <v>57</v>
      </c>
      <c r="F31" s="139">
        <v>6.2220000000000004</v>
      </c>
      <c r="G31" s="219" t="s">
        <v>57</v>
      </c>
      <c r="H31" s="143" t="s">
        <v>57</v>
      </c>
      <c r="I31" s="144">
        <v>6.4740000000000002</v>
      </c>
      <c r="J31" s="219" t="s">
        <v>57</v>
      </c>
      <c r="K31" s="217"/>
      <c r="L31" s="144" t="s">
        <v>57</v>
      </c>
      <c r="M31" s="144">
        <v>6.649</v>
      </c>
      <c r="N31" s="219" t="s">
        <v>57</v>
      </c>
      <c r="O31" s="145" t="s">
        <v>57</v>
      </c>
      <c r="P31" s="145">
        <v>6.4640000000000004</v>
      </c>
      <c r="Q31" s="219" t="s">
        <v>57</v>
      </c>
      <c r="R31" s="217" t="s">
        <v>57</v>
      </c>
      <c r="S31" s="218">
        <v>6.4690000000000003</v>
      </c>
      <c r="T31" s="219" t="s">
        <v>57</v>
      </c>
      <c r="U31" s="215" t="s">
        <v>305</v>
      </c>
      <c r="V31" s="154"/>
      <c r="W31" s="313"/>
      <c r="X31" s="313"/>
      <c r="Y31" s="313"/>
      <c r="Z31" s="315"/>
      <c r="AA31" s="315"/>
      <c r="AB31" s="315"/>
    </row>
    <row r="32" spans="1:28" ht="19.149999999999999" customHeight="1" x14ac:dyDescent="0.25">
      <c r="A32" s="205" t="s">
        <v>178</v>
      </c>
      <c r="B32" s="218" t="s">
        <v>57</v>
      </c>
      <c r="C32" s="218">
        <v>5.2359999999999998</v>
      </c>
      <c r="D32" s="219" t="s">
        <v>57</v>
      </c>
      <c r="E32" s="233" t="s">
        <v>57</v>
      </c>
      <c r="F32" s="234">
        <v>5.23</v>
      </c>
      <c r="G32" s="219" t="s">
        <v>57</v>
      </c>
      <c r="H32" s="143" t="s">
        <v>57</v>
      </c>
      <c r="I32" s="144">
        <v>5.0810000000000004</v>
      </c>
      <c r="J32" s="219" t="s">
        <v>57</v>
      </c>
      <c r="K32" s="217"/>
      <c r="L32" s="144" t="s">
        <v>57</v>
      </c>
      <c r="M32" s="144">
        <v>5.0709999999999997</v>
      </c>
      <c r="N32" s="219" t="s">
        <v>57</v>
      </c>
      <c r="O32" s="145" t="s">
        <v>57</v>
      </c>
      <c r="P32" s="145">
        <v>5.1349999999999998</v>
      </c>
      <c r="Q32" s="219" t="s">
        <v>57</v>
      </c>
      <c r="R32" s="217" t="s">
        <v>57</v>
      </c>
      <c r="S32" s="218">
        <v>5.274</v>
      </c>
      <c r="T32" s="219" t="s">
        <v>57</v>
      </c>
      <c r="U32" s="215" t="s">
        <v>179</v>
      </c>
      <c r="V32" s="154"/>
      <c r="W32" s="313"/>
      <c r="X32" s="313"/>
      <c r="Y32" s="313"/>
      <c r="Z32" s="315"/>
      <c r="AA32" s="315"/>
      <c r="AB32" s="315"/>
    </row>
    <row r="33" spans="1:28" ht="19.149999999999999" customHeight="1" x14ac:dyDescent="0.25">
      <c r="A33" s="205" t="s">
        <v>180</v>
      </c>
      <c r="B33" s="218">
        <v>5.6619999999999999</v>
      </c>
      <c r="C33" s="218">
        <v>5.577</v>
      </c>
      <c r="D33" s="219">
        <v>8.5000000000000006E-2</v>
      </c>
      <c r="E33" s="235">
        <v>5.4429999999999996</v>
      </c>
      <c r="F33" s="234">
        <v>5.3529999999999998</v>
      </c>
      <c r="G33" s="219">
        <v>0.09</v>
      </c>
      <c r="H33" s="143">
        <v>5.601</v>
      </c>
      <c r="I33" s="144">
        <v>5.5270000000000001</v>
      </c>
      <c r="J33" s="219">
        <v>7.3999999999999996E-2</v>
      </c>
      <c r="K33" s="217"/>
      <c r="L33" s="144">
        <v>5.4649999999999999</v>
      </c>
      <c r="M33" s="144">
        <v>5.3849999999999998</v>
      </c>
      <c r="N33" s="219">
        <v>0.08</v>
      </c>
      <c r="O33" s="145">
        <v>5.38</v>
      </c>
      <c r="P33" s="145">
        <v>5.3120000000000003</v>
      </c>
      <c r="Q33" s="219">
        <v>6.8000000000000005E-2</v>
      </c>
      <c r="R33" s="217">
        <v>5.3209999999999997</v>
      </c>
      <c r="S33" s="218">
        <v>5.2380000000000004</v>
      </c>
      <c r="T33" s="219">
        <v>8.3000000000000004E-2</v>
      </c>
      <c r="U33" s="215" t="s">
        <v>181</v>
      </c>
      <c r="V33" s="154"/>
      <c r="W33" s="313"/>
      <c r="X33" s="313"/>
      <c r="Y33" s="313"/>
      <c r="Z33" s="315"/>
      <c r="AA33" s="315"/>
      <c r="AB33" s="315"/>
    </row>
    <row r="34" spans="1:28" ht="19.149999999999999" customHeight="1" x14ac:dyDescent="0.25">
      <c r="A34" s="205" t="s">
        <v>182</v>
      </c>
      <c r="B34" s="218" t="s">
        <v>57</v>
      </c>
      <c r="C34" s="218">
        <v>10.502000000000001</v>
      </c>
      <c r="D34" s="219" t="s">
        <v>57</v>
      </c>
      <c r="E34" s="233" t="s">
        <v>57</v>
      </c>
      <c r="F34" s="234">
        <v>10.457000000000001</v>
      </c>
      <c r="G34" s="219" t="s">
        <v>57</v>
      </c>
      <c r="H34" s="143" t="s">
        <v>57</v>
      </c>
      <c r="I34" s="144">
        <v>10.189</v>
      </c>
      <c r="J34" s="219" t="s">
        <v>57</v>
      </c>
      <c r="K34" s="217"/>
      <c r="L34" s="144" t="s">
        <v>57</v>
      </c>
      <c r="M34" s="144">
        <v>10.125</v>
      </c>
      <c r="N34" s="219" t="s">
        <v>57</v>
      </c>
      <c r="O34" s="145" t="s">
        <v>57</v>
      </c>
      <c r="P34" s="145">
        <v>9.9369999999999994</v>
      </c>
      <c r="Q34" s="219" t="s">
        <v>57</v>
      </c>
      <c r="R34" s="217" t="s">
        <v>57</v>
      </c>
      <c r="S34" s="218">
        <v>9.8510000000000009</v>
      </c>
      <c r="T34" s="219" t="s">
        <v>57</v>
      </c>
      <c r="U34" s="215" t="s">
        <v>183</v>
      </c>
      <c r="V34" s="154"/>
      <c r="W34" s="313"/>
      <c r="X34" s="313"/>
      <c r="Y34" s="313"/>
      <c r="Z34" s="315"/>
      <c r="AA34" s="315"/>
      <c r="AB34" s="315"/>
    </row>
    <row r="35" spans="1:28" ht="19.149999999999999" customHeight="1" x14ac:dyDescent="0.25">
      <c r="A35" s="205" t="s">
        <v>184</v>
      </c>
      <c r="B35" s="218" t="s">
        <v>57</v>
      </c>
      <c r="C35" s="218">
        <v>8.9390000000000001</v>
      </c>
      <c r="D35" s="219" t="s">
        <v>57</v>
      </c>
      <c r="E35" s="233" t="s">
        <v>57</v>
      </c>
      <c r="F35" s="234">
        <v>8.9719999999999995</v>
      </c>
      <c r="G35" s="219" t="s">
        <v>57</v>
      </c>
      <c r="H35" s="143" t="s">
        <v>57</v>
      </c>
      <c r="I35" s="144">
        <v>8.8889999999999993</v>
      </c>
      <c r="J35" s="219" t="s">
        <v>57</v>
      </c>
      <c r="K35" s="217"/>
      <c r="L35" s="144" t="s">
        <v>57</v>
      </c>
      <c r="M35" s="144">
        <v>8.7690000000000001</v>
      </c>
      <c r="N35" s="219" t="s">
        <v>57</v>
      </c>
      <c r="O35" s="145" t="s">
        <v>57</v>
      </c>
      <c r="P35" s="145">
        <v>8.6180000000000003</v>
      </c>
      <c r="Q35" s="219" t="s">
        <v>57</v>
      </c>
      <c r="R35" s="217" t="s">
        <v>57</v>
      </c>
      <c r="S35" s="218">
        <v>8.57</v>
      </c>
      <c r="T35" s="219" t="s">
        <v>57</v>
      </c>
      <c r="U35" s="215" t="s">
        <v>185</v>
      </c>
      <c r="V35" s="154"/>
      <c r="W35" s="313"/>
      <c r="X35" s="313"/>
      <c r="Y35" s="313"/>
      <c r="Z35" s="315"/>
      <c r="AA35" s="315"/>
      <c r="AB35" s="315"/>
    </row>
    <row r="36" spans="1:28" ht="19.149999999999999" customHeight="1" x14ac:dyDescent="0.25">
      <c r="A36" s="205" t="s">
        <v>186</v>
      </c>
      <c r="B36" s="218">
        <v>9.36</v>
      </c>
      <c r="C36" s="218">
        <v>8.8740000000000006</v>
      </c>
      <c r="D36" s="219">
        <v>0.48599999999999999</v>
      </c>
      <c r="E36" s="233">
        <v>9.83</v>
      </c>
      <c r="F36" s="234">
        <v>9.2829999999999995</v>
      </c>
      <c r="G36" s="219">
        <v>0.54700000000000004</v>
      </c>
      <c r="H36" s="143">
        <v>10.56</v>
      </c>
      <c r="I36" s="144">
        <v>10.07</v>
      </c>
      <c r="J36" s="219">
        <v>0.49</v>
      </c>
      <c r="K36" s="217"/>
      <c r="L36" s="144">
        <v>11.086</v>
      </c>
      <c r="M36" s="144">
        <v>10.53</v>
      </c>
      <c r="N36" s="219">
        <v>0.55600000000000005</v>
      </c>
      <c r="O36" s="145">
        <v>10.722</v>
      </c>
      <c r="P36" s="145">
        <v>10.23</v>
      </c>
      <c r="Q36" s="219">
        <v>0.49199999999999999</v>
      </c>
      <c r="R36" s="217">
        <v>10.471</v>
      </c>
      <c r="S36" s="218">
        <v>9.9600000000000009</v>
      </c>
      <c r="T36" s="219">
        <v>0.51100000000000001</v>
      </c>
      <c r="U36" s="215" t="s">
        <v>187</v>
      </c>
      <c r="V36" s="154"/>
      <c r="W36" s="313"/>
      <c r="X36" s="313"/>
      <c r="Y36" s="313"/>
      <c r="Z36" s="315"/>
      <c r="AA36" s="315"/>
      <c r="AB36" s="315"/>
    </row>
    <row r="37" spans="1:28" ht="19.149999999999999" customHeight="1" x14ac:dyDescent="0.25">
      <c r="A37" s="205" t="s">
        <v>188</v>
      </c>
      <c r="B37" s="218" t="s">
        <v>57</v>
      </c>
      <c r="C37" s="218">
        <v>6.45</v>
      </c>
      <c r="D37" s="219" t="s">
        <v>57</v>
      </c>
      <c r="E37" s="233" t="s">
        <v>57</v>
      </c>
      <c r="F37" s="234">
        <v>6.2830000000000004</v>
      </c>
      <c r="G37" s="219" t="s">
        <v>57</v>
      </c>
      <c r="H37" s="143" t="s">
        <v>57</v>
      </c>
      <c r="I37" s="144">
        <v>6.3650000000000002</v>
      </c>
      <c r="J37" s="219" t="s">
        <v>57</v>
      </c>
      <c r="K37" s="217"/>
      <c r="L37" s="144" t="s">
        <v>57</v>
      </c>
      <c r="M37" s="144">
        <v>6.5259999999999998</v>
      </c>
      <c r="N37" s="219" t="s">
        <v>57</v>
      </c>
      <c r="O37" s="145" t="s">
        <v>57</v>
      </c>
      <c r="P37" s="145">
        <v>6.5369999999999999</v>
      </c>
      <c r="Q37" s="219" t="s">
        <v>57</v>
      </c>
      <c r="R37" s="217" t="s">
        <v>57</v>
      </c>
      <c r="S37" s="218">
        <v>6.2510000000000003</v>
      </c>
      <c r="T37" s="219" t="s">
        <v>57</v>
      </c>
      <c r="U37" s="215" t="s">
        <v>189</v>
      </c>
      <c r="V37" s="154"/>
      <c r="W37" s="313"/>
      <c r="X37" s="313"/>
      <c r="Y37" s="313"/>
      <c r="Z37" s="315"/>
      <c r="AA37" s="315"/>
      <c r="AB37" s="315"/>
    </row>
    <row r="38" spans="1:28" ht="19.149999999999999" customHeight="1" x14ac:dyDescent="0.25">
      <c r="A38" s="205" t="s">
        <v>190</v>
      </c>
      <c r="B38" s="218" t="s">
        <v>57</v>
      </c>
      <c r="C38" s="218">
        <v>9.3949999999999996</v>
      </c>
      <c r="D38" s="219" t="s">
        <v>57</v>
      </c>
      <c r="E38" s="233" t="s">
        <v>57</v>
      </c>
      <c r="F38" s="234">
        <v>9.3360000000000003</v>
      </c>
      <c r="G38" s="219" t="s">
        <v>57</v>
      </c>
      <c r="H38" s="143" t="s">
        <v>57</v>
      </c>
      <c r="I38" s="144">
        <v>9.3330000000000002</v>
      </c>
      <c r="J38" s="219" t="s">
        <v>57</v>
      </c>
      <c r="K38" s="217"/>
      <c r="L38" s="144">
        <v>10.315</v>
      </c>
      <c r="M38" s="144">
        <v>9.4</v>
      </c>
      <c r="N38" s="219">
        <v>0.91500000000000004</v>
      </c>
      <c r="O38" s="145">
        <v>10.276999999999999</v>
      </c>
      <c r="P38" s="145">
        <v>9.327</v>
      </c>
      <c r="Q38" s="219">
        <v>0.95</v>
      </c>
      <c r="R38" s="217">
        <v>10.455</v>
      </c>
      <c r="S38" s="218">
        <v>9.4209999999999994</v>
      </c>
      <c r="T38" s="219">
        <v>1.034</v>
      </c>
      <c r="U38" s="215" t="s">
        <v>191</v>
      </c>
      <c r="V38" s="154"/>
      <c r="W38" s="313"/>
      <c r="X38" s="313"/>
      <c r="Y38" s="313"/>
      <c r="Z38" s="315"/>
      <c r="AA38" s="315"/>
      <c r="AB38" s="315"/>
    </row>
    <row r="39" spans="1:28" ht="19.149999999999999" customHeight="1" x14ac:dyDescent="0.25">
      <c r="A39" s="205" t="s">
        <v>498</v>
      </c>
      <c r="B39" s="234" t="s">
        <v>57</v>
      </c>
      <c r="C39" s="234">
        <v>3.6822533599999998</v>
      </c>
      <c r="D39" s="146" t="s">
        <v>57</v>
      </c>
      <c r="E39" s="233" t="s">
        <v>57</v>
      </c>
      <c r="F39" s="234">
        <v>3.8713259799999991</v>
      </c>
      <c r="G39" s="146" t="s">
        <v>57</v>
      </c>
      <c r="H39" s="143" t="s">
        <v>57</v>
      </c>
      <c r="I39" s="144">
        <v>4.1806141600000002</v>
      </c>
      <c r="J39" s="146" t="s">
        <v>57</v>
      </c>
      <c r="K39" s="233"/>
      <c r="L39" s="144" t="s">
        <v>57</v>
      </c>
      <c r="M39" s="144">
        <v>4.3798950299999984</v>
      </c>
      <c r="N39" s="146" t="s">
        <v>57</v>
      </c>
      <c r="O39" s="145" t="s">
        <v>57</v>
      </c>
      <c r="P39" s="145">
        <v>4.359784040000001</v>
      </c>
      <c r="Q39" s="146" t="s">
        <v>57</v>
      </c>
      <c r="R39" s="233" t="s">
        <v>57</v>
      </c>
      <c r="S39" s="234">
        <v>4.0727574700000009</v>
      </c>
      <c r="T39" s="146" t="s">
        <v>57</v>
      </c>
      <c r="U39" s="215" t="s">
        <v>499</v>
      </c>
      <c r="W39" s="321"/>
      <c r="X39" s="321"/>
      <c r="Y39" s="321"/>
    </row>
    <row r="40" spans="1:28" ht="19.149999999999999" customHeight="1" x14ac:dyDescent="0.25">
      <c r="A40" s="205" t="s">
        <v>192</v>
      </c>
      <c r="B40" s="218">
        <v>7.7350000000000003</v>
      </c>
      <c r="C40" s="218">
        <v>7.48</v>
      </c>
      <c r="D40" s="219">
        <v>0.255</v>
      </c>
      <c r="E40" s="233" t="s">
        <v>57</v>
      </c>
      <c r="F40" s="234">
        <v>6.8650000000000002</v>
      </c>
      <c r="G40" s="219" t="s">
        <v>57</v>
      </c>
      <c r="H40" s="143" t="s">
        <v>57</v>
      </c>
      <c r="I40" s="144">
        <v>6.7409999999999997</v>
      </c>
      <c r="J40" s="219" t="s">
        <v>57</v>
      </c>
      <c r="K40" s="217"/>
      <c r="L40" s="144" t="s">
        <v>57</v>
      </c>
      <c r="M40" s="144">
        <v>6.9420000000000002</v>
      </c>
      <c r="N40" s="219" t="s">
        <v>57</v>
      </c>
      <c r="O40" s="145" t="s">
        <v>57</v>
      </c>
      <c r="P40" s="145">
        <v>6.734</v>
      </c>
      <c r="Q40" s="219" t="s">
        <v>57</v>
      </c>
      <c r="R40" s="217" t="s">
        <v>57</v>
      </c>
      <c r="S40" s="218">
        <v>6.6369999999999996</v>
      </c>
      <c r="T40" s="219" t="s">
        <v>57</v>
      </c>
      <c r="U40" s="215" t="s">
        <v>193</v>
      </c>
      <c r="V40" s="154"/>
      <c r="W40" s="313"/>
      <c r="X40" s="313"/>
      <c r="Y40" s="313"/>
      <c r="Z40" s="315"/>
      <c r="AA40" s="315"/>
      <c r="AB40" s="315"/>
    </row>
    <row r="41" spans="1:28" ht="19.149999999999999" customHeight="1" x14ac:dyDescent="0.25">
      <c r="A41" s="205" t="s">
        <v>194</v>
      </c>
      <c r="B41" s="218">
        <v>9.2089999999999996</v>
      </c>
      <c r="C41" s="218">
        <v>8.84</v>
      </c>
      <c r="D41" s="219">
        <v>0.36899999999999999</v>
      </c>
      <c r="E41" s="235" t="s">
        <v>57</v>
      </c>
      <c r="F41" s="139">
        <v>8.5850000000000009</v>
      </c>
      <c r="G41" s="219" t="s">
        <v>57</v>
      </c>
      <c r="H41" s="143" t="s">
        <v>57</v>
      </c>
      <c r="I41" s="144">
        <v>8.5969999999999995</v>
      </c>
      <c r="J41" s="219" t="s">
        <v>57</v>
      </c>
      <c r="K41" s="217"/>
      <c r="L41" s="144" t="s">
        <v>57</v>
      </c>
      <c r="M41" s="144">
        <v>8.5690000000000008</v>
      </c>
      <c r="N41" s="219" t="s">
        <v>57</v>
      </c>
      <c r="O41" s="145">
        <v>8.6769999999999996</v>
      </c>
      <c r="P41" s="145">
        <v>8.2590000000000003</v>
      </c>
      <c r="Q41" s="219">
        <v>0.41799999999999998</v>
      </c>
      <c r="R41" s="217" t="s">
        <v>57</v>
      </c>
      <c r="S41" s="218">
        <v>8.3520000000000003</v>
      </c>
      <c r="T41" s="219" t="s">
        <v>57</v>
      </c>
      <c r="U41" s="215" t="s">
        <v>195</v>
      </c>
      <c r="V41" s="154"/>
      <c r="W41" s="313"/>
      <c r="X41" s="313"/>
      <c r="Y41" s="313"/>
      <c r="Z41" s="315"/>
      <c r="AA41" s="315"/>
      <c r="AB41" s="315"/>
    </row>
    <row r="42" spans="1:28" ht="19.149999999999999" customHeight="1" x14ac:dyDescent="0.25">
      <c r="A42" s="205" t="s">
        <v>196</v>
      </c>
      <c r="B42" s="218">
        <v>9.2479999999999993</v>
      </c>
      <c r="C42" s="218">
        <v>9.1370000000000005</v>
      </c>
      <c r="D42" s="219">
        <v>0.111</v>
      </c>
      <c r="E42" s="233">
        <v>9.2639999999999993</v>
      </c>
      <c r="F42" s="234">
        <v>9.1509999999999998</v>
      </c>
      <c r="G42" s="219">
        <v>0.113</v>
      </c>
      <c r="H42" s="143">
        <v>9.3010000000000002</v>
      </c>
      <c r="I42" s="144">
        <v>9.1760000000000002</v>
      </c>
      <c r="J42" s="219">
        <v>0.125</v>
      </c>
      <c r="K42" s="217"/>
      <c r="L42" s="144">
        <v>9.1349999999999998</v>
      </c>
      <c r="M42" s="144">
        <v>9.0129999999999999</v>
      </c>
      <c r="N42" s="219">
        <v>0.122</v>
      </c>
      <c r="O42" s="145">
        <v>9.1460000000000008</v>
      </c>
      <c r="P42" s="145">
        <v>9.0220000000000002</v>
      </c>
      <c r="Q42" s="219">
        <v>0.124</v>
      </c>
      <c r="R42" s="217">
        <v>9.2159999999999993</v>
      </c>
      <c r="S42" s="218">
        <v>9.0709999999999997</v>
      </c>
      <c r="T42" s="219">
        <v>0.14499999999999999</v>
      </c>
      <c r="U42" s="215" t="s">
        <v>197</v>
      </c>
      <c r="V42" s="154"/>
      <c r="W42" s="313"/>
      <c r="X42" s="313"/>
      <c r="Y42" s="313"/>
      <c r="Z42" s="315"/>
      <c r="AA42" s="315"/>
      <c r="AB42" s="315"/>
    </row>
    <row r="43" spans="1:28" ht="19.149999999999999" customHeight="1" x14ac:dyDescent="0.25">
      <c r="A43" s="205" t="s">
        <v>198</v>
      </c>
      <c r="B43" s="218">
        <v>11.566000000000001</v>
      </c>
      <c r="C43" s="218">
        <v>10.987</v>
      </c>
      <c r="D43" s="219">
        <v>0.57899999999999996</v>
      </c>
      <c r="E43" s="233">
        <v>11.664999999999999</v>
      </c>
      <c r="F43" s="234">
        <v>11.071999999999999</v>
      </c>
      <c r="G43" s="219">
        <v>0.59299999999999997</v>
      </c>
      <c r="H43" s="143">
        <v>11.553000000000001</v>
      </c>
      <c r="I43" s="144">
        <v>10.933</v>
      </c>
      <c r="J43" s="219">
        <v>0.62</v>
      </c>
      <c r="K43" s="217"/>
      <c r="L43" s="144">
        <v>11.548</v>
      </c>
      <c r="M43" s="144">
        <v>10.981999999999999</v>
      </c>
      <c r="N43" s="219">
        <v>0.56599999999999995</v>
      </c>
      <c r="O43" s="145">
        <v>11.534000000000001</v>
      </c>
      <c r="P43" s="145">
        <v>10.965999999999999</v>
      </c>
      <c r="Q43" s="219">
        <v>0.56799999999999995</v>
      </c>
      <c r="R43" s="217">
        <v>11.757</v>
      </c>
      <c r="S43" s="218">
        <v>11.125</v>
      </c>
      <c r="T43" s="219">
        <v>0.63200000000000001</v>
      </c>
      <c r="U43" s="215" t="s">
        <v>199</v>
      </c>
      <c r="V43" s="154"/>
      <c r="W43" s="313"/>
      <c r="X43" s="313"/>
      <c r="Y43" s="313"/>
      <c r="Z43" s="315"/>
      <c r="AA43" s="315"/>
      <c r="AB43" s="315"/>
    </row>
    <row r="44" spans="1:28" ht="19.149999999999999" customHeight="1" x14ac:dyDescent="0.25">
      <c r="A44" s="205" t="s">
        <v>200</v>
      </c>
      <c r="B44" s="218" t="s">
        <v>57</v>
      </c>
      <c r="C44" s="218">
        <v>10.593999999999999</v>
      </c>
      <c r="D44" s="219" t="s">
        <v>57</v>
      </c>
      <c r="E44" s="233" t="s">
        <v>57</v>
      </c>
      <c r="F44" s="234">
        <v>10.675000000000001</v>
      </c>
      <c r="G44" s="219" t="s">
        <v>57</v>
      </c>
      <c r="H44" s="143" t="s">
        <v>57</v>
      </c>
      <c r="I44" s="144">
        <v>10.98</v>
      </c>
      <c r="J44" s="219" t="s">
        <v>57</v>
      </c>
      <c r="K44" s="217"/>
      <c r="L44" s="144" t="s">
        <v>57</v>
      </c>
      <c r="M44" s="144">
        <v>11.202</v>
      </c>
      <c r="N44" s="219" t="s">
        <v>57</v>
      </c>
      <c r="O44" s="145" t="s">
        <v>57</v>
      </c>
      <c r="P44" s="145">
        <v>11.375</v>
      </c>
      <c r="Q44" s="219" t="s">
        <v>57</v>
      </c>
      <c r="R44" s="217" t="s">
        <v>57</v>
      </c>
      <c r="S44" s="218">
        <v>11.157999999999999</v>
      </c>
      <c r="T44" s="219" t="s">
        <v>57</v>
      </c>
      <c r="U44" s="215" t="s">
        <v>201</v>
      </c>
      <c r="V44" s="154"/>
      <c r="W44" s="313"/>
      <c r="X44" s="313"/>
      <c r="Y44" s="313"/>
      <c r="Z44" s="315"/>
      <c r="AA44" s="315"/>
      <c r="AB44" s="315"/>
    </row>
    <row r="45" spans="1:28" ht="19.149999999999999" customHeight="1" x14ac:dyDescent="0.25">
      <c r="A45" s="205" t="s">
        <v>202</v>
      </c>
      <c r="B45" s="218" t="s">
        <v>57</v>
      </c>
      <c r="C45" s="218">
        <v>4.3710000000000004</v>
      </c>
      <c r="D45" s="219" t="s">
        <v>57</v>
      </c>
      <c r="E45" s="233" t="s">
        <v>57</v>
      </c>
      <c r="F45" s="234">
        <v>4.3250000000000002</v>
      </c>
      <c r="G45" s="219" t="s">
        <v>57</v>
      </c>
      <c r="H45" s="143" t="s">
        <v>57</v>
      </c>
      <c r="I45" s="144">
        <v>4.117</v>
      </c>
      <c r="J45" s="219" t="s">
        <v>57</v>
      </c>
      <c r="K45" s="217"/>
      <c r="L45" s="144">
        <v>4.5590000000000002</v>
      </c>
      <c r="M45" s="144">
        <v>4.2850000000000001</v>
      </c>
      <c r="N45" s="219">
        <v>0.27400000000000002</v>
      </c>
      <c r="O45" s="145">
        <v>4.4880000000000004</v>
      </c>
      <c r="P45" s="145">
        <v>4.18</v>
      </c>
      <c r="Q45" s="219">
        <v>0.308</v>
      </c>
      <c r="R45" s="217" t="s">
        <v>57</v>
      </c>
      <c r="S45" s="218">
        <v>4.1210000000000004</v>
      </c>
      <c r="T45" s="219" t="s">
        <v>57</v>
      </c>
      <c r="U45" s="215" t="s">
        <v>401</v>
      </c>
      <c r="V45" s="154"/>
      <c r="W45" s="313"/>
      <c r="X45" s="313"/>
      <c r="Y45" s="313"/>
      <c r="Z45" s="315"/>
      <c r="AA45" s="315"/>
      <c r="AB45" s="315"/>
    </row>
    <row r="46" spans="1:28" ht="19.149999999999999" customHeight="1" x14ac:dyDescent="0.25">
      <c r="A46" s="205" t="s">
        <v>203</v>
      </c>
      <c r="B46" s="218">
        <v>10.244999999999999</v>
      </c>
      <c r="C46" s="218">
        <v>9.9909999999999997</v>
      </c>
      <c r="D46" s="219">
        <v>0.254</v>
      </c>
      <c r="E46" s="233">
        <v>10.254</v>
      </c>
      <c r="F46" s="234">
        <v>9.9770000000000003</v>
      </c>
      <c r="G46" s="219">
        <v>0.27700000000000002</v>
      </c>
      <c r="H46" s="143">
        <v>10.243</v>
      </c>
      <c r="I46" s="144">
        <v>9.94</v>
      </c>
      <c r="J46" s="219">
        <v>0.30299999999999999</v>
      </c>
      <c r="K46" s="217"/>
      <c r="L46" s="144">
        <v>10.153</v>
      </c>
      <c r="M46" s="144">
        <v>9.8710000000000004</v>
      </c>
      <c r="N46" s="219">
        <v>0.28199999999999997</v>
      </c>
      <c r="O46" s="145">
        <v>10.021000000000001</v>
      </c>
      <c r="P46" s="145">
        <v>9.7050000000000001</v>
      </c>
      <c r="Q46" s="219">
        <v>0.316</v>
      </c>
      <c r="R46" s="217">
        <v>10.130000000000001</v>
      </c>
      <c r="S46" s="218">
        <v>9.7949999999999999</v>
      </c>
      <c r="T46" s="219">
        <v>0.33500000000000002</v>
      </c>
      <c r="U46" s="215" t="s">
        <v>204</v>
      </c>
      <c r="V46" s="154"/>
      <c r="W46" s="313"/>
      <c r="X46" s="313"/>
      <c r="Y46" s="313"/>
      <c r="Z46" s="315"/>
      <c r="AA46" s="315"/>
      <c r="AB46" s="315"/>
    </row>
    <row r="47" spans="1:28" s="49" customFormat="1" ht="19.149999999999999" customHeight="1" x14ac:dyDescent="0.25">
      <c r="A47" s="206" t="s">
        <v>205</v>
      </c>
      <c r="B47" s="221">
        <v>16.641999999999999</v>
      </c>
      <c r="C47" s="221">
        <v>15.952</v>
      </c>
      <c r="D47" s="219">
        <v>0.69</v>
      </c>
      <c r="E47" s="236">
        <v>16.788</v>
      </c>
      <c r="F47" s="140">
        <v>16.141999999999999</v>
      </c>
      <c r="G47" s="219">
        <v>0.64600000000000002</v>
      </c>
      <c r="H47" s="148">
        <v>17.048999999999999</v>
      </c>
      <c r="I47" s="149">
        <v>16.402000000000001</v>
      </c>
      <c r="J47" s="219">
        <v>0.64700000000000002</v>
      </c>
      <c r="K47" s="217"/>
      <c r="L47" s="149">
        <v>17.338000000000001</v>
      </c>
      <c r="M47" s="149">
        <v>16.692</v>
      </c>
      <c r="N47" s="219">
        <v>0.64600000000000002</v>
      </c>
      <c r="O47" s="149">
        <v>17.312999999999999</v>
      </c>
      <c r="P47" s="149">
        <v>16.638000000000002</v>
      </c>
      <c r="Q47" s="219">
        <v>0.67500000000000004</v>
      </c>
      <c r="R47" s="220">
        <v>17.186</v>
      </c>
      <c r="S47" s="221">
        <v>16.513000000000002</v>
      </c>
      <c r="T47" s="219">
        <v>0.67300000000000004</v>
      </c>
      <c r="U47" s="216" t="s">
        <v>206</v>
      </c>
      <c r="V47" s="155"/>
      <c r="W47" s="316"/>
      <c r="X47" s="316"/>
      <c r="Y47" s="313"/>
      <c r="Z47" s="315"/>
      <c r="AA47" s="315"/>
      <c r="AB47" s="315"/>
    </row>
    <row r="48" spans="1:28" s="227" customFormat="1" ht="14.1" customHeight="1" x14ac:dyDescent="0.2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</row>
  </sheetData>
  <mergeCells count="30">
    <mergeCell ref="A48:J48"/>
    <mergeCell ref="L48:U48"/>
    <mergeCell ref="L5:L6"/>
    <mergeCell ref="M5:N5"/>
    <mergeCell ref="O5:O6"/>
    <mergeCell ref="P5:Q5"/>
    <mergeCell ref="R5:R6"/>
    <mergeCell ref="S5:T5"/>
    <mergeCell ref="B5:B6"/>
    <mergeCell ref="C5:D5"/>
    <mergeCell ref="E5:E6"/>
    <mergeCell ref="F5:G5"/>
    <mergeCell ref="H5:H6"/>
    <mergeCell ref="I5:J5"/>
    <mergeCell ref="R4:T4"/>
    <mergeCell ref="A1:J1"/>
    <mergeCell ref="L1:U1"/>
    <mergeCell ref="A3:A7"/>
    <mergeCell ref="B3:D3"/>
    <mergeCell ref="E3:G3"/>
    <mergeCell ref="H3:J3"/>
    <mergeCell ref="L3:N3"/>
    <mergeCell ref="O3:Q3"/>
    <mergeCell ref="R3:T3"/>
    <mergeCell ref="U3:U7"/>
    <mergeCell ref="B4:D4"/>
    <mergeCell ref="E4:G4"/>
    <mergeCell ref="H4:J4"/>
    <mergeCell ref="L4:N4"/>
    <mergeCell ref="O4:Q4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0" firstPageNumber="138" fitToWidth="2" orientation="portrait" r:id="rId1"/>
  <headerFooter alignWithMargins="0"/>
  <colBreaks count="1" manualBreakCount="1">
    <brk id="11" max="48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/>
  </sheetPr>
  <dimension ref="A1:AB48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R8" sqref="R8"/>
    </sheetView>
  </sheetViews>
  <sheetFormatPr defaultColWidth="9" defaultRowHeight="15.75" x14ac:dyDescent="0.25"/>
  <cols>
    <col min="1" max="1" width="12" style="21" customWidth="1"/>
    <col min="2" max="10" width="11.125" style="21" customWidth="1"/>
    <col min="11" max="11" width="0.625" style="21" customWidth="1"/>
    <col min="12" max="20" width="11.125" style="21" customWidth="1"/>
    <col min="21" max="21" width="11.875" style="21" customWidth="1"/>
    <col min="22" max="25" width="9" style="21"/>
    <col min="26" max="26" width="10.75" style="21" bestFit="1" customWidth="1"/>
    <col min="27" max="27" width="9.125" style="21" bestFit="1" customWidth="1"/>
    <col min="28" max="28" width="10.625" style="21" bestFit="1" customWidth="1"/>
    <col min="29" max="16384" width="9" style="21"/>
  </cols>
  <sheetData>
    <row r="1" spans="1:28" s="48" customFormat="1" ht="23.45" customHeight="1" x14ac:dyDescent="0.25">
      <c r="A1" s="720" t="s">
        <v>658</v>
      </c>
      <c r="B1" s="720"/>
      <c r="C1" s="720"/>
      <c r="D1" s="720"/>
      <c r="E1" s="720"/>
      <c r="F1" s="720"/>
      <c r="G1" s="720"/>
      <c r="H1" s="720"/>
      <c r="I1" s="720"/>
      <c r="J1" s="720"/>
      <c r="K1" s="576"/>
      <c r="L1" s="748" t="s">
        <v>555</v>
      </c>
      <c r="M1" s="748"/>
      <c r="N1" s="748"/>
      <c r="O1" s="748"/>
      <c r="P1" s="748"/>
      <c r="Q1" s="748"/>
      <c r="R1" s="748"/>
      <c r="S1" s="748"/>
      <c r="T1" s="748"/>
      <c r="U1" s="748"/>
    </row>
    <row r="2" spans="1:28" s="49" customFormat="1" ht="14.45" customHeight="1" x14ac:dyDescent="0.25">
      <c r="A2" s="577" t="s">
        <v>208</v>
      </c>
      <c r="B2" s="583"/>
      <c r="C2" s="583"/>
      <c r="D2" s="583"/>
      <c r="E2" s="583"/>
      <c r="F2" s="583"/>
      <c r="G2" s="583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84"/>
      <c r="U2" s="584" t="s">
        <v>209</v>
      </c>
    </row>
    <row r="3" spans="1:28" x14ac:dyDescent="0.25">
      <c r="A3" s="723" t="s">
        <v>469</v>
      </c>
      <c r="B3" s="729" t="s">
        <v>492</v>
      </c>
      <c r="C3" s="729"/>
      <c r="D3" s="729"/>
      <c r="E3" s="729" t="s">
        <v>493</v>
      </c>
      <c r="F3" s="729"/>
      <c r="G3" s="729"/>
      <c r="H3" s="729" t="s">
        <v>494</v>
      </c>
      <c r="I3" s="729"/>
      <c r="J3" s="729"/>
      <c r="K3" s="578"/>
      <c r="L3" s="728" t="s">
        <v>495</v>
      </c>
      <c r="M3" s="729"/>
      <c r="N3" s="729"/>
      <c r="O3" s="729" t="s">
        <v>549</v>
      </c>
      <c r="P3" s="729"/>
      <c r="Q3" s="729"/>
      <c r="R3" s="729" t="s">
        <v>578</v>
      </c>
      <c r="S3" s="729"/>
      <c r="T3" s="729"/>
      <c r="U3" s="735" t="s">
        <v>470</v>
      </c>
    </row>
    <row r="4" spans="1:28" ht="14.45" customHeight="1" x14ac:dyDescent="0.25">
      <c r="A4" s="724"/>
      <c r="B4" s="747">
        <v>2019</v>
      </c>
      <c r="C4" s="747"/>
      <c r="D4" s="747"/>
      <c r="E4" s="747">
        <v>2020</v>
      </c>
      <c r="F4" s="747"/>
      <c r="G4" s="747"/>
      <c r="H4" s="747">
        <v>2021</v>
      </c>
      <c r="I4" s="747"/>
      <c r="J4" s="747"/>
      <c r="K4" s="578"/>
      <c r="L4" s="732">
        <v>2022</v>
      </c>
      <c r="M4" s="747"/>
      <c r="N4" s="747"/>
      <c r="O4" s="747">
        <v>2023</v>
      </c>
      <c r="P4" s="747"/>
      <c r="Q4" s="747"/>
      <c r="R4" s="747">
        <v>2024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33" t="s">
        <v>486</v>
      </c>
      <c r="F5" s="740"/>
      <c r="G5" s="741"/>
      <c r="H5" s="733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1.9" customHeight="1" x14ac:dyDescent="0.25">
      <c r="A6" s="724"/>
      <c r="B6" s="734"/>
      <c r="C6" s="329" t="s">
        <v>467</v>
      </c>
      <c r="D6" s="329" t="s">
        <v>468</v>
      </c>
      <c r="E6" s="734"/>
      <c r="F6" s="329" t="s">
        <v>467</v>
      </c>
      <c r="G6" s="329" t="s">
        <v>468</v>
      </c>
      <c r="H6" s="734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7" customHeight="1" x14ac:dyDescent="0.25">
      <c r="A7" s="725"/>
      <c r="B7" s="141" t="s">
        <v>430</v>
      </c>
      <c r="C7" s="260" t="s">
        <v>431</v>
      </c>
      <c r="D7" s="260" t="s">
        <v>432</v>
      </c>
      <c r="E7" s="142" t="s">
        <v>430</v>
      </c>
      <c r="F7" s="260" t="s">
        <v>431</v>
      </c>
      <c r="G7" s="260" t="s">
        <v>432</v>
      </c>
      <c r="H7" s="141" t="s">
        <v>430</v>
      </c>
      <c r="I7" s="260" t="s">
        <v>431</v>
      </c>
      <c r="J7" s="260" t="s">
        <v>548</v>
      </c>
      <c r="K7" s="293"/>
      <c r="L7" s="142" t="s">
        <v>430</v>
      </c>
      <c r="M7" s="260" t="s">
        <v>431</v>
      </c>
      <c r="N7" s="260" t="s">
        <v>548</v>
      </c>
      <c r="O7" s="141" t="s">
        <v>430</v>
      </c>
      <c r="P7" s="260" t="s">
        <v>431</v>
      </c>
      <c r="Q7" s="260" t="s">
        <v>548</v>
      </c>
      <c r="R7" s="142" t="s">
        <v>430</v>
      </c>
      <c r="S7" s="260" t="s">
        <v>431</v>
      </c>
      <c r="T7" s="585" t="s">
        <v>548</v>
      </c>
      <c r="U7" s="737"/>
    </row>
    <row r="8" spans="1:28" ht="19.149999999999999" customHeight="1" x14ac:dyDescent="0.25">
      <c r="A8" s="204" t="s">
        <v>136</v>
      </c>
      <c r="B8" s="218">
        <v>7.49</v>
      </c>
      <c r="C8" s="218">
        <v>7.01</v>
      </c>
      <c r="D8" s="138">
        <v>0.48</v>
      </c>
      <c r="E8" s="233">
        <v>7.68</v>
      </c>
      <c r="F8" s="234">
        <v>7.16</v>
      </c>
      <c r="G8" s="213">
        <v>0.52</v>
      </c>
      <c r="H8" s="143">
        <v>7.59</v>
      </c>
      <c r="I8" s="144">
        <v>7.11</v>
      </c>
      <c r="J8" s="213">
        <v>0.48</v>
      </c>
      <c r="K8" s="233"/>
      <c r="L8" s="144">
        <v>7.76</v>
      </c>
      <c r="M8" s="144">
        <v>7.31</v>
      </c>
      <c r="N8" s="213">
        <v>0.45</v>
      </c>
      <c r="O8" s="145">
        <v>7.78</v>
      </c>
      <c r="P8" s="145">
        <v>7.25</v>
      </c>
      <c r="Q8" s="213">
        <v>0.53</v>
      </c>
      <c r="R8" s="145">
        <v>7.34</v>
      </c>
      <c r="S8" s="145">
        <v>6.85</v>
      </c>
      <c r="T8" s="138">
        <v>0.49</v>
      </c>
      <c r="U8" s="215" t="s">
        <v>137</v>
      </c>
    </row>
    <row r="9" spans="1:28" ht="19.149999999999999" customHeight="1" x14ac:dyDescent="0.25">
      <c r="A9" s="205" t="s">
        <v>138</v>
      </c>
      <c r="B9" s="218">
        <v>10.817</v>
      </c>
      <c r="C9" s="218">
        <v>10.254</v>
      </c>
      <c r="D9" s="219">
        <v>0.56299999999999994</v>
      </c>
      <c r="E9" s="233">
        <v>11.266</v>
      </c>
      <c r="F9" s="234">
        <v>10.702999999999999</v>
      </c>
      <c r="G9" s="219">
        <v>0.56299999999999994</v>
      </c>
      <c r="H9" s="143">
        <v>11.019</v>
      </c>
      <c r="I9" s="144">
        <v>10.516</v>
      </c>
      <c r="J9" s="219">
        <v>0.503</v>
      </c>
      <c r="K9" s="217"/>
      <c r="L9" s="144">
        <v>10.47</v>
      </c>
      <c r="M9" s="144">
        <v>9.8919999999999995</v>
      </c>
      <c r="N9" s="219">
        <v>0.57799999999999996</v>
      </c>
      <c r="O9" s="145" t="s">
        <v>57</v>
      </c>
      <c r="P9" s="145">
        <v>9.8840000000000003</v>
      </c>
      <c r="Q9" s="219" t="s">
        <v>57</v>
      </c>
      <c r="R9" s="145" t="s">
        <v>57</v>
      </c>
      <c r="S9" s="145">
        <v>10.346</v>
      </c>
      <c r="T9" s="138" t="s">
        <v>57</v>
      </c>
      <c r="U9" s="215" t="s">
        <v>139</v>
      </c>
      <c r="V9" s="154"/>
      <c r="Z9" s="154"/>
      <c r="AA9" s="154"/>
      <c r="AB9" s="154"/>
    </row>
    <row r="10" spans="1:28" ht="19.149999999999999" customHeight="1" x14ac:dyDescent="0.25">
      <c r="A10" s="205" t="s">
        <v>140</v>
      </c>
      <c r="B10" s="218">
        <v>11.128</v>
      </c>
      <c r="C10" s="218">
        <v>10.625</v>
      </c>
      <c r="D10" s="219">
        <v>0.503</v>
      </c>
      <c r="E10" s="233">
        <v>11.948</v>
      </c>
      <c r="F10" s="234">
        <v>11.413</v>
      </c>
      <c r="G10" s="219">
        <v>0.53500000000000003</v>
      </c>
      <c r="H10" s="143">
        <v>12.708</v>
      </c>
      <c r="I10" s="144">
        <v>12.185</v>
      </c>
      <c r="J10" s="219">
        <v>0.52300000000000002</v>
      </c>
      <c r="K10" s="217"/>
      <c r="L10" s="144">
        <v>11.696999999999999</v>
      </c>
      <c r="M10" s="144">
        <v>11.225</v>
      </c>
      <c r="N10" s="219">
        <v>0.47199999999999998</v>
      </c>
      <c r="O10" s="145">
        <v>11.663</v>
      </c>
      <c r="P10" s="145">
        <v>11.153</v>
      </c>
      <c r="Q10" s="219">
        <v>0.51</v>
      </c>
      <c r="R10" s="145">
        <v>12.269</v>
      </c>
      <c r="S10" s="145">
        <v>11.776999999999999</v>
      </c>
      <c r="T10" s="219">
        <v>0.49199999999999999</v>
      </c>
      <c r="U10" s="215" t="s">
        <v>141</v>
      </c>
      <c r="V10" s="154"/>
      <c r="Z10" s="154"/>
      <c r="AA10" s="154"/>
      <c r="AB10" s="154"/>
    </row>
    <row r="11" spans="1:28" ht="19.149999999999999" customHeight="1" x14ac:dyDescent="0.25">
      <c r="A11" s="205" t="s">
        <v>142</v>
      </c>
      <c r="B11" s="218" t="s">
        <v>57</v>
      </c>
      <c r="C11" s="218">
        <v>10.858000000000001</v>
      </c>
      <c r="D11" s="219" t="s">
        <v>57</v>
      </c>
      <c r="E11" s="233" t="s">
        <v>57</v>
      </c>
      <c r="F11" s="234">
        <v>11.462999999999999</v>
      </c>
      <c r="G11" s="219" t="s">
        <v>57</v>
      </c>
      <c r="H11" s="143" t="s">
        <v>57</v>
      </c>
      <c r="I11" s="144">
        <v>11.288</v>
      </c>
      <c r="J11" s="219" t="s">
        <v>57</v>
      </c>
      <c r="K11" s="217"/>
      <c r="L11" s="144" t="s">
        <v>57</v>
      </c>
      <c r="M11" s="144">
        <v>10.74</v>
      </c>
      <c r="N11" s="219" t="s">
        <v>57</v>
      </c>
      <c r="O11" s="145" t="s">
        <v>57</v>
      </c>
      <c r="P11" s="145">
        <v>10.804</v>
      </c>
      <c r="Q11" s="219" t="s">
        <v>57</v>
      </c>
      <c r="R11" s="145" t="s">
        <v>57</v>
      </c>
      <c r="S11" s="145">
        <v>10.968999999999999</v>
      </c>
      <c r="T11" s="138" t="s">
        <v>57</v>
      </c>
      <c r="U11" s="215" t="s">
        <v>143</v>
      </c>
      <c r="V11" s="154"/>
      <c r="Z11" s="154"/>
      <c r="AA11" s="154"/>
      <c r="AB11" s="154"/>
    </row>
    <row r="12" spans="1:28" ht="19.149999999999999" customHeight="1" x14ac:dyDescent="0.25">
      <c r="A12" s="205" t="s">
        <v>144</v>
      </c>
      <c r="B12" s="218">
        <v>11.436</v>
      </c>
      <c r="C12" s="218">
        <v>11.048</v>
      </c>
      <c r="D12" s="219">
        <v>0.38800000000000001</v>
      </c>
      <c r="E12" s="233">
        <v>13.496</v>
      </c>
      <c r="F12" s="234">
        <v>13.016999999999999</v>
      </c>
      <c r="G12" s="219">
        <v>0.47899999999999998</v>
      </c>
      <c r="H12" s="143">
        <v>12.815</v>
      </c>
      <c r="I12" s="144">
        <v>12.381</v>
      </c>
      <c r="J12" s="219">
        <v>0.434</v>
      </c>
      <c r="K12" s="217"/>
      <c r="L12" s="144">
        <v>11.535</v>
      </c>
      <c r="M12" s="144">
        <v>11.081</v>
      </c>
      <c r="N12" s="219">
        <v>0.45400000000000001</v>
      </c>
      <c r="O12" s="145">
        <v>11.686</v>
      </c>
      <c r="P12" s="145">
        <v>11.186999999999999</v>
      </c>
      <c r="Q12" s="219">
        <v>0.499</v>
      </c>
      <c r="R12" s="145">
        <v>11.797000000000001</v>
      </c>
      <c r="S12" s="145">
        <v>11.298</v>
      </c>
      <c r="T12" s="219">
        <v>0.499</v>
      </c>
      <c r="U12" s="215" t="s">
        <v>145</v>
      </c>
      <c r="V12" s="154"/>
      <c r="Z12" s="154"/>
      <c r="AA12" s="154"/>
      <c r="AB12" s="154"/>
    </row>
    <row r="13" spans="1:28" ht="19.149999999999999" customHeight="1" x14ac:dyDescent="0.25">
      <c r="A13" s="205" t="s">
        <v>146</v>
      </c>
      <c r="B13" s="218" t="s">
        <v>57</v>
      </c>
      <c r="C13" s="218">
        <v>9.31</v>
      </c>
      <c r="D13" s="219" t="s">
        <v>57</v>
      </c>
      <c r="E13" s="235" t="s">
        <v>57</v>
      </c>
      <c r="F13" s="139">
        <v>9.6969999999999992</v>
      </c>
      <c r="G13" s="219" t="s">
        <v>57</v>
      </c>
      <c r="H13" s="143" t="s">
        <v>57</v>
      </c>
      <c r="I13" s="144">
        <v>9.7249999999999996</v>
      </c>
      <c r="J13" s="219" t="s">
        <v>57</v>
      </c>
      <c r="K13" s="217"/>
      <c r="L13" s="144" t="s">
        <v>57</v>
      </c>
      <c r="M13" s="144">
        <v>10.005000000000001</v>
      </c>
      <c r="N13" s="219" t="s">
        <v>57</v>
      </c>
      <c r="O13" s="145" t="s">
        <v>57</v>
      </c>
      <c r="P13" s="145">
        <v>10.175000000000001</v>
      </c>
      <c r="Q13" s="219" t="s">
        <v>57</v>
      </c>
      <c r="R13" s="145" t="s">
        <v>57</v>
      </c>
      <c r="S13" s="145">
        <v>10.531000000000001</v>
      </c>
      <c r="T13" s="138" t="s">
        <v>57</v>
      </c>
      <c r="U13" s="215" t="s">
        <v>147</v>
      </c>
      <c r="V13" s="154"/>
      <c r="Z13" s="154"/>
      <c r="AA13" s="154"/>
      <c r="AB13" s="154"/>
    </row>
    <row r="14" spans="1:28" ht="19.149999999999999" customHeight="1" x14ac:dyDescent="0.25">
      <c r="A14" s="225" t="s">
        <v>383</v>
      </c>
      <c r="B14" s="218" t="s">
        <v>57</v>
      </c>
      <c r="C14" s="218">
        <v>7.8339999999999996</v>
      </c>
      <c r="D14" s="219" t="s">
        <v>57</v>
      </c>
      <c r="E14" s="235" t="s">
        <v>57</v>
      </c>
      <c r="F14" s="139">
        <v>8.6980000000000004</v>
      </c>
      <c r="G14" s="219" t="s">
        <v>57</v>
      </c>
      <c r="H14" s="143" t="s">
        <v>57</v>
      </c>
      <c r="I14" s="144">
        <v>9.1419999999999995</v>
      </c>
      <c r="J14" s="219" t="s">
        <v>57</v>
      </c>
      <c r="K14" s="217"/>
      <c r="L14" s="144" t="s">
        <v>57</v>
      </c>
      <c r="M14" s="144">
        <v>7.59</v>
      </c>
      <c r="N14" s="219" t="s">
        <v>57</v>
      </c>
      <c r="O14" s="145" t="s">
        <v>57</v>
      </c>
      <c r="P14" s="145">
        <v>8.1579999999999995</v>
      </c>
      <c r="Q14" s="219" t="s">
        <v>57</v>
      </c>
      <c r="R14" s="145" t="s">
        <v>57</v>
      </c>
      <c r="S14" s="145">
        <v>8.141</v>
      </c>
      <c r="T14" s="138" t="s">
        <v>57</v>
      </c>
      <c r="U14" s="226" t="s">
        <v>384</v>
      </c>
      <c r="V14" s="154"/>
      <c r="Z14" s="154"/>
      <c r="AA14" s="154"/>
      <c r="AB14" s="154"/>
    </row>
    <row r="15" spans="1:28" ht="19.149999999999999" customHeight="1" x14ac:dyDescent="0.25">
      <c r="A15" s="225" t="s">
        <v>392</v>
      </c>
      <c r="B15" s="218">
        <v>7.508</v>
      </c>
      <c r="C15" s="218">
        <v>7.2210000000000001</v>
      </c>
      <c r="D15" s="219">
        <v>0.28699999999999998</v>
      </c>
      <c r="E15" s="235">
        <v>8.2520000000000007</v>
      </c>
      <c r="F15" s="139">
        <v>7.8250000000000002</v>
      </c>
      <c r="G15" s="219">
        <v>0.42699999999999999</v>
      </c>
      <c r="H15" s="143">
        <v>7.9290000000000003</v>
      </c>
      <c r="I15" s="144">
        <v>7.6109999999999998</v>
      </c>
      <c r="J15" s="219">
        <v>0.318</v>
      </c>
      <c r="K15" s="217"/>
      <c r="L15" s="144">
        <v>7.5140000000000002</v>
      </c>
      <c r="M15" s="144">
        <v>7.1840000000000002</v>
      </c>
      <c r="N15" s="219">
        <v>0.33</v>
      </c>
      <c r="O15" s="145">
        <v>7.18</v>
      </c>
      <c r="P15" s="145">
        <v>6.8659999999999997</v>
      </c>
      <c r="Q15" s="219">
        <v>0.314</v>
      </c>
      <c r="R15" s="145" t="s">
        <v>57</v>
      </c>
      <c r="S15" s="145">
        <v>6.7839999999999998</v>
      </c>
      <c r="T15" s="138" t="s">
        <v>57</v>
      </c>
      <c r="U15" s="226" t="s">
        <v>391</v>
      </c>
      <c r="V15" s="154"/>
      <c r="Z15" s="154"/>
      <c r="AA15" s="154"/>
      <c r="AB15" s="154"/>
    </row>
    <row r="16" spans="1:28" ht="19.149999999999999" customHeight="1" x14ac:dyDescent="0.25">
      <c r="A16" s="205" t="s">
        <v>148</v>
      </c>
      <c r="B16" s="218">
        <v>7.5880000000000001</v>
      </c>
      <c r="C16" s="218">
        <v>7.4880000000000004</v>
      </c>
      <c r="D16" s="219">
        <v>0.1</v>
      </c>
      <c r="E16" s="233">
        <v>9.0809999999999995</v>
      </c>
      <c r="F16" s="234">
        <v>8.9700000000000006</v>
      </c>
      <c r="G16" s="219">
        <v>0.111</v>
      </c>
      <c r="H16" s="143">
        <v>9.25</v>
      </c>
      <c r="I16" s="144">
        <v>9.1539999999999999</v>
      </c>
      <c r="J16" s="219">
        <v>9.6000000000000002E-2</v>
      </c>
      <c r="K16" s="217"/>
      <c r="L16" s="144">
        <v>8.5730000000000004</v>
      </c>
      <c r="M16" s="144">
        <v>8.4710000000000001</v>
      </c>
      <c r="N16" s="219">
        <v>0.10199999999999999</v>
      </c>
      <c r="O16" s="145">
        <v>8.57</v>
      </c>
      <c r="P16" s="145">
        <v>8.4269999999999996</v>
      </c>
      <c r="Q16" s="219">
        <v>0.14299999999999999</v>
      </c>
      <c r="R16" s="145" t="s">
        <v>57</v>
      </c>
      <c r="S16" s="145">
        <v>8.5069999999999997</v>
      </c>
      <c r="T16" s="138" t="s">
        <v>57</v>
      </c>
      <c r="U16" s="215" t="s">
        <v>149</v>
      </c>
      <c r="V16" s="154"/>
      <c r="Z16" s="154"/>
      <c r="AA16" s="154"/>
      <c r="AB16" s="154"/>
    </row>
    <row r="17" spans="1:28" ht="19.149999999999999" customHeight="1" x14ac:dyDescent="0.25">
      <c r="A17" s="205" t="s">
        <v>150</v>
      </c>
      <c r="B17" s="218">
        <v>10.785</v>
      </c>
      <c r="C17" s="218">
        <v>10.185</v>
      </c>
      <c r="D17" s="219">
        <v>0.6</v>
      </c>
      <c r="E17" s="233">
        <v>11.458</v>
      </c>
      <c r="F17" s="234">
        <v>10.692</v>
      </c>
      <c r="G17" s="219">
        <v>0.76600000000000001</v>
      </c>
      <c r="H17" s="143">
        <v>11.365</v>
      </c>
      <c r="I17" s="144">
        <v>10.656000000000001</v>
      </c>
      <c r="J17" s="219">
        <v>0.70899999999999996</v>
      </c>
      <c r="K17" s="217"/>
      <c r="L17" s="144">
        <v>10.130000000000001</v>
      </c>
      <c r="M17" s="144">
        <v>9.4740000000000002</v>
      </c>
      <c r="N17" s="219">
        <v>0.65600000000000003</v>
      </c>
      <c r="O17" s="145">
        <v>10.193</v>
      </c>
      <c r="P17" s="145">
        <v>9.5129999999999999</v>
      </c>
      <c r="Q17" s="219">
        <v>0.68</v>
      </c>
      <c r="R17" s="145">
        <v>10.032</v>
      </c>
      <c r="S17" s="145">
        <v>9.3879999999999999</v>
      </c>
      <c r="T17" s="219">
        <v>0.64400000000000002</v>
      </c>
      <c r="U17" s="215" t="s">
        <v>151</v>
      </c>
      <c r="V17" s="154"/>
      <c r="Z17" s="154"/>
      <c r="AA17" s="154"/>
      <c r="AB17" s="154"/>
    </row>
    <row r="18" spans="1:28" ht="19.149999999999999" customHeight="1" x14ac:dyDescent="0.25">
      <c r="A18" s="205" t="s">
        <v>152</v>
      </c>
      <c r="B18" s="218">
        <v>6.923</v>
      </c>
      <c r="C18" s="218">
        <v>6.6479999999999997</v>
      </c>
      <c r="D18" s="219">
        <v>0.27500000000000002</v>
      </c>
      <c r="E18" s="235">
        <v>7.875</v>
      </c>
      <c r="F18" s="234">
        <v>7.4720000000000004</v>
      </c>
      <c r="G18" s="219">
        <v>0.40300000000000002</v>
      </c>
      <c r="H18" s="143">
        <v>7.9409999999999998</v>
      </c>
      <c r="I18" s="144">
        <v>7.476</v>
      </c>
      <c r="J18" s="219">
        <v>0.46500000000000002</v>
      </c>
      <c r="K18" s="217"/>
      <c r="L18" s="144">
        <v>7.218</v>
      </c>
      <c r="M18" s="144">
        <v>6.9359999999999999</v>
      </c>
      <c r="N18" s="219">
        <v>0.28199999999999997</v>
      </c>
      <c r="O18" s="145">
        <v>8.1920000000000002</v>
      </c>
      <c r="P18" s="145">
        <v>7.4710000000000001</v>
      </c>
      <c r="Q18" s="219">
        <v>0.72099999999999997</v>
      </c>
      <c r="R18" s="145" t="s">
        <v>57</v>
      </c>
      <c r="S18" s="145">
        <v>7.8360000000000003</v>
      </c>
      <c r="T18" s="138" t="s">
        <v>57</v>
      </c>
      <c r="U18" s="215" t="s">
        <v>153</v>
      </c>
      <c r="V18" s="154"/>
      <c r="Z18" s="154"/>
      <c r="AA18" s="154"/>
      <c r="AB18" s="154"/>
    </row>
    <row r="19" spans="1:28" ht="19.149999999999999" customHeight="1" x14ac:dyDescent="0.25">
      <c r="A19" s="205" t="s">
        <v>154</v>
      </c>
      <c r="B19" s="218">
        <v>9.7029999999999994</v>
      </c>
      <c r="C19" s="218">
        <v>9.2230000000000008</v>
      </c>
      <c r="D19" s="219">
        <v>0.48</v>
      </c>
      <c r="E19" s="233">
        <v>10.238</v>
      </c>
      <c r="F19" s="234">
        <v>9.6999999999999993</v>
      </c>
      <c r="G19" s="219">
        <v>0.53800000000000003</v>
      </c>
      <c r="H19" s="143">
        <v>10.419</v>
      </c>
      <c r="I19" s="144">
        <v>9.91</v>
      </c>
      <c r="J19" s="219">
        <v>0.50900000000000001</v>
      </c>
      <c r="K19" s="217"/>
      <c r="L19" s="144">
        <v>10.202</v>
      </c>
      <c r="M19" s="144">
        <v>9.7420000000000009</v>
      </c>
      <c r="N19" s="219">
        <v>0.46</v>
      </c>
      <c r="O19" s="145">
        <v>10.757</v>
      </c>
      <c r="P19" s="145">
        <v>10.474</v>
      </c>
      <c r="Q19" s="219">
        <v>0.28299999999999997</v>
      </c>
      <c r="R19" s="145" t="s">
        <v>57</v>
      </c>
      <c r="S19" s="145">
        <v>10.603</v>
      </c>
      <c r="T19" s="138" t="s">
        <v>57</v>
      </c>
      <c r="U19" s="215" t="s">
        <v>155</v>
      </c>
      <c r="V19" s="154"/>
      <c r="Z19" s="154"/>
      <c r="AA19" s="154"/>
      <c r="AB19" s="154"/>
    </row>
    <row r="20" spans="1:28" ht="19.149999999999999" customHeight="1" x14ac:dyDescent="0.25">
      <c r="A20" s="205" t="s">
        <v>156</v>
      </c>
      <c r="B20" s="218" t="s">
        <v>57</v>
      </c>
      <c r="C20" s="218">
        <v>11.170999999999999</v>
      </c>
      <c r="D20" s="219" t="s">
        <v>57</v>
      </c>
      <c r="E20" s="233" t="s">
        <v>57</v>
      </c>
      <c r="F20" s="234">
        <v>12.129</v>
      </c>
      <c r="G20" s="219" t="s">
        <v>57</v>
      </c>
      <c r="H20" s="143" t="s">
        <v>57</v>
      </c>
      <c r="I20" s="144">
        <v>12.249000000000001</v>
      </c>
      <c r="J20" s="219" t="s">
        <v>57</v>
      </c>
      <c r="K20" s="217"/>
      <c r="L20" s="144" t="s">
        <v>57</v>
      </c>
      <c r="M20" s="144">
        <v>11.835000000000001</v>
      </c>
      <c r="N20" s="219" t="s">
        <v>57</v>
      </c>
      <c r="O20" s="145" t="s">
        <v>57</v>
      </c>
      <c r="P20" s="145">
        <v>11.503</v>
      </c>
      <c r="Q20" s="219" t="s">
        <v>57</v>
      </c>
      <c r="R20" s="145" t="s">
        <v>57</v>
      </c>
      <c r="S20" s="145">
        <v>11.541</v>
      </c>
      <c r="T20" s="138" t="s">
        <v>57</v>
      </c>
      <c r="U20" s="215" t="s">
        <v>157</v>
      </c>
      <c r="V20" s="154"/>
      <c r="Z20" s="154"/>
      <c r="AA20" s="154"/>
      <c r="AB20" s="154"/>
    </row>
    <row r="21" spans="1:28" ht="19.149999999999999" customHeight="1" x14ac:dyDescent="0.25">
      <c r="A21" s="205" t="s">
        <v>158</v>
      </c>
      <c r="B21" s="218" t="s">
        <v>57</v>
      </c>
      <c r="C21" s="218">
        <v>11.428000000000001</v>
      </c>
      <c r="D21" s="219" t="s">
        <v>57</v>
      </c>
      <c r="E21" s="233" t="s">
        <v>57</v>
      </c>
      <c r="F21" s="234">
        <v>12.468</v>
      </c>
      <c r="G21" s="219" t="s">
        <v>57</v>
      </c>
      <c r="H21" s="143" t="s">
        <v>57</v>
      </c>
      <c r="I21" s="144">
        <v>12.724</v>
      </c>
      <c r="J21" s="219" t="s">
        <v>57</v>
      </c>
      <c r="K21" s="217"/>
      <c r="L21" s="144" t="s">
        <v>57</v>
      </c>
      <c r="M21" s="144">
        <v>12.446999999999999</v>
      </c>
      <c r="N21" s="219" t="s">
        <v>57</v>
      </c>
      <c r="O21" s="145" t="s">
        <v>57</v>
      </c>
      <c r="P21" s="145">
        <v>11.744</v>
      </c>
      <c r="Q21" s="219" t="s">
        <v>57</v>
      </c>
      <c r="R21" s="145" t="s">
        <v>57</v>
      </c>
      <c r="S21" s="145">
        <v>12.266999999999999</v>
      </c>
      <c r="T21" s="138" t="s">
        <v>57</v>
      </c>
      <c r="U21" s="215" t="s">
        <v>159</v>
      </c>
      <c r="V21" s="154"/>
      <c r="Z21" s="154"/>
      <c r="AA21" s="154"/>
      <c r="AB21" s="154"/>
    </row>
    <row r="22" spans="1:28" ht="19.149999999999999" customHeight="1" x14ac:dyDescent="0.25">
      <c r="A22" s="205" t="s">
        <v>160</v>
      </c>
      <c r="B22" s="218">
        <v>8.3010000000000002</v>
      </c>
      <c r="C22" s="218">
        <v>8.1170000000000009</v>
      </c>
      <c r="D22" s="219">
        <v>0.184</v>
      </c>
      <c r="E22" s="233">
        <v>9.5440000000000005</v>
      </c>
      <c r="F22" s="234">
        <v>9.3810000000000002</v>
      </c>
      <c r="G22" s="219">
        <v>0.16300000000000001</v>
      </c>
      <c r="H22" s="143">
        <v>9.2859999999999996</v>
      </c>
      <c r="I22" s="144">
        <v>9.032</v>
      </c>
      <c r="J22" s="219">
        <v>0.254</v>
      </c>
      <c r="K22" s="217"/>
      <c r="L22" s="144">
        <v>8.7149999999999999</v>
      </c>
      <c r="M22" s="144">
        <v>8.4489999999999998</v>
      </c>
      <c r="N22" s="219">
        <v>0.26600000000000001</v>
      </c>
      <c r="O22" s="145">
        <v>8.6579999999999995</v>
      </c>
      <c r="P22" s="145">
        <v>8.3940000000000001</v>
      </c>
      <c r="Q22" s="219">
        <v>0.26400000000000001</v>
      </c>
      <c r="R22" s="145" t="s">
        <v>57</v>
      </c>
      <c r="S22" s="145">
        <v>8.1120000000000001</v>
      </c>
      <c r="T22" s="138" t="s">
        <v>57</v>
      </c>
      <c r="U22" s="215" t="s">
        <v>161</v>
      </c>
      <c r="V22" s="154"/>
      <c r="Z22" s="154"/>
      <c r="AA22" s="154"/>
      <c r="AB22" s="154"/>
    </row>
    <row r="23" spans="1:28" ht="19.149999999999999" customHeight="1" x14ac:dyDescent="0.25">
      <c r="A23" s="205" t="s">
        <v>162</v>
      </c>
      <c r="B23" s="218">
        <v>6.5039999999999996</v>
      </c>
      <c r="C23" s="218">
        <v>6.2469999999999999</v>
      </c>
      <c r="D23" s="219">
        <v>0.25700000000000001</v>
      </c>
      <c r="E23" s="233">
        <v>7.63</v>
      </c>
      <c r="F23" s="234">
        <v>7.2309999999999999</v>
      </c>
      <c r="G23" s="219">
        <v>0.39900000000000002</v>
      </c>
      <c r="H23" s="143">
        <v>7.6740000000000004</v>
      </c>
      <c r="I23" s="144">
        <v>7.335</v>
      </c>
      <c r="J23" s="219">
        <v>0.33900000000000002</v>
      </c>
      <c r="K23" s="217"/>
      <c r="L23" s="144">
        <v>6.92</v>
      </c>
      <c r="M23" s="144">
        <v>6.6470000000000002</v>
      </c>
      <c r="N23" s="219">
        <v>0.27300000000000002</v>
      </c>
      <c r="O23" s="145">
        <v>6.6120000000000001</v>
      </c>
      <c r="P23" s="145">
        <v>6.3689999999999998</v>
      </c>
      <c r="Q23" s="219">
        <v>0.24299999999999999</v>
      </c>
      <c r="R23" s="145" t="s">
        <v>57</v>
      </c>
      <c r="S23" s="145">
        <v>6.4969999999999999</v>
      </c>
      <c r="T23" s="138" t="s">
        <v>57</v>
      </c>
      <c r="U23" s="215" t="s">
        <v>163</v>
      </c>
      <c r="V23" s="154"/>
      <c r="Z23" s="154"/>
      <c r="AA23" s="154"/>
      <c r="AB23" s="154"/>
    </row>
    <row r="24" spans="1:28" ht="19.149999999999999" customHeight="1" x14ac:dyDescent="0.25">
      <c r="A24" s="205" t="s">
        <v>164</v>
      </c>
      <c r="B24" s="218">
        <v>8.9440000000000008</v>
      </c>
      <c r="C24" s="218">
        <v>8.64</v>
      </c>
      <c r="D24" s="219">
        <v>0.30399999999999999</v>
      </c>
      <c r="E24" s="233">
        <v>9.9280000000000008</v>
      </c>
      <c r="F24" s="234">
        <v>9.6489999999999991</v>
      </c>
      <c r="G24" s="219">
        <v>0.27900000000000003</v>
      </c>
      <c r="H24" s="143">
        <v>10.127000000000001</v>
      </c>
      <c r="I24" s="144">
        <v>9.7210000000000001</v>
      </c>
      <c r="J24" s="219">
        <v>0.40600000000000003</v>
      </c>
      <c r="K24" s="217"/>
      <c r="L24" s="144">
        <v>9.5109999999999992</v>
      </c>
      <c r="M24" s="144">
        <v>9.0809999999999995</v>
      </c>
      <c r="N24" s="219">
        <v>0.43</v>
      </c>
      <c r="O24" s="145">
        <v>9.2230000000000008</v>
      </c>
      <c r="P24" s="145">
        <v>8.7050000000000001</v>
      </c>
      <c r="Q24" s="219">
        <v>0.51800000000000002</v>
      </c>
      <c r="R24" s="145" t="s">
        <v>57</v>
      </c>
      <c r="S24" s="145">
        <v>8.984</v>
      </c>
      <c r="T24" s="138" t="s">
        <v>57</v>
      </c>
      <c r="U24" s="215" t="s">
        <v>165</v>
      </c>
      <c r="V24" s="154"/>
      <c r="Z24" s="154"/>
      <c r="AA24" s="154"/>
      <c r="AB24" s="154"/>
    </row>
    <row r="25" spans="1:28" ht="19.149999999999999" customHeight="1" x14ac:dyDescent="0.25">
      <c r="A25" s="205" t="s">
        <v>166</v>
      </c>
      <c r="B25" s="218">
        <v>6.9080000000000004</v>
      </c>
      <c r="C25" s="218">
        <v>6.6189999999999998</v>
      </c>
      <c r="D25" s="219">
        <v>0.28899999999999998</v>
      </c>
      <c r="E25" s="233">
        <v>7.2489999999999997</v>
      </c>
      <c r="F25" s="234">
        <v>6.9729999999999999</v>
      </c>
      <c r="G25" s="219">
        <v>0.27600000000000002</v>
      </c>
      <c r="H25" s="143">
        <v>6.7350000000000003</v>
      </c>
      <c r="I25" s="144">
        <v>6.4409999999999998</v>
      </c>
      <c r="J25" s="219">
        <v>0.29399999999999998</v>
      </c>
      <c r="K25" s="217"/>
      <c r="L25" s="144">
        <v>6.3</v>
      </c>
      <c r="M25" s="144">
        <v>6.0209999999999999</v>
      </c>
      <c r="N25" s="219">
        <v>0.27900000000000003</v>
      </c>
      <c r="O25" s="145">
        <v>6.8890000000000002</v>
      </c>
      <c r="P25" s="145">
        <v>6.5750000000000002</v>
      </c>
      <c r="Q25" s="219">
        <v>0.314</v>
      </c>
      <c r="R25" s="145" t="s">
        <v>57</v>
      </c>
      <c r="S25" s="145">
        <v>6.8540000000000001</v>
      </c>
      <c r="T25" s="138" t="s">
        <v>57</v>
      </c>
      <c r="U25" s="215" t="s">
        <v>167</v>
      </c>
      <c r="V25" s="154"/>
      <c r="Z25" s="154"/>
      <c r="AA25" s="154"/>
      <c r="AB25" s="154"/>
    </row>
    <row r="26" spans="1:28" ht="19.149999999999999" customHeight="1" x14ac:dyDescent="0.25">
      <c r="A26" s="205" t="s">
        <v>168</v>
      </c>
      <c r="B26" s="218">
        <v>7.4729999999999999</v>
      </c>
      <c r="C26" s="218">
        <v>7.2069999999999999</v>
      </c>
      <c r="D26" s="219">
        <v>0.26600000000000001</v>
      </c>
      <c r="E26" s="233">
        <v>8.2899999999999991</v>
      </c>
      <c r="F26" s="234">
        <v>7.7480000000000002</v>
      </c>
      <c r="G26" s="219">
        <v>0.54200000000000004</v>
      </c>
      <c r="H26" s="143" t="s">
        <v>57</v>
      </c>
      <c r="I26" s="144">
        <v>7.84</v>
      </c>
      <c r="J26" s="219" t="s">
        <v>57</v>
      </c>
      <c r="K26" s="217"/>
      <c r="L26" s="144" t="s">
        <v>57</v>
      </c>
      <c r="M26" s="144">
        <v>7.12</v>
      </c>
      <c r="N26" s="219" t="s">
        <v>57</v>
      </c>
      <c r="O26" s="145" t="s">
        <v>57</v>
      </c>
      <c r="P26" s="145">
        <v>7.0979999999999999</v>
      </c>
      <c r="Q26" s="219" t="s">
        <v>57</v>
      </c>
      <c r="R26" s="145" t="s">
        <v>57</v>
      </c>
      <c r="S26" s="145">
        <v>7.59</v>
      </c>
      <c r="T26" s="138" t="s">
        <v>57</v>
      </c>
      <c r="U26" s="215" t="s">
        <v>169</v>
      </c>
      <c r="V26" s="154"/>
      <c r="Z26" s="154"/>
      <c r="AA26" s="154"/>
      <c r="AB26" s="154"/>
    </row>
    <row r="27" spans="1:28" ht="19.149999999999999" customHeight="1" x14ac:dyDescent="0.25">
      <c r="A27" s="205" t="s">
        <v>170</v>
      </c>
      <c r="B27" s="218" t="s">
        <v>57</v>
      </c>
      <c r="C27" s="218">
        <v>8.6150000000000002</v>
      </c>
      <c r="D27" s="219" t="s">
        <v>57</v>
      </c>
      <c r="E27" s="233" t="s">
        <v>57</v>
      </c>
      <c r="F27" s="234">
        <v>9.5640000000000001</v>
      </c>
      <c r="G27" s="219" t="s">
        <v>57</v>
      </c>
      <c r="H27" s="143" t="s">
        <v>57</v>
      </c>
      <c r="I27" s="144">
        <v>9.282</v>
      </c>
      <c r="J27" s="219" t="s">
        <v>57</v>
      </c>
      <c r="K27" s="217"/>
      <c r="L27" s="144" t="s">
        <v>57</v>
      </c>
      <c r="M27" s="144">
        <v>8.85</v>
      </c>
      <c r="N27" s="219" t="s">
        <v>57</v>
      </c>
      <c r="O27" s="145" t="s">
        <v>57</v>
      </c>
      <c r="P27" s="145">
        <v>8.4060000000000006</v>
      </c>
      <c r="Q27" s="219" t="s">
        <v>57</v>
      </c>
      <c r="R27" s="145" t="s">
        <v>57</v>
      </c>
      <c r="S27" s="145">
        <v>8.4440000000000008</v>
      </c>
      <c r="T27" s="138" t="s">
        <v>57</v>
      </c>
      <c r="U27" s="215" t="s">
        <v>171</v>
      </c>
      <c r="V27" s="154"/>
      <c r="Z27" s="154"/>
      <c r="AA27" s="154"/>
      <c r="AB27" s="154"/>
    </row>
    <row r="28" spans="1:28" ht="19.149999999999999" customHeight="1" x14ac:dyDescent="0.25">
      <c r="A28" s="205" t="s">
        <v>172</v>
      </c>
      <c r="B28" s="218" t="s">
        <v>57</v>
      </c>
      <c r="C28" s="218">
        <v>10.97</v>
      </c>
      <c r="D28" s="219" t="s">
        <v>57</v>
      </c>
      <c r="E28" s="233" t="s">
        <v>57</v>
      </c>
      <c r="F28" s="234">
        <v>11.45</v>
      </c>
      <c r="G28" s="219" t="s">
        <v>57</v>
      </c>
      <c r="H28" s="143" t="s">
        <v>57</v>
      </c>
      <c r="I28" s="144">
        <v>12.081</v>
      </c>
      <c r="J28" s="219" t="s">
        <v>57</v>
      </c>
      <c r="K28" s="217"/>
      <c r="L28" s="144" t="s">
        <v>57</v>
      </c>
      <c r="M28" s="144">
        <v>12.321999999999999</v>
      </c>
      <c r="N28" s="219" t="s">
        <v>57</v>
      </c>
      <c r="O28" s="145" t="s">
        <v>57</v>
      </c>
      <c r="P28" s="145">
        <v>10.74</v>
      </c>
      <c r="Q28" s="219" t="s">
        <v>57</v>
      </c>
      <c r="R28" s="145" t="s">
        <v>57</v>
      </c>
      <c r="S28" s="145">
        <v>10.625</v>
      </c>
      <c r="T28" s="138" t="s">
        <v>57</v>
      </c>
      <c r="U28" s="215" t="s">
        <v>173</v>
      </c>
      <c r="V28" s="154"/>
      <c r="Z28" s="154"/>
      <c r="AA28" s="154"/>
      <c r="AB28" s="154"/>
    </row>
    <row r="29" spans="1:28" ht="19.149999999999999" customHeight="1" x14ac:dyDescent="0.25">
      <c r="A29" s="205" t="s">
        <v>174</v>
      </c>
      <c r="B29" s="218">
        <v>7.99</v>
      </c>
      <c r="C29" s="218">
        <v>7.6909999999999998</v>
      </c>
      <c r="D29" s="219">
        <v>0.29899999999999999</v>
      </c>
      <c r="E29" s="233">
        <v>8.3260000000000005</v>
      </c>
      <c r="F29" s="234">
        <v>8.0250000000000004</v>
      </c>
      <c r="G29" s="219">
        <v>0.30099999999999999</v>
      </c>
      <c r="H29" s="143">
        <v>8.6259999999999994</v>
      </c>
      <c r="I29" s="144">
        <v>8.327</v>
      </c>
      <c r="J29" s="219">
        <v>0.29899999999999999</v>
      </c>
      <c r="K29" s="217"/>
      <c r="L29" s="144">
        <v>9.1199999999999992</v>
      </c>
      <c r="M29" s="144">
        <v>8.843</v>
      </c>
      <c r="N29" s="219">
        <v>0.27700000000000002</v>
      </c>
      <c r="O29" s="145">
        <v>8.74</v>
      </c>
      <c r="P29" s="145">
        <v>8.4719999999999995</v>
      </c>
      <c r="Q29" s="219">
        <v>0.26800000000000002</v>
      </c>
      <c r="R29" s="145">
        <v>8.6129999999999995</v>
      </c>
      <c r="S29" s="145">
        <v>8.36</v>
      </c>
      <c r="T29" s="219">
        <v>0.253</v>
      </c>
      <c r="U29" s="215" t="s">
        <v>175</v>
      </c>
      <c r="V29" s="154"/>
      <c r="Z29" s="154"/>
      <c r="AA29" s="154"/>
      <c r="AB29" s="154"/>
    </row>
    <row r="30" spans="1:28" ht="19.149999999999999" customHeight="1" x14ac:dyDescent="0.25">
      <c r="A30" s="205" t="s">
        <v>176</v>
      </c>
      <c r="B30" s="218">
        <v>7.26</v>
      </c>
      <c r="C30" s="218">
        <v>6.8630000000000004</v>
      </c>
      <c r="D30" s="219">
        <v>0.39700000000000002</v>
      </c>
      <c r="E30" s="235">
        <v>8.0020000000000007</v>
      </c>
      <c r="F30" s="139">
        <v>7.5060000000000002</v>
      </c>
      <c r="G30" s="219">
        <v>0.496</v>
      </c>
      <c r="H30" s="143">
        <v>10.101000000000001</v>
      </c>
      <c r="I30" s="144">
        <v>9.4109999999999996</v>
      </c>
      <c r="J30" s="219">
        <v>0.69</v>
      </c>
      <c r="K30" s="217"/>
      <c r="L30" s="144">
        <v>8.8919999999999995</v>
      </c>
      <c r="M30" s="144">
        <v>8.1039999999999992</v>
      </c>
      <c r="N30" s="219">
        <v>0.78800000000000003</v>
      </c>
      <c r="O30" s="145">
        <v>8.1690000000000005</v>
      </c>
      <c r="P30" s="145">
        <v>7.2779999999999996</v>
      </c>
      <c r="Q30" s="219">
        <v>0.89100000000000001</v>
      </c>
      <c r="R30" s="145" t="s">
        <v>57</v>
      </c>
      <c r="S30" s="145">
        <v>7.5890000000000004</v>
      </c>
      <c r="T30" s="138" t="s">
        <v>57</v>
      </c>
      <c r="U30" s="215" t="s">
        <v>177</v>
      </c>
      <c r="V30" s="154"/>
      <c r="Z30" s="154"/>
      <c r="AA30" s="154"/>
      <c r="AB30" s="154"/>
    </row>
    <row r="31" spans="1:28" ht="19.149999999999999" customHeight="1" x14ac:dyDescent="0.25">
      <c r="A31" s="205" t="s">
        <v>306</v>
      </c>
      <c r="B31" s="218" t="s">
        <v>57</v>
      </c>
      <c r="C31" s="218">
        <v>6.9450000000000003</v>
      </c>
      <c r="D31" s="219" t="s">
        <v>57</v>
      </c>
      <c r="E31" s="235" t="s">
        <v>57</v>
      </c>
      <c r="F31" s="139">
        <v>7.4160000000000004</v>
      </c>
      <c r="G31" s="219" t="s">
        <v>57</v>
      </c>
      <c r="H31" s="143" t="s">
        <v>57</v>
      </c>
      <c r="I31" s="144">
        <v>7.7320000000000002</v>
      </c>
      <c r="J31" s="219" t="s">
        <v>57</v>
      </c>
      <c r="K31" s="217"/>
      <c r="L31" s="144" t="s">
        <v>57</v>
      </c>
      <c r="M31" s="144">
        <v>7.2439999999999998</v>
      </c>
      <c r="N31" s="219" t="s">
        <v>57</v>
      </c>
      <c r="O31" s="145" t="s">
        <v>57</v>
      </c>
      <c r="P31" s="145">
        <v>7.319</v>
      </c>
      <c r="Q31" s="219" t="s">
        <v>57</v>
      </c>
      <c r="R31" s="145" t="s">
        <v>57</v>
      </c>
      <c r="S31" s="145">
        <v>7.5960000000000001</v>
      </c>
      <c r="T31" s="138" t="s">
        <v>57</v>
      </c>
      <c r="U31" s="215" t="s">
        <v>305</v>
      </c>
      <c r="V31" s="154"/>
      <c r="Z31" s="154"/>
      <c r="AA31" s="154"/>
      <c r="AB31" s="154"/>
    </row>
    <row r="32" spans="1:28" ht="19.149999999999999" customHeight="1" x14ac:dyDescent="0.25">
      <c r="A32" s="205" t="s">
        <v>178</v>
      </c>
      <c r="B32" s="218" t="s">
        <v>57</v>
      </c>
      <c r="C32" s="218">
        <v>5.4660000000000002</v>
      </c>
      <c r="D32" s="219" t="s">
        <v>57</v>
      </c>
      <c r="E32" s="233" t="s">
        <v>57</v>
      </c>
      <c r="F32" s="234">
        <v>5.7670000000000003</v>
      </c>
      <c r="G32" s="219" t="s">
        <v>57</v>
      </c>
      <c r="H32" s="143" t="s">
        <v>57</v>
      </c>
      <c r="I32" s="144">
        <v>5.6079999999999997</v>
      </c>
      <c r="J32" s="219" t="s">
        <v>57</v>
      </c>
      <c r="K32" s="217"/>
      <c r="L32" s="144" t="s">
        <v>57</v>
      </c>
      <c r="M32" s="144">
        <v>5.609</v>
      </c>
      <c r="N32" s="219" t="s">
        <v>57</v>
      </c>
      <c r="O32" s="145" t="s">
        <v>57</v>
      </c>
      <c r="P32" s="145">
        <v>5.6680000000000001</v>
      </c>
      <c r="Q32" s="219" t="s">
        <v>57</v>
      </c>
      <c r="R32" s="145" t="s">
        <v>57</v>
      </c>
      <c r="S32" s="145">
        <v>5.891</v>
      </c>
      <c r="T32" s="138" t="s">
        <v>57</v>
      </c>
      <c r="U32" s="215" t="s">
        <v>179</v>
      </c>
      <c r="V32" s="154"/>
      <c r="Z32" s="154"/>
      <c r="AA32" s="154"/>
      <c r="AB32" s="154"/>
    </row>
    <row r="33" spans="1:28" ht="19.149999999999999" customHeight="1" x14ac:dyDescent="0.25">
      <c r="A33" s="205" t="s">
        <v>180</v>
      </c>
      <c r="B33" s="218">
        <v>5.3630000000000004</v>
      </c>
      <c r="C33" s="218">
        <v>5.3010000000000002</v>
      </c>
      <c r="D33" s="219">
        <v>6.2E-2</v>
      </c>
      <c r="E33" s="235">
        <v>6.181</v>
      </c>
      <c r="F33" s="234">
        <v>6.0519999999999996</v>
      </c>
      <c r="G33" s="219">
        <v>0.129</v>
      </c>
      <c r="H33" s="143">
        <v>5.9539999999999997</v>
      </c>
      <c r="I33" s="144">
        <v>5.8769999999999998</v>
      </c>
      <c r="J33" s="219">
        <v>7.6999999999999999E-2</v>
      </c>
      <c r="K33" s="217"/>
      <c r="L33" s="144">
        <v>5.8239999999999998</v>
      </c>
      <c r="M33" s="144">
        <v>5.7089999999999996</v>
      </c>
      <c r="N33" s="219">
        <v>0.115</v>
      </c>
      <c r="O33" s="145" t="s">
        <v>57</v>
      </c>
      <c r="P33" s="145">
        <v>5.6959999999999997</v>
      </c>
      <c r="Q33" s="219" t="s">
        <v>57</v>
      </c>
      <c r="R33" s="145" t="s">
        <v>57</v>
      </c>
      <c r="S33" s="145">
        <v>5.8689999999999998</v>
      </c>
      <c r="T33" s="138" t="s">
        <v>57</v>
      </c>
      <c r="U33" s="215" t="s">
        <v>181</v>
      </c>
      <c r="V33" s="154"/>
      <c r="Z33" s="154"/>
      <c r="AA33" s="154"/>
      <c r="AB33" s="154"/>
    </row>
    <row r="34" spans="1:28" ht="19.149999999999999" customHeight="1" x14ac:dyDescent="0.25">
      <c r="A34" s="205" t="s">
        <v>182</v>
      </c>
      <c r="B34" s="218" t="s">
        <v>57</v>
      </c>
      <c r="C34" s="218">
        <v>9.9359999999999999</v>
      </c>
      <c r="D34" s="219" t="s">
        <v>57</v>
      </c>
      <c r="E34" s="233" t="s">
        <v>57</v>
      </c>
      <c r="F34" s="234">
        <v>10.95</v>
      </c>
      <c r="G34" s="219" t="s">
        <v>57</v>
      </c>
      <c r="H34" s="143" t="s">
        <v>57</v>
      </c>
      <c r="I34" s="144">
        <v>11.135</v>
      </c>
      <c r="J34" s="219" t="s">
        <v>57</v>
      </c>
      <c r="K34" s="217"/>
      <c r="L34" s="144" t="s">
        <v>57</v>
      </c>
      <c r="M34" s="144">
        <v>10.031000000000001</v>
      </c>
      <c r="N34" s="219" t="s">
        <v>57</v>
      </c>
      <c r="O34" s="145" t="s">
        <v>57</v>
      </c>
      <c r="P34" s="145">
        <v>9.8320000000000007</v>
      </c>
      <c r="Q34" s="219" t="s">
        <v>57</v>
      </c>
      <c r="R34" s="145" t="s">
        <v>57</v>
      </c>
      <c r="S34" s="145">
        <v>10.006</v>
      </c>
      <c r="T34" s="138" t="s">
        <v>57</v>
      </c>
      <c r="U34" s="215" t="s">
        <v>183</v>
      </c>
      <c r="V34" s="154"/>
      <c r="Z34" s="154"/>
      <c r="AA34" s="154"/>
      <c r="AB34" s="154"/>
    </row>
    <row r="35" spans="1:28" ht="19.149999999999999" customHeight="1" x14ac:dyDescent="0.25">
      <c r="A35" s="205" t="s">
        <v>184</v>
      </c>
      <c r="B35" s="218" t="s">
        <v>57</v>
      </c>
      <c r="C35" s="218">
        <v>8.6189999999999998</v>
      </c>
      <c r="D35" s="219" t="s">
        <v>57</v>
      </c>
      <c r="E35" s="233" t="s">
        <v>57</v>
      </c>
      <c r="F35" s="234">
        <v>9.2520000000000007</v>
      </c>
      <c r="G35" s="219" t="s">
        <v>57</v>
      </c>
      <c r="H35" s="143" t="s">
        <v>57</v>
      </c>
      <c r="I35" s="144">
        <v>9.5510000000000002</v>
      </c>
      <c r="J35" s="219" t="s">
        <v>57</v>
      </c>
      <c r="K35" s="217"/>
      <c r="L35" s="144" t="s">
        <v>57</v>
      </c>
      <c r="M35" s="144">
        <v>10.568</v>
      </c>
      <c r="N35" s="219" t="s">
        <v>57</v>
      </c>
      <c r="O35" s="145" t="s">
        <v>57</v>
      </c>
      <c r="P35" s="145">
        <v>10.129</v>
      </c>
      <c r="Q35" s="219" t="s">
        <v>57</v>
      </c>
      <c r="R35" s="145" t="s">
        <v>57</v>
      </c>
      <c r="S35" s="145">
        <v>10.061999999999999</v>
      </c>
      <c r="T35" s="138" t="s">
        <v>57</v>
      </c>
      <c r="U35" s="215" t="s">
        <v>185</v>
      </c>
      <c r="V35" s="154"/>
      <c r="Z35" s="154"/>
      <c r="AA35" s="154"/>
      <c r="AB35" s="154"/>
    </row>
    <row r="36" spans="1:28" ht="19.149999999999999" customHeight="1" x14ac:dyDescent="0.25">
      <c r="A36" s="205" t="s">
        <v>186</v>
      </c>
      <c r="B36" s="218">
        <v>11.087999999999999</v>
      </c>
      <c r="C36" s="218">
        <v>10.438000000000001</v>
      </c>
      <c r="D36" s="219">
        <v>0.65</v>
      </c>
      <c r="E36" s="233">
        <v>12.179</v>
      </c>
      <c r="F36" s="234">
        <v>11.423999999999999</v>
      </c>
      <c r="G36" s="219">
        <v>0.755</v>
      </c>
      <c r="H36" s="143">
        <v>10.499000000000001</v>
      </c>
      <c r="I36" s="144">
        <v>9.8140000000000001</v>
      </c>
      <c r="J36" s="219">
        <v>0.68500000000000005</v>
      </c>
      <c r="K36" s="217"/>
      <c r="L36" s="144">
        <v>8.4710000000000001</v>
      </c>
      <c r="M36" s="144">
        <v>7.9089999999999998</v>
      </c>
      <c r="N36" s="219">
        <v>0.56200000000000006</v>
      </c>
      <c r="O36" s="145" t="s">
        <v>57</v>
      </c>
      <c r="P36" s="145">
        <v>9.4160000000000004</v>
      </c>
      <c r="Q36" s="219" t="s">
        <v>57</v>
      </c>
      <c r="R36" s="145" t="s">
        <v>57</v>
      </c>
      <c r="S36" s="145">
        <v>9.6890000000000001</v>
      </c>
      <c r="T36" s="138" t="s">
        <v>57</v>
      </c>
      <c r="U36" s="215" t="s">
        <v>187</v>
      </c>
      <c r="V36" s="154"/>
      <c r="Z36" s="154"/>
      <c r="AA36" s="154"/>
      <c r="AB36" s="154"/>
    </row>
    <row r="37" spans="1:28" ht="19.149999999999999" customHeight="1" x14ac:dyDescent="0.25">
      <c r="A37" s="205" t="s">
        <v>188</v>
      </c>
      <c r="B37" s="218" t="s">
        <v>57</v>
      </c>
      <c r="C37" s="218">
        <v>6.3890000000000002</v>
      </c>
      <c r="D37" s="219" t="s">
        <v>57</v>
      </c>
      <c r="E37" s="233" t="s">
        <v>57</v>
      </c>
      <c r="F37" s="234">
        <v>6.4269999999999996</v>
      </c>
      <c r="G37" s="219" t="s">
        <v>57</v>
      </c>
      <c r="H37" s="143" t="s">
        <v>57</v>
      </c>
      <c r="I37" s="144">
        <v>6.3650000000000002</v>
      </c>
      <c r="J37" s="219" t="s">
        <v>57</v>
      </c>
      <c r="K37" s="217"/>
      <c r="L37" s="144" t="s">
        <v>57</v>
      </c>
      <c r="M37" s="144">
        <v>6.4660000000000002</v>
      </c>
      <c r="N37" s="219" t="s">
        <v>57</v>
      </c>
      <c r="O37" s="145" t="s">
        <v>57</v>
      </c>
      <c r="P37" s="145">
        <v>7.1379999999999999</v>
      </c>
      <c r="Q37" s="219" t="s">
        <v>57</v>
      </c>
      <c r="R37" s="145" t="s">
        <v>57</v>
      </c>
      <c r="S37" s="145">
        <v>8.0640000000000001</v>
      </c>
      <c r="T37" s="138" t="s">
        <v>57</v>
      </c>
      <c r="U37" s="215" t="s">
        <v>189</v>
      </c>
      <c r="V37" s="154"/>
      <c r="Z37" s="154"/>
      <c r="AA37" s="154"/>
      <c r="AB37" s="154"/>
    </row>
    <row r="38" spans="1:28" ht="19.149999999999999" customHeight="1" x14ac:dyDescent="0.25">
      <c r="A38" s="205" t="s">
        <v>190</v>
      </c>
      <c r="B38" s="218">
        <v>10.534000000000001</v>
      </c>
      <c r="C38" s="218">
        <v>9.5090000000000003</v>
      </c>
      <c r="D38" s="219">
        <v>1.0249999999999999</v>
      </c>
      <c r="E38" s="233">
        <v>11.721</v>
      </c>
      <c r="F38" s="234">
        <v>10.521000000000001</v>
      </c>
      <c r="G38" s="219">
        <v>1.2</v>
      </c>
      <c r="H38" s="143">
        <v>12.478999999999999</v>
      </c>
      <c r="I38" s="144">
        <v>11.22</v>
      </c>
      <c r="J38" s="219">
        <v>1.2589999999999999</v>
      </c>
      <c r="K38" s="217"/>
      <c r="L38" s="144">
        <v>11.696999999999999</v>
      </c>
      <c r="M38" s="144">
        <v>10.548999999999999</v>
      </c>
      <c r="N38" s="219">
        <v>1.1479999999999999</v>
      </c>
      <c r="O38" s="145" t="s">
        <v>57</v>
      </c>
      <c r="P38" s="145">
        <v>10.028</v>
      </c>
      <c r="Q38" s="219" t="s">
        <v>57</v>
      </c>
      <c r="R38" s="145" t="s">
        <v>57</v>
      </c>
      <c r="S38" s="145">
        <v>10.241</v>
      </c>
      <c r="T38" s="138" t="s">
        <v>57</v>
      </c>
      <c r="U38" s="215" t="s">
        <v>191</v>
      </c>
      <c r="V38" s="154"/>
      <c r="Z38" s="154"/>
      <c r="AA38" s="154"/>
      <c r="AB38" s="154"/>
    </row>
    <row r="39" spans="1:28" ht="19.149999999999999" customHeight="1" x14ac:dyDescent="0.25">
      <c r="A39" s="205" t="s">
        <v>498</v>
      </c>
      <c r="B39" s="234" t="s">
        <v>57</v>
      </c>
      <c r="C39" s="234">
        <v>4.4074675599999997</v>
      </c>
      <c r="D39" s="146" t="s">
        <v>57</v>
      </c>
      <c r="E39" s="233" t="s">
        <v>57</v>
      </c>
      <c r="F39" s="234">
        <v>5.7001529800000004</v>
      </c>
      <c r="G39" s="146" t="s">
        <v>57</v>
      </c>
      <c r="H39" s="143" t="s">
        <v>57</v>
      </c>
      <c r="I39" s="144">
        <v>5.1459970399999992</v>
      </c>
      <c r="J39" s="146" t="s">
        <v>57</v>
      </c>
      <c r="K39" s="233"/>
      <c r="L39" s="144" t="s">
        <v>57</v>
      </c>
      <c r="M39" s="144">
        <v>4.3312158200000006</v>
      </c>
      <c r="N39" s="146" t="s">
        <v>57</v>
      </c>
      <c r="O39" s="145" t="s">
        <v>57</v>
      </c>
      <c r="P39" s="145">
        <v>4.4916323800000004</v>
      </c>
      <c r="Q39" s="146" t="s">
        <v>57</v>
      </c>
      <c r="R39" s="145" t="s">
        <v>57</v>
      </c>
      <c r="S39" s="145" t="s">
        <v>57</v>
      </c>
      <c r="T39" s="138" t="s">
        <v>57</v>
      </c>
      <c r="U39" s="215" t="s">
        <v>499</v>
      </c>
      <c r="Z39" s="322"/>
      <c r="AA39" s="322"/>
      <c r="AB39" s="322"/>
    </row>
    <row r="40" spans="1:28" ht="19.149999999999999" customHeight="1" x14ac:dyDescent="0.25">
      <c r="A40" s="205" t="s">
        <v>192</v>
      </c>
      <c r="B40" s="218" t="s">
        <v>57</v>
      </c>
      <c r="C40" s="218">
        <v>6.9109999999999996</v>
      </c>
      <c r="D40" s="219" t="s">
        <v>57</v>
      </c>
      <c r="E40" s="233" t="s">
        <v>57</v>
      </c>
      <c r="F40" s="234">
        <v>7.06</v>
      </c>
      <c r="G40" s="219" t="s">
        <v>57</v>
      </c>
      <c r="H40" s="143" t="s">
        <v>57</v>
      </c>
      <c r="I40" s="144">
        <v>7.6289999999999996</v>
      </c>
      <c r="J40" s="219" t="s">
        <v>57</v>
      </c>
      <c r="K40" s="217"/>
      <c r="L40" s="144" t="s">
        <v>57</v>
      </c>
      <c r="M40" s="144">
        <v>7.702</v>
      </c>
      <c r="N40" s="219" t="s">
        <v>57</v>
      </c>
      <c r="O40" s="145" t="s">
        <v>57</v>
      </c>
      <c r="P40" s="145">
        <v>7.3529999999999998</v>
      </c>
      <c r="Q40" s="219" t="s">
        <v>57</v>
      </c>
      <c r="R40" s="145" t="s">
        <v>57</v>
      </c>
      <c r="S40" s="145">
        <v>8.3640000000000008</v>
      </c>
      <c r="T40" s="138" t="s">
        <v>57</v>
      </c>
      <c r="U40" s="215" t="s">
        <v>193</v>
      </c>
      <c r="V40" s="154"/>
      <c r="Z40" s="154"/>
      <c r="AA40" s="154"/>
      <c r="AB40" s="154"/>
    </row>
    <row r="41" spans="1:28" ht="19.149999999999999" customHeight="1" x14ac:dyDescent="0.25">
      <c r="A41" s="205" t="s">
        <v>194</v>
      </c>
      <c r="B41" s="218">
        <v>8.9600000000000009</v>
      </c>
      <c r="C41" s="218">
        <v>8.5660000000000007</v>
      </c>
      <c r="D41" s="219">
        <v>0.39400000000000002</v>
      </c>
      <c r="E41" s="235">
        <v>9.9809999999999999</v>
      </c>
      <c r="F41" s="139">
        <v>9.49</v>
      </c>
      <c r="G41" s="219">
        <v>0.49099999999999999</v>
      </c>
      <c r="H41" s="143">
        <v>10.050000000000001</v>
      </c>
      <c r="I41" s="144">
        <v>9.5269999999999992</v>
      </c>
      <c r="J41" s="219">
        <v>0.52300000000000002</v>
      </c>
      <c r="K41" s="217"/>
      <c r="L41" s="144">
        <v>10.164999999999999</v>
      </c>
      <c r="M41" s="144">
        <v>9.6270000000000007</v>
      </c>
      <c r="N41" s="219">
        <v>0.53800000000000003</v>
      </c>
      <c r="O41" s="145">
        <v>9.9710000000000001</v>
      </c>
      <c r="P41" s="145">
        <v>9.3000000000000007</v>
      </c>
      <c r="Q41" s="219">
        <v>0.67100000000000004</v>
      </c>
      <c r="R41" s="145" t="s">
        <v>57</v>
      </c>
      <c r="S41" s="145">
        <v>9.8759999999999994</v>
      </c>
      <c r="T41" s="138" t="s">
        <v>57</v>
      </c>
      <c r="U41" s="215" t="s">
        <v>195</v>
      </c>
      <c r="V41" s="154"/>
      <c r="Z41" s="154"/>
      <c r="AA41" s="154"/>
      <c r="AB41" s="154"/>
    </row>
    <row r="42" spans="1:28" ht="19.149999999999999" customHeight="1" x14ac:dyDescent="0.25">
      <c r="A42" s="205" t="s">
        <v>196</v>
      </c>
      <c r="B42" s="218">
        <v>9.3580000000000005</v>
      </c>
      <c r="C42" s="218">
        <v>9.2149999999999999</v>
      </c>
      <c r="D42" s="219">
        <v>0.14299999999999999</v>
      </c>
      <c r="E42" s="233">
        <v>11.03</v>
      </c>
      <c r="F42" s="234">
        <v>10.795</v>
      </c>
      <c r="G42" s="219">
        <v>0.23499999999999999</v>
      </c>
      <c r="H42" s="143">
        <v>10.538</v>
      </c>
      <c r="I42" s="144">
        <v>10.343999999999999</v>
      </c>
      <c r="J42" s="219">
        <v>0.19400000000000001</v>
      </c>
      <c r="K42" s="217"/>
      <c r="L42" s="144">
        <v>9.8949999999999996</v>
      </c>
      <c r="M42" s="144">
        <v>9.68</v>
      </c>
      <c r="N42" s="219">
        <v>0.215</v>
      </c>
      <c r="O42" s="145">
        <v>9.5289999999999999</v>
      </c>
      <c r="P42" s="145">
        <v>9.2210000000000001</v>
      </c>
      <c r="Q42" s="219">
        <v>0.308</v>
      </c>
      <c r="R42" s="145" t="s">
        <v>57</v>
      </c>
      <c r="S42" s="145">
        <v>9.173</v>
      </c>
      <c r="T42" s="138" t="s">
        <v>57</v>
      </c>
      <c r="U42" s="215" t="s">
        <v>197</v>
      </c>
      <c r="V42" s="154"/>
      <c r="Z42" s="154"/>
      <c r="AA42" s="154"/>
      <c r="AB42" s="154"/>
    </row>
    <row r="43" spans="1:28" ht="19.149999999999999" customHeight="1" x14ac:dyDescent="0.25">
      <c r="A43" s="205" t="s">
        <v>198</v>
      </c>
      <c r="B43" s="218">
        <v>11.582000000000001</v>
      </c>
      <c r="C43" s="218">
        <v>10.961</v>
      </c>
      <c r="D43" s="219">
        <v>0.621</v>
      </c>
      <c r="E43" s="233">
        <v>11.95</v>
      </c>
      <c r="F43" s="234">
        <v>11.443</v>
      </c>
      <c r="G43" s="219">
        <v>0.50700000000000001</v>
      </c>
      <c r="H43" s="143">
        <v>11.84</v>
      </c>
      <c r="I43" s="144">
        <v>11.327999999999999</v>
      </c>
      <c r="J43" s="219">
        <v>0.51200000000000001</v>
      </c>
      <c r="K43" s="217"/>
      <c r="L43" s="144">
        <v>11.53</v>
      </c>
      <c r="M43" s="144">
        <v>10.946</v>
      </c>
      <c r="N43" s="219">
        <v>0.58399999999999996</v>
      </c>
      <c r="O43" s="145">
        <v>11.888999999999999</v>
      </c>
      <c r="P43" s="145">
        <v>11.278</v>
      </c>
      <c r="Q43" s="219">
        <v>0.61099999999999999</v>
      </c>
      <c r="R43" s="145" t="s">
        <v>57</v>
      </c>
      <c r="S43" s="145">
        <v>11.311999999999999</v>
      </c>
      <c r="T43" s="138" t="s">
        <v>57</v>
      </c>
      <c r="U43" s="215" t="s">
        <v>199</v>
      </c>
      <c r="V43" s="154"/>
      <c r="Z43" s="154"/>
      <c r="AA43" s="154"/>
      <c r="AB43" s="154"/>
    </row>
    <row r="44" spans="1:28" ht="19.149999999999999" customHeight="1" x14ac:dyDescent="0.25">
      <c r="A44" s="205" t="s">
        <v>200</v>
      </c>
      <c r="B44" s="218" t="s">
        <v>57</v>
      </c>
      <c r="C44" s="218">
        <v>11.395</v>
      </c>
      <c r="D44" s="219" t="s">
        <v>57</v>
      </c>
      <c r="E44" s="233" t="s">
        <v>57</v>
      </c>
      <c r="F44" s="234">
        <v>11.99</v>
      </c>
      <c r="G44" s="219" t="s">
        <v>57</v>
      </c>
      <c r="H44" s="143" t="s">
        <v>57</v>
      </c>
      <c r="I44" s="144">
        <v>11.959</v>
      </c>
      <c r="J44" s="219" t="s">
        <v>57</v>
      </c>
      <c r="K44" s="217"/>
      <c r="L44" s="144" t="s">
        <v>57</v>
      </c>
      <c r="M44" s="144">
        <v>11.599</v>
      </c>
      <c r="N44" s="219" t="s">
        <v>57</v>
      </c>
      <c r="O44" s="145" t="s">
        <v>57</v>
      </c>
      <c r="P44" s="145">
        <v>11.691000000000001</v>
      </c>
      <c r="Q44" s="219" t="s">
        <v>57</v>
      </c>
      <c r="R44" s="145" t="s">
        <v>57</v>
      </c>
      <c r="S44" s="145">
        <v>11.773</v>
      </c>
      <c r="T44" s="138" t="s">
        <v>57</v>
      </c>
      <c r="U44" s="215" t="s">
        <v>201</v>
      </c>
      <c r="V44" s="154"/>
      <c r="Z44" s="154"/>
      <c r="AA44" s="154"/>
      <c r="AB44" s="154"/>
    </row>
    <row r="45" spans="1:28" ht="19.149999999999999" customHeight="1" x14ac:dyDescent="0.25">
      <c r="A45" s="205" t="s">
        <v>202</v>
      </c>
      <c r="B45" s="218">
        <v>4.6559999999999997</v>
      </c>
      <c r="C45" s="218">
        <v>4.3600000000000003</v>
      </c>
      <c r="D45" s="219">
        <v>0.29599999999999999</v>
      </c>
      <c r="E45" s="233">
        <v>4.9509999999999996</v>
      </c>
      <c r="F45" s="234">
        <v>4.6159999999999997</v>
      </c>
      <c r="G45" s="219">
        <v>0.33500000000000002</v>
      </c>
      <c r="H45" s="143">
        <v>4.8780000000000001</v>
      </c>
      <c r="I45" s="144">
        <v>4.5609999999999999</v>
      </c>
      <c r="J45" s="219">
        <v>0.317</v>
      </c>
      <c r="K45" s="217"/>
      <c r="L45" s="144">
        <v>4.0419999999999998</v>
      </c>
      <c r="M45" s="144">
        <v>3.7029999999999998</v>
      </c>
      <c r="N45" s="219">
        <v>0.33900000000000002</v>
      </c>
      <c r="O45" s="145">
        <v>4.6870000000000003</v>
      </c>
      <c r="P45" s="145">
        <v>4.2750000000000004</v>
      </c>
      <c r="Q45" s="219">
        <v>0.41199999999999998</v>
      </c>
      <c r="R45" s="145" t="s">
        <v>57</v>
      </c>
      <c r="S45" s="145">
        <v>4.6840000000000002</v>
      </c>
      <c r="T45" s="138" t="s">
        <v>57</v>
      </c>
      <c r="U45" s="215" t="s">
        <v>401</v>
      </c>
      <c r="V45" s="154"/>
      <c r="Z45" s="154"/>
      <c r="AA45" s="154"/>
      <c r="AB45" s="154"/>
    </row>
    <row r="46" spans="1:28" ht="19.149999999999999" customHeight="1" x14ac:dyDescent="0.25">
      <c r="A46" s="205" t="s">
        <v>203</v>
      </c>
      <c r="B46" s="218">
        <v>10.311999999999999</v>
      </c>
      <c r="C46" s="218">
        <v>9.98</v>
      </c>
      <c r="D46" s="219">
        <v>0.33200000000000002</v>
      </c>
      <c r="E46" s="233">
        <v>12.462999999999999</v>
      </c>
      <c r="F46" s="234">
        <v>12.103999999999999</v>
      </c>
      <c r="G46" s="219">
        <v>0.35899999999999999</v>
      </c>
      <c r="H46" s="143">
        <v>12.441000000000001</v>
      </c>
      <c r="I46" s="144">
        <v>12.083</v>
      </c>
      <c r="J46" s="219">
        <v>0.35799999999999998</v>
      </c>
      <c r="K46" s="217"/>
      <c r="L46" s="144">
        <v>11.414</v>
      </c>
      <c r="M46" s="144">
        <v>11.097</v>
      </c>
      <c r="N46" s="219">
        <v>0.317</v>
      </c>
      <c r="O46" s="145">
        <v>11.349</v>
      </c>
      <c r="P46" s="145">
        <v>10.991</v>
      </c>
      <c r="Q46" s="219">
        <v>0.35799999999999998</v>
      </c>
      <c r="R46" s="145" t="s">
        <v>57</v>
      </c>
      <c r="S46" s="145">
        <v>11.132999999999999</v>
      </c>
      <c r="T46" s="138" t="s">
        <v>57</v>
      </c>
      <c r="U46" s="215" t="s">
        <v>204</v>
      </c>
      <c r="V46" s="154"/>
      <c r="Z46" s="154"/>
      <c r="AA46" s="154"/>
      <c r="AB46" s="154"/>
    </row>
    <row r="47" spans="1:28" s="49" customFormat="1" ht="19.149999999999999" customHeight="1" x14ac:dyDescent="0.25">
      <c r="A47" s="206" t="s">
        <v>205</v>
      </c>
      <c r="B47" s="221">
        <v>17.202999999999999</v>
      </c>
      <c r="C47" s="221">
        <v>16.545000000000002</v>
      </c>
      <c r="D47" s="219">
        <v>0.65800000000000003</v>
      </c>
      <c r="E47" s="236">
        <v>19.170000000000002</v>
      </c>
      <c r="F47" s="140">
        <v>18.515999999999998</v>
      </c>
      <c r="G47" s="219">
        <v>0.65400000000000003</v>
      </c>
      <c r="H47" s="148">
        <v>18.010999999999999</v>
      </c>
      <c r="I47" s="149">
        <v>17.352</v>
      </c>
      <c r="J47" s="219">
        <v>0.65900000000000003</v>
      </c>
      <c r="K47" s="217"/>
      <c r="L47" s="149">
        <v>17.140999999999998</v>
      </c>
      <c r="M47" s="149">
        <v>16.529</v>
      </c>
      <c r="N47" s="219">
        <v>0.61199999999999999</v>
      </c>
      <c r="O47" s="149">
        <v>17.295000000000002</v>
      </c>
      <c r="P47" s="149">
        <v>16.693999999999999</v>
      </c>
      <c r="Q47" s="219">
        <v>0.60099999999999998</v>
      </c>
      <c r="R47" s="149" t="s">
        <v>57</v>
      </c>
      <c r="S47" s="149">
        <v>17.16</v>
      </c>
      <c r="T47" s="147" t="s">
        <v>57</v>
      </c>
      <c r="U47" s="216" t="s">
        <v>206</v>
      </c>
      <c r="V47" s="155"/>
      <c r="Y47" s="21"/>
      <c r="Z47" s="154"/>
      <c r="AA47" s="154"/>
      <c r="AB47" s="154"/>
    </row>
    <row r="48" spans="1:28" s="227" customFormat="1" ht="14.1" customHeight="1" x14ac:dyDescent="0.2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</row>
  </sheetData>
  <mergeCells count="30">
    <mergeCell ref="A48:J48"/>
    <mergeCell ref="L48:U48"/>
    <mergeCell ref="L5:L6"/>
    <mergeCell ref="M5:N5"/>
    <mergeCell ref="O5:O6"/>
    <mergeCell ref="P5:Q5"/>
    <mergeCell ref="R5:R6"/>
    <mergeCell ref="S5:T5"/>
    <mergeCell ref="B5:B6"/>
    <mergeCell ref="C5:D5"/>
    <mergeCell ref="E5:E6"/>
    <mergeCell ref="F5:G5"/>
    <mergeCell ref="H5:H6"/>
    <mergeCell ref="I5:J5"/>
    <mergeCell ref="R4:T4"/>
    <mergeCell ref="A1:J1"/>
    <mergeCell ref="L1:U1"/>
    <mergeCell ref="A3:A7"/>
    <mergeCell ref="B3:D3"/>
    <mergeCell ref="E3:G3"/>
    <mergeCell ref="H3:J3"/>
    <mergeCell ref="L3:N3"/>
    <mergeCell ref="O3:Q3"/>
    <mergeCell ref="R3:T3"/>
    <mergeCell ref="U3:U7"/>
    <mergeCell ref="B4:D4"/>
    <mergeCell ref="E4:G4"/>
    <mergeCell ref="H4:J4"/>
    <mergeCell ref="L4:N4"/>
    <mergeCell ref="O4:Q4"/>
  </mergeCells>
  <phoneticPr fontId="17" type="noConversion"/>
  <printOptions horizontalCentered="1"/>
  <pageMargins left="0.31496062992125984" right="0.31496062992125984" top="0.59055118110236227" bottom="0.59055118110236227" header="0.51181102362204722" footer="0.51181102362204722"/>
  <pageSetup paperSize="9" scale="80" firstPageNumber="138" fitToWidth="2" orientation="portrait" r:id="rId1"/>
  <headerFooter alignWithMargins="0"/>
  <colBreaks count="1" manualBreakCount="1">
    <brk id="11" max="48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/>
  </sheetPr>
  <dimension ref="A1:AB51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C8" sqref="C8"/>
    </sheetView>
  </sheetViews>
  <sheetFormatPr defaultColWidth="9" defaultRowHeight="15.75" x14ac:dyDescent="0.25"/>
  <cols>
    <col min="1" max="1" width="12" style="21" customWidth="1"/>
    <col min="2" max="10" width="11.125" style="21" customWidth="1"/>
    <col min="11" max="11" width="0.625" style="21" customWidth="1"/>
    <col min="12" max="20" width="11.125" style="21" customWidth="1"/>
    <col min="21" max="21" width="11.875" style="21" customWidth="1"/>
    <col min="22" max="16384" width="9" style="21"/>
  </cols>
  <sheetData>
    <row r="1" spans="1:28" ht="23.45" customHeight="1" x14ac:dyDescent="0.25">
      <c r="A1" s="720" t="s">
        <v>655</v>
      </c>
      <c r="B1" s="720"/>
      <c r="C1" s="720"/>
      <c r="D1" s="720"/>
      <c r="E1" s="720"/>
      <c r="F1" s="720"/>
      <c r="G1" s="720"/>
      <c r="H1" s="720"/>
      <c r="I1" s="720"/>
      <c r="J1" s="720"/>
      <c r="K1" s="576"/>
      <c r="L1" s="721" t="s">
        <v>556</v>
      </c>
      <c r="M1" s="721"/>
      <c r="N1" s="721"/>
      <c r="O1" s="721"/>
      <c r="P1" s="721"/>
      <c r="Q1" s="721"/>
      <c r="R1" s="721"/>
      <c r="S1" s="721"/>
      <c r="T1" s="721"/>
      <c r="U1" s="721"/>
    </row>
    <row r="2" spans="1:28" ht="16.149999999999999" customHeight="1" x14ac:dyDescent="0.25">
      <c r="A2" s="586" t="s">
        <v>616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4"/>
      <c r="M2" s="574"/>
      <c r="N2" s="574"/>
      <c r="O2" s="574"/>
      <c r="P2" s="574"/>
      <c r="Q2" s="574"/>
      <c r="R2" s="722" t="s">
        <v>617</v>
      </c>
      <c r="S2" s="722"/>
      <c r="T2" s="722"/>
      <c r="U2" s="722"/>
    </row>
    <row r="3" spans="1:28" s="22" customFormat="1" ht="15.6" customHeight="1" x14ac:dyDescent="0.25">
      <c r="A3" s="723" t="s">
        <v>469</v>
      </c>
      <c r="B3" s="726" t="s">
        <v>546</v>
      </c>
      <c r="C3" s="727"/>
      <c r="D3" s="728"/>
      <c r="E3" s="726" t="s">
        <v>487</v>
      </c>
      <c r="F3" s="727"/>
      <c r="G3" s="728"/>
      <c r="H3" s="726" t="s">
        <v>488</v>
      </c>
      <c r="I3" s="727"/>
      <c r="J3" s="728"/>
      <c r="K3" s="578"/>
      <c r="L3" s="727" t="s">
        <v>489</v>
      </c>
      <c r="M3" s="727"/>
      <c r="N3" s="728"/>
      <c r="O3" s="729" t="s">
        <v>490</v>
      </c>
      <c r="P3" s="729"/>
      <c r="Q3" s="729"/>
      <c r="R3" s="729" t="s">
        <v>491</v>
      </c>
      <c r="S3" s="729"/>
      <c r="T3" s="729"/>
      <c r="U3" s="735" t="s">
        <v>470</v>
      </c>
    </row>
    <row r="4" spans="1:28" ht="14.45" customHeight="1" x14ac:dyDescent="0.25">
      <c r="A4" s="724"/>
      <c r="B4" s="730">
        <v>2013</v>
      </c>
      <c r="C4" s="731"/>
      <c r="D4" s="732"/>
      <c r="E4" s="730">
        <v>2014</v>
      </c>
      <c r="F4" s="731"/>
      <c r="G4" s="732"/>
      <c r="H4" s="730">
        <v>2015</v>
      </c>
      <c r="I4" s="731"/>
      <c r="J4" s="732"/>
      <c r="K4" s="578"/>
      <c r="L4" s="731">
        <v>2016</v>
      </c>
      <c r="M4" s="731"/>
      <c r="N4" s="732"/>
      <c r="O4" s="747">
        <v>2017</v>
      </c>
      <c r="P4" s="747"/>
      <c r="Q4" s="747"/>
      <c r="R4" s="747">
        <v>2018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33" t="s">
        <v>486</v>
      </c>
      <c r="F5" s="740"/>
      <c r="G5" s="741"/>
      <c r="H5" s="742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3" customHeight="1" x14ac:dyDescent="0.25">
      <c r="A6" s="724"/>
      <c r="B6" s="734"/>
      <c r="C6" s="329" t="s">
        <v>467</v>
      </c>
      <c r="D6" s="329" t="s">
        <v>468</v>
      </c>
      <c r="E6" s="734"/>
      <c r="F6" s="329" t="s">
        <v>467</v>
      </c>
      <c r="G6" s="329" t="s">
        <v>468</v>
      </c>
      <c r="H6" s="743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8.9" customHeight="1" x14ac:dyDescent="0.25">
      <c r="A7" s="725"/>
      <c r="B7" s="141" t="s">
        <v>430</v>
      </c>
      <c r="C7" s="260" t="s">
        <v>431</v>
      </c>
      <c r="D7" s="260" t="s">
        <v>547</v>
      </c>
      <c r="E7" s="141" t="s">
        <v>430</v>
      </c>
      <c r="F7" s="260" t="s">
        <v>431</v>
      </c>
      <c r="G7" s="260" t="s">
        <v>547</v>
      </c>
      <c r="H7" s="142" t="s">
        <v>430</v>
      </c>
      <c r="I7" s="260" t="s">
        <v>431</v>
      </c>
      <c r="J7" s="260" t="s">
        <v>548</v>
      </c>
      <c r="K7" s="293"/>
      <c r="L7" s="142" t="s">
        <v>430</v>
      </c>
      <c r="M7" s="260" t="s">
        <v>431</v>
      </c>
      <c r="N7" s="260" t="s">
        <v>432</v>
      </c>
      <c r="O7" s="141" t="s">
        <v>430</v>
      </c>
      <c r="P7" s="260" t="s">
        <v>431</v>
      </c>
      <c r="Q7" s="260" t="s">
        <v>432</v>
      </c>
      <c r="R7" s="141" t="s">
        <v>430</v>
      </c>
      <c r="S7" s="260" t="s">
        <v>431</v>
      </c>
      <c r="T7" s="260" t="s">
        <v>432</v>
      </c>
      <c r="U7" s="737"/>
    </row>
    <row r="8" spans="1:28" ht="19.149999999999999" customHeight="1" x14ac:dyDescent="0.25">
      <c r="A8" s="204" t="s">
        <v>136</v>
      </c>
      <c r="B8" s="222">
        <v>1519</v>
      </c>
      <c r="C8" s="223">
        <v>1423</v>
      </c>
      <c r="D8" s="224">
        <v>96</v>
      </c>
      <c r="E8" s="223">
        <v>1552</v>
      </c>
      <c r="F8" s="223">
        <v>1453</v>
      </c>
      <c r="G8" s="224">
        <v>100</v>
      </c>
      <c r="H8" s="222">
        <v>1531</v>
      </c>
      <c r="I8" s="223">
        <v>1433</v>
      </c>
      <c r="J8" s="224">
        <v>98</v>
      </c>
      <c r="K8" s="231">
        <v>0</v>
      </c>
      <c r="L8" s="223">
        <v>1586</v>
      </c>
      <c r="M8" s="223">
        <v>1472</v>
      </c>
      <c r="N8" s="224">
        <v>115</v>
      </c>
      <c r="O8" s="222">
        <v>1780</v>
      </c>
      <c r="P8" s="223">
        <v>1664</v>
      </c>
      <c r="Q8" s="224">
        <v>116</v>
      </c>
      <c r="R8" s="222">
        <v>1911</v>
      </c>
      <c r="S8" s="223">
        <v>1778</v>
      </c>
      <c r="T8" s="224">
        <v>134</v>
      </c>
      <c r="U8" s="215" t="s">
        <v>137</v>
      </c>
    </row>
    <row r="9" spans="1:28" ht="19.149999999999999" customHeight="1" x14ac:dyDescent="0.25">
      <c r="A9" s="205" t="s">
        <v>138</v>
      </c>
      <c r="B9" s="160">
        <v>6219</v>
      </c>
      <c r="C9" s="158">
        <v>5839</v>
      </c>
      <c r="D9" s="159">
        <v>380</v>
      </c>
      <c r="E9" s="158">
        <v>6497</v>
      </c>
      <c r="F9" s="158">
        <v>6129</v>
      </c>
      <c r="G9" s="159">
        <v>367</v>
      </c>
      <c r="H9" s="160">
        <v>5623</v>
      </c>
      <c r="I9" s="158">
        <v>5301</v>
      </c>
      <c r="J9" s="159">
        <v>322</v>
      </c>
      <c r="K9" s="160">
        <v>0</v>
      </c>
      <c r="L9" s="158">
        <v>5839</v>
      </c>
      <c r="M9" s="158">
        <v>5450</v>
      </c>
      <c r="N9" s="159">
        <v>389</v>
      </c>
      <c r="O9" s="160">
        <v>6092</v>
      </c>
      <c r="P9" s="158">
        <v>5803</v>
      </c>
      <c r="Q9" s="159">
        <v>289</v>
      </c>
      <c r="R9" s="160">
        <v>6193</v>
      </c>
      <c r="S9" s="158">
        <v>5880</v>
      </c>
      <c r="T9" s="159">
        <v>313</v>
      </c>
      <c r="U9" s="215" t="s">
        <v>139</v>
      </c>
      <c r="Z9" s="255"/>
      <c r="AA9" s="255"/>
      <c r="AB9" s="255"/>
    </row>
    <row r="10" spans="1:28" ht="19.149999999999999" customHeight="1" x14ac:dyDescent="0.25">
      <c r="A10" s="205" t="s">
        <v>140</v>
      </c>
      <c r="B10" s="160">
        <v>5526</v>
      </c>
      <c r="C10" s="158">
        <v>5235</v>
      </c>
      <c r="D10" s="159">
        <v>292</v>
      </c>
      <c r="E10" s="158">
        <v>5695</v>
      </c>
      <c r="F10" s="158">
        <v>5394</v>
      </c>
      <c r="G10" s="159">
        <v>301</v>
      </c>
      <c r="H10" s="160">
        <v>4872</v>
      </c>
      <c r="I10" s="158">
        <v>4619</v>
      </c>
      <c r="J10" s="159">
        <v>253</v>
      </c>
      <c r="K10" s="160">
        <v>0</v>
      </c>
      <c r="L10" s="158">
        <v>4978</v>
      </c>
      <c r="M10" s="158">
        <v>4739</v>
      </c>
      <c r="N10" s="159">
        <v>239</v>
      </c>
      <c r="O10" s="160">
        <v>5254</v>
      </c>
      <c r="P10" s="158">
        <v>4986</v>
      </c>
      <c r="Q10" s="159">
        <v>268</v>
      </c>
      <c r="R10" s="160">
        <v>5668</v>
      </c>
      <c r="S10" s="158">
        <v>5383</v>
      </c>
      <c r="T10" s="159">
        <v>285</v>
      </c>
      <c r="U10" s="215" t="s">
        <v>141</v>
      </c>
      <c r="Z10" s="255"/>
      <c r="AA10" s="255"/>
      <c r="AB10" s="255"/>
    </row>
    <row r="11" spans="1:28" ht="19.149999999999999" customHeight="1" x14ac:dyDescent="0.25">
      <c r="A11" s="205" t="s">
        <v>142</v>
      </c>
      <c r="B11" s="160" t="s">
        <v>57</v>
      </c>
      <c r="C11" s="158">
        <v>4996</v>
      </c>
      <c r="D11" s="159" t="s">
        <v>57</v>
      </c>
      <c r="E11" s="158" t="s">
        <v>57</v>
      </c>
      <c r="F11" s="158">
        <v>5097</v>
      </c>
      <c r="G11" s="159" t="s">
        <v>57</v>
      </c>
      <c r="H11" s="160" t="s">
        <v>57</v>
      </c>
      <c r="I11" s="158">
        <v>4451</v>
      </c>
      <c r="J11" s="159" t="s">
        <v>57</v>
      </c>
      <c r="K11" s="160">
        <v>0</v>
      </c>
      <c r="L11" s="158" t="s">
        <v>57</v>
      </c>
      <c r="M11" s="158">
        <v>4561</v>
      </c>
      <c r="N11" s="159" t="s">
        <v>57</v>
      </c>
      <c r="O11" s="160" t="s">
        <v>57</v>
      </c>
      <c r="P11" s="158">
        <v>4818</v>
      </c>
      <c r="Q11" s="159" t="s">
        <v>57</v>
      </c>
      <c r="R11" s="160" t="s">
        <v>57</v>
      </c>
      <c r="S11" s="158">
        <v>5221</v>
      </c>
      <c r="T11" s="159" t="s">
        <v>57</v>
      </c>
      <c r="U11" s="215" t="s">
        <v>143</v>
      </c>
      <c r="Z11" s="255"/>
      <c r="AA11" s="255"/>
      <c r="AB11" s="255"/>
    </row>
    <row r="12" spans="1:28" ht="19.149999999999999" customHeight="1" x14ac:dyDescent="0.25">
      <c r="A12" s="205" t="s">
        <v>144</v>
      </c>
      <c r="B12" s="160">
        <v>5747</v>
      </c>
      <c r="C12" s="158">
        <v>5493</v>
      </c>
      <c r="D12" s="159">
        <v>254</v>
      </c>
      <c r="E12" s="158">
        <v>5462</v>
      </c>
      <c r="F12" s="158">
        <v>5239</v>
      </c>
      <c r="G12" s="159">
        <v>222</v>
      </c>
      <c r="H12" s="160">
        <v>4891</v>
      </c>
      <c r="I12" s="158">
        <v>4692</v>
      </c>
      <c r="J12" s="159">
        <v>199</v>
      </c>
      <c r="K12" s="160">
        <v>0</v>
      </c>
      <c r="L12" s="158">
        <v>4858</v>
      </c>
      <c r="M12" s="158">
        <v>4678</v>
      </c>
      <c r="N12" s="159">
        <v>179</v>
      </c>
      <c r="O12" s="160">
        <v>5103</v>
      </c>
      <c r="P12" s="158">
        <v>4930</v>
      </c>
      <c r="Q12" s="159">
        <v>172</v>
      </c>
      <c r="R12" s="160">
        <v>5261</v>
      </c>
      <c r="S12" s="158">
        <v>5083</v>
      </c>
      <c r="T12" s="159">
        <v>178</v>
      </c>
      <c r="U12" s="215" t="s">
        <v>145</v>
      </c>
      <c r="Z12" s="255"/>
      <c r="AA12" s="255"/>
      <c r="AB12" s="255"/>
    </row>
    <row r="13" spans="1:28" ht="19.149999999999999" customHeight="1" x14ac:dyDescent="0.25">
      <c r="A13" s="205" t="s">
        <v>146</v>
      </c>
      <c r="B13" s="163">
        <v>1220</v>
      </c>
      <c r="C13" s="156">
        <v>1177</v>
      </c>
      <c r="D13" s="159">
        <v>43</v>
      </c>
      <c r="E13" s="156" t="s">
        <v>57</v>
      </c>
      <c r="F13" s="156">
        <v>1144</v>
      </c>
      <c r="G13" s="159" t="s">
        <v>57</v>
      </c>
      <c r="H13" s="163" t="s">
        <v>57</v>
      </c>
      <c r="I13" s="156">
        <v>1127</v>
      </c>
      <c r="J13" s="159" t="s">
        <v>57</v>
      </c>
      <c r="K13" s="160">
        <v>0</v>
      </c>
      <c r="L13" s="158">
        <v>1216</v>
      </c>
      <c r="M13" s="158">
        <v>1174</v>
      </c>
      <c r="N13" s="159">
        <v>42</v>
      </c>
      <c r="O13" s="160">
        <v>1401</v>
      </c>
      <c r="P13" s="158">
        <v>1364</v>
      </c>
      <c r="Q13" s="159">
        <v>37</v>
      </c>
      <c r="R13" s="160" t="s">
        <v>57</v>
      </c>
      <c r="S13" s="158">
        <v>1442</v>
      </c>
      <c r="T13" s="159" t="s">
        <v>57</v>
      </c>
      <c r="U13" s="215" t="s">
        <v>147</v>
      </c>
      <c r="Z13" s="255"/>
      <c r="AA13" s="255"/>
      <c r="AB13" s="255"/>
    </row>
    <row r="14" spans="1:28" ht="19.149999999999999" customHeight="1" x14ac:dyDescent="0.25">
      <c r="A14" s="225" t="s">
        <v>383</v>
      </c>
      <c r="B14" s="163" t="s">
        <v>57</v>
      </c>
      <c r="C14" s="156">
        <v>590</v>
      </c>
      <c r="D14" s="159" t="s">
        <v>57</v>
      </c>
      <c r="E14" s="156" t="s">
        <v>57</v>
      </c>
      <c r="F14" s="156">
        <v>597</v>
      </c>
      <c r="G14" s="159" t="s">
        <v>57</v>
      </c>
      <c r="H14" s="163" t="s">
        <v>57</v>
      </c>
      <c r="I14" s="156">
        <v>477</v>
      </c>
      <c r="J14" s="159" t="s">
        <v>57</v>
      </c>
      <c r="K14" s="160">
        <v>0</v>
      </c>
      <c r="L14" s="158" t="s">
        <v>57</v>
      </c>
      <c r="M14" s="158">
        <v>455</v>
      </c>
      <c r="N14" s="159" t="s">
        <v>57</v>
      </c>
      <c r="O14" s="160" t="s">
        <v>57</v>
      </c>
      <c r="P14" s="158">
        <v>505</v>
      </c>
      <c r="Q14" s="159" t="s">
        <v>57</v>
      </c>
      <c r="R14" s="160" t="s">
        <v>57</v>
      </c>
      <c r="S14" s="158">
        <v>534</v>
      </c>
      <c r="T14" s="159" t="s">
        <v>57</v>
      </c>
      <c r="U14" s="226" t="s">
        <v>384</v>
      </c>
      <c r="Z14" s="255"/>
      <c r="AA14" s="255"/>
      <c r="AB14" s="255"/>
    </row>
    <row r="15" spans="1:28" ht="19.149999999999999" customHeight="1" x14ac:dyDescent="0.25">
      <c r="A15" s="225" t="s">
        <v>392</v>
      </c>
      <c r="B15" s="163">
        <v>854</v>
      </c>
      <c r="C15" s="156">
        <v>824</v>
      </c>
      <c r="D15" s="159">
        <v>30</v>
      </c>
      <c r="E15" s="156">
        <v>850</v>
      </c>
      <c r="F15" s="156">
        <v>829</v>
      </c>
      <c r="G15" s="159">
        <v>21</v>
      </c>
      <c r="H15" s="163">
        <v>905</v>
      </c>
      <c r="I15" s="156">
        <v>880</v>
      </c>
      <c r="J15" s="159">
        <v>25</v>
      </c>
      <c r="K15" s="160">
        <v>0</v>
      </c>
      <c r="L15" s="158">
        <v>903</v>
      </c>
      <c r="M15" s="158">
        <v>874</v>
      </c>
      <c r="N15" s="159">
        <v>29</v>
      </c>
      <c r="O15" s="160">
        <v>887</v>
      </c>
      <c r="P15" s="158">
        <v>856</v>
      </c>
      <c r="Q15" s="159">
        <v>31</v>
      </c>
      <c r="R15" s="160">
        <v>935</v>
      </c>
      <c r="S15" s="158">
        <v>905</v>
      </c>
      <c r="T15" s="159">
        <v>30</v>
      </c>
      <c r="U15" s="226" t="s">
        <v>391</v>
      </c>
      <c r="Z15" s="255"/>
      <c r="AA15" s="255"/>
      <c r="AB15" s="255"/>
    </row>
    <row r="16" spans="1:28" ht="19.149999999999999" customHeight="1" x14ac:dyDescent="0.25">
      <c r="A16" s="205" t="s">
        <v>148</v>
      </c>
      <c r="B16" s="160">
        <v>1526</v>
      </c>
      <c r="C16" s="158">
        <v>1509</v>
      </c>
      <c r="D16" s="159">
        <v>17</v>
      </c>
      <c r="E16" s="158">
        <v>1527</v>
      </c>
      <c r="F16" s="158">
        <v>1511</v>
      </c>
      <c r="G16" s="159">
        <v>16</v>
      </c>
      <c r="H16" s="160">
        <v>1328</v>
      </c>
      <c r="I16" s="158">
        <v>1308</v>
      </c>
      <c r="J16" s="159">
        <v>21</v>
      </c>
      <c r="K16" s="160">
        <v>0</v>
      </c>
      <c r="L16" s="158">
        <v>1393</v>
      </c>
      <c r="M16" s="158">
        <v>1373</v>
      </c>
      <c r="N16" s="159">
        <v>20</v>
      </c>
      <c r="O16" s="160">
        <v>1533</v>
      </c>
      <c r="P16" s="158">
        <v>1515</v>
      </c>
      <c r="Q16" s="159">
        <v>19</v>
      </c>
      <c r="R16" s="160">
        <v>1774</v>
      </c>
      <c r="S16" s="158">
        <v>1748</v>
      </c>
      <c r="T16" s="159">
        <v>26</v>
      </c>
      <c r="U16" s="215" t="s">
        <v>149</v>
      </c>
      <c r="Z16" s="255"/>
      <c r="AA16" s="255"/>
      <c r="AB16" s="255"/>
    </row>
    <row r="17" spans="1:28" ht="19.149999999999999" customHeight="1" x14ac:dyDescent="0.25">
      <c r="A17" s="205" t="s">
        <v>150</v>
      </c>
      <c r="B17" s="160">
        <v>6688</v>
      </c>
      <c r="C17" s="158">
        <v>6309</v>
      </c>
      <c r="D17" s="159">
        <v>379</v>
      </c>
      <c r="E17" s="158">
        <v>6848</v>
      </c>
      <c r="F17" s="158">
        <v>6437</v>
      </c>
      <c r="G17" s="159">
        <v>411</v>
      </c>
      <c r="H17" s="160">
        <v>5834</v>
      </c>
      <c r="I17" s="158">
        <v>5500</v>
      </c>
      <c r="J17" s="159">
        <v>334</v>
      </c>
      <c r="K17" s="160">
        <v>0</v>
      </c>
      <c r="L17" s="158">
        <v>5923</v>
      </c>
      <c r="M17" s="158">
        <v>5596</v>
      </c>
      <c r="N17" s="159">
        <v>327</v>
      </c>
      <c r="O17" s="160">
        <v>6180</v>
      </c>
      <c r="P17" s="158">
        <v>5818</v>
      </c>
      <c r="Q17" s="159">
        <v>363</v>
      </c>
      <c r="R17" s="160">
        <v>6594</v>
      </c>
      <c r="S17" s="158">
        <v>6219</v>
      </c>
      <c r="T17" s="159">
        <v>374</v>
      </c>
      <c r="U17" s="215" t="s">
        <v>151</v>
      </c>
      <c r="Z17" s="255"/>
      <c r="AA17" s="255"/>
      <c r="AB17" s="255"/>
    </row>
    <row r="18" spans="1:28" ht="19.149999999999999" customHeight="1" x14ac:dyDescent="0.25">
      <c r="A18" s="205" t="s">
        <v>152</v>
      </c>
      <c r="B18" s="163">
        <v>1285</v>
      </c>
      <c r="C18" s="158">
        <v>1197</v>
      </c>
      <c r="D18" s="159">
        <v>88</v>
      </c>
      <c r="E18" s="156">
        <v>1339</v>
      </c>
      <c r="F18" s="158">
        <v>1289</v>
      </c>
      <c r="G18" s="159">
        <v>50</v>
      </c>
      <c r="H18" s="163">
        <v>1262</v>
      </c>
      <c r="I18" s="158">
        <v>1156</v>
      </c>
      <c r="J18" s="159">
        <v>107</v>
      </c>
      <c r="K18" s="160">
        <v>0</v>
      </c>
      <c r="L18" s="158">
        <v>1300</v>
      </c>
      <c r="M18" s="158">
        <v>1226</v>
      </c>
      <c r="N18" s="159">
        <v>73</v>
      </c>
      <c r="O18" s="160">
        <v>1397</v>
      </c>
      <c r="P18" s="158">
        <v>1348</v>
      </c>
      <c r="Q18" s="159">
        <v>48</v>
      </c>
      <c r="R18" s="160">
        <v>1612</v>
      </c>
      <c r="S18" s="158">
        <v>1550</v>
      </c>
      <c r="T18" s="159">
        <v>61</v>
      </c>
      <c r="U18" s="215" t="s">
        <v>153</v>
      </c>
      <c r="Z18" s="255"/>
      <c r="AA18" s="255"/>
      <c r="AB18" s="255"/>
    </row>
    <row r="19" spans="1:28" ht="19.149999999999999" customHeight="1" x14ac:dyDescent="0.25">
      <c r="A19" s="205" t="s">
        <v>154</v>
      </c>
      <c r="B19" s="160">
        <v>5099</v>
      </c>
      <c r="C19" s="158">
        <v>4892</v>
      </c>
      <c r="D19" s="159">
        <v>207</v>
      </c>
      <c r="E19" s="158">
        <v>5122</v>
      </c>
      <c r="F19" s="158">
        <v>4923</v>
      </c>
      <c r="G19" s="159">
        <v>200</v>
      </c>
      <c r="H19" s="160">
        <v>4294</v>
      </c>
      <c r="I19" s="158">
        <v>4128</v>
      </c>
      <c r="J19" s="159">
        <v>166</v>
      </c>
      <c r="K19" s="160">
        <v>0</v>
      </c>
      <c r="L19" s="158">
        <v>4277</v>
      </c>
      <c r="M19" s="158">
        <v>4109</v>
      </c>
      <c r="N19" s="159">
        <v>168</v>
      </c>
      <c r="O19" s="160">
        <v>4461</v>
      </c>
      <c r="P19" s="158">
        <v>4236</v>
      </c>
      <c r="Q19" s="159">
        <v>225</v>
      </c>
      <c r="R19" s="160">
        <v>4751</v>
      </c>
      <c r="S19" s="158">
        <v>4520</v>
      </c>
      <c r="T19" s="159">
        <v>231</v>
      </c>
      <c r="U19" s="215" t="s">
        <v>155</v>
      </c>
      <c r="Z19" s="255"/>
      <c r="AA19" s="255"/>
      <c r="AB19" s="255"/>
    </row>
    <row r="20" spans="1:28" ht="19.149999999999999" customHeight="1" x14ac:dyDescent="0.25">
      <c r="A20" s="205" t="s">
        <v>156</v>
      </c>
      <c r="B20" s="160" t="s">
        <v>57</v>
      </c>
      <c r="C20" s="158">
        <v>4915</v>
      </c>
      <c r="D20" s="159" t="s">
        <v>57</v>
      </c>
      <c r="E20" s="158" t="s">
        <v>57</v>
      </c>
      <c r="F20" s="158">
        <v>4996</v>
      </c>
      <c r="G20" s="159" t="s">
        <v>57</v>
      </c>
      <c r="H20" s="160" t="s">
        <v>57</v>
      </c>
      <c r="I20" s="158">
        <v>4221</v>
      </c>
      <c r="J20" s="159" t="s">
        <v>57</v>
      </c>
      <c r="K20" s="160">
        <v>0</v>
      </c>
      <c r="L20" s="158" t="s">
        <v>57</v>
      </c>
      <c r="M20" s="158">
        <v>4284</v>
      </c>
      <c r="N20" s="159" t="s">
        <v>57</v>
      </c>
      <c r="O20" s="160" t="s">
        <v>57</v>
      </c>
      <c r="P20" s="158">
        <v>4429</v>
      </c>
      <c r="Q20" s="159" t="s">
        <v>57</v>
      </c>
      <c r="R20" s="160" t="s">
        <v>57</v>
      </c>
      <c r="S20" s="158">
        <v>4684</v>
      </c>
      <c r="T20" s="159" t="s">
        <v>57</v>
      </c>
      <c r="U20" s="215" t="s">
        <v>157</v>
      </c>
      <c r="Z20" s="255"/>
      <c r="AA20" s="255"/>
      <c r="AB20" s="255"/>
    </row>
    <row r="21" spans="1:28" ht="19.149999999999999" customHeight="1" x14ac:dyDescent="0.25">
      <c r="A21" s="205" t="s">
        <v>158</v>
      </c>
      <c r="B21" s="160" t="s">
        <v>57</v>
      </c>
      <c r="C21" s="158">
        <v>5073</v>
      </c>
      <c r="D21" s="159" t="s">
        <v>57</v>
      </c>
      <c r="E21" s="158" t="s">
        <v>57</v>
      </c>
      <c r="F21" s="158">
        <v>5273</v>
      </c>
      <c r="G21" s="159" t="s">
        <v>57</v>
      </c>
      <c r="H21" s="160" t="s">
        <v>57</v>
      </c>
      <c r="I21" s="158">
        <v>4578</v>
      </c>
      <c r="J21" s="159" t="s">
        <v>57</v>
      </c>
      <c r="K21" s="160">
        <v>0</v>
      </c>
      <c r="L21" s="158" t="s">
        <v>57</v>
      </c>
      <c r="M21" s="158">
        <v>4713</v>
      </c>
      <c r="N21" s="159" t="s">
        <v>57</v>
      </c>
      <c r="O21" s="160" t="s">
        <v>57</v>
      </c>
      <c r="P21" s="158">
        <v>5031</v>
      </c>
      <c r="Q21" s="159" t="s">
        <v>57</v>
      </c>
      <c r="R21" s="160" t="s">
        <v>57</v>
      </c>
      <c r="S21" s="158">
        <v>5466</v>
      </c>
      <c r="T21" s="159" t="s">
        <v>57</v>
      </c>
      <c r="U21" s="215" t="s">
        <v>159</v>
      </c>
      <c r="Z21" s="255"/>
      <c r="AA21" s="255"/>
      <c r="AB21" s="255"/>
    </row>
    <row r="22" spans="1:28" ht="19.149999999999999" customHeight="1" x14ac:dyDescent="0.25">
      <c r="A22" s="205" t="s">
        <v>160</v>
      </c>
      <c r="B22" s="160">
        <v>1869</v>
      </c>
      <c r="C22" s="158">
        <v>1838</v>
      </c>
      <c r="D22" s="159">
        <v>31</v>
      </c>
      <c r="E22" s="158">
        <v>1728</v>
      </c>
      <c r="F22" s="158">
        <v>1706</v>
      </c>
      <c r="G22" s="159">
        <v>23</v>
      </c>
      <c r="H22" s="160">
        <v>1508</v>
      </c>
      <c r="I22" s="158">
        <v>1487</v>
      </c>
      <c r="J22" s="159">
        <v>21</v>
      </c>
      <c r="K22" s="160">
        <v>0</v>
      </c>
      <c r="L22" s="158">
        <v>1533</v>
      </c>
      <c r="M22" s="158">
        <v>1514</v>
      </c>
      <c r="N22" s="159">
        <v>19</v>
      </c>
      <c r="O22" s="160">
        <v>1536</v>
      </c>
      <c r="P22" s="158">
        <v>1512</v>
      </c>
      <c r="Q22" s="159">
        <v>24</v>
      </c>
      <c r="R22" s="160">
        <v>1640</v>
      </c>
      <c r="S22" s="158">
        <v>1604</v>
      </c>
      <c r="T22" s="159">
        <v>36</v>
      </c>
      <c r="U22" s="215" t="s">
        <v>161</v>
      </c>
      <c r="Z22" s="255"/>
      <c r="AA22" s="255"/>
      <c r="AB22" s="255"/>
    </row>
    <row r="23" spans="1:28" ht="19.149999999999999" customHeight="1" x14ac:dyDescent="0.25">
      <c r="A23" s="205" t="s">
        <v>162</v>
      </c>
      <c r="B23" s="160">
        <v>1020</v>
      </c>
      <c r="C23" s="158">
        <v>994</v>
      </c>
      <c r="D23" s="159">
        <v>26</v>
      </c>
      <c r="E23" s="158">
        <v>1050</v>
      </c>
      <c r="F23" s="158">
        <v>1011</v>
      </c>
      <c r="G23" s="159">
        <v>39</v>
      </c>
      <c r="H23" s="160">
        <v>935</v>
      </c>
      <c r="I23" s="158">
        <v>876</v>
      </c>
      <c r="J23" s="159">
        <v>59</v>
      </c>
      <c r="K23" s="160">
        <v>0</v>
      </c>
      <c r="L23" s="158">
        <v>934</v>
      </c>
      <c r="M23" s="158">
        <v>921</v>
      </c>
      <c r="N23" s="159">
        <v>13</v>
      </c>
      <c r="O23" s="160">
        <v>1015</v>
      </c>
      <c r="P23" s="158">
        <v>992</v>
      </c>
      <c r="Q23" s="159">
        <v>23</v>
      </c>
      <c r="R23" s="160">
        <v>1117</v>
      </c>
      <c r="S23" s="158">
        <v>1088</v>
      </c>
      <c r="T23" s="159">
        <v>29</v>
      </c>
      <c r="U23" s="215" t="s">
        <v>163</v>
      </c>
      <c r="Z23" s="255"/>
      <c r="AA23" s="255"/>
      <c r="AB23" s="255"/>
    </row>
    <row r="24" spans="1:28" ht="19.149999999999999" customHeight="1" x14ac:dyDescent="0.25">
      <c r="A24" s="205" t="s">
        <v>164</v>
      </c>
      <c r="B24" s="160">
        <v>4187</v>
      </c>
      <c r="C24" s="158">
        <v>4097</v>
      </c>
      <c r="D24" s="159">
        <v>90</v>
      </c>
      <c r="E24" s="158">
        <v>4645</v>
      </c>
      <c r="F24" s="158">
        <v>4525</v>
      </c>
      <c r="G24" s="159">
        <v>120</v>
      </c>
      <c r="H24" s="160">
        <v>4411</v>
      </c>
      <c r="I24" s="158">
        <v>4306</v>
      </c>
      <c r="J24" s="159">
        <v>106</v>
      </c>
      <c r="K24" s="160">
        <v>0</v>
      </c>
      <c r="L24" s="158">
        <v>5193</v>
      </c>
      <c r="M24" s="158">
        <v>5056</v>
      </c>
      <c r="N24" s="159">
        <v>137</v>
      </c>
      <c r="O24" s="160">
        <v>6165</v>
      </c>
      <c r="P24" s="158">
        <v>5994</v>
      </c>
      <c r="Q24" s="159">
        <v>170</v>
      </c>
      <c r="R24" s="160">
        <v>6554</v>
      </c>
      <c r="S24" s="158">
        <v>6282</v>
      </c>
      <c r="T24" s="159">
        <v>272</v>
      </c>
      <c r="U24" s="215" t="s">
        <v>165</v>
      </c>
      <c r="Z24" s="255"/>
      <c r="AA24" s="255"/>
      <c r="AB24" s="255"/>
    </row>
    <row r="25" spans="1:28" ht="19.149999999999999" customHeight="1" x14ac:dyDescent="0.25">
      <c r="A25" s="205" t="s">
        <v>166</v>
      </c>
      <c r="B25" s="160">
        <v>5543</v>
      </c>
      <c r="C25" s="158">
        <v>5279</v>
      </c>
      <c r="D25" s="159">
        <v>264</v>
      </c>
      <c r="E25" s="158">
        <v>5543</v>
      </c>
      <c r="F25" s="158">
        <v>5287</v>
      </c>
      <c r="G25" s="159">
        <v>256</v>
      </c>
      <c r="H25" s="160">
        <v>4804</v>
      </c>
      <c r="I25" s="158">
        <v>4552</v>
      </c>
      <c r="J25" s="159">
        <v>252</v>
      </c>
      <c r="K25" s="160">
        <v>0</v>
      </c>
      <c r="L25" s="158">
        <v>4996</v>
      </c>
      <c r="M25" s="158">
        <v>4711</v>
      </c>
      <c r="N25" s="159">
        <v>285</v>
      </c>
      <c r="O25" s="160">
        <v>5271</v>
      </c>
      <c r="P25" s="158">
        <v>4994</v>
      </c>
      <c r="Q25" s="159">
        <v>277</v>
      </c>
      <c r="R25" s="160">
        <v>5789</v>
      </c>
      <c r="S25" s="158">
        <v>5448</v>
      </c>
      <c r="T25" s="159">
        <v>341</v>
      </c>
      <c r="U25" s="215" t="s">
        <v>167</v>
      </c>
      <c r="Z25" s="255"/>
      <c r="AA25" s="255"/>
      <c r="AB25" s="255"/>
    </row>
    <row r="26" spans="1:28" ht="19.149999999999999" customHeight="1" x14ac:dyDescent="0.25">
      <c r="A26" s="205" t="s">
        <v>168</v>
      </c>
      <c r="B26" s="160">
        <v>2674</v>
      </c>
      <c r="C26" s="158">
        <v>2570</v>
      </c>
      <c r="D26" s="159">
        <v>103</v>
      </c>
      <c r="E26" s="158">
        <v>2787</v>
      </c>
      <c r="F26" s="158">
        <v>2696</v>
      </c>
      <c r="G26" s="159">
        <v>92</v>
      </c>
      <c r="H26" s="160">
        <v>2652</v>
      </c>
      <c r="I26" s="158">
        <v>2542</v>
      </c>
      <c r="J26" s="159">
        <v>109</v>
      </c>
      <c r="K26" s="160">
        <v>0</v>
      </c>
      <c r="L26" s="158">
        <v>2771</v>
      </c>
      <c r="M26" s="158">
        <v>2674</v>
      </c>
      <c r="N26" s="159">
        <v>97</v>
      </c>
      <c r="O26" s="160">
        <v>3066</v>
      </c>
      <c r="P26" s="158">
        <v>2950</v>
      </c>
      <c r="Q26" s="159">
        <v>115</v>
      </c>
      <c r="R26" s="160">
        <v>3168</v>
      </c>
      <c r="S26" s="158">
        <v>3065</v>
      </c>
      <c r="T26" s="159">
        <v>102</v>
      </c>
      <c r="U26" s="215" t="s">
        <v>169</v>
      </c>
      <c r="Z26" s="255"/>
      <c r="AA26" s="255"/>
      <c r="AB26" s="255"/>
    </row>
    <row r="27" spans="1:28" ht="19.149999999999999" customHeight="1" x14ac:dyDescent="0.25">
      <c r="A27" s="205" t="s">
        <v>170</v>
      </c>
      <c r="B27" s="160" t="s">
        <v>57</v>
      </c>
      <c r="C27" s="158">
        <v>3138</v>
      </c>
      <c r="D27" s="159" t="s">
        <v>57</v>
      </c>
      <c r="E27" s="158" t="s">
        <v>57</v>
      </c>
      <c r="F27" s="158">
        <v>3192</v>
      </c>
      <c r="G27" s="159" t="s">
        <v>57</v>
      </c>
      <c r="H27" s="160" t="s">
        <v>57</v>
      </c>
      <c r="I27" s="158">
        <v>2710</v>
      </c>
      <c r="J27" s="159" t="s">
        <v>57</v>
      </c>
      <c r="K27" s="160">
        <v>0</v>
      </c>
      <c r="L27" s="158" t="s">
        <v>57</v>
      </c>
      <c r="M27" s="158">
        <v>2737</v>
      </c>
      <c r="N27" s="159" t="s">
        <v>57</v>
      </c>
      <c r="O27" s="160" t="s">
        <v>57</v>
      </c>
      <c r="P27" s="158">
        <v>2854</v>
      </c>
      <c r="Q27" s="159" t="s">
        <v>57</v>
      </c>
      <c r="R27" s="160" t="s">
        <v>57</v>
      </c>
      <c r="S27" s="158">
        <v>3021</v>
      </c>
      <c r="T27" s="159" t="s">
        <v>57</v>
      </c>
      <c r="U27" s="215" t="s">
        <v>171</v>
      </c>
      <c r="Z27" s="255"/>
      <c r="AA27" s="255"/>
      <c r="AB27" s="255"/>
    </row>
    <row r="28" spans="1:28" ht="19.149999999999999" customHeight="1" x14ac:dyDescent="0.25">
      <c r="A28" s="205" t="s">
        <v>172</v>
      </c>
      <c r="B28" s="160" t="s">
        <v>57</v>
      </c>
      <c r="C28" s="158">
        <v>4367</v>
      </c>
      <c r="D28" s="159" t="s">
        <v>57</v>
      </c>
      <c r="E28" s="158" t="s">
        <v>57</v>
      </c>
      <c r="F28" s="158">
        <v>4129</v>
      </c>
      <c r="G28" s="159" t="s">
        <v>57</v>
      </c>
      <c r="H28" s="160" t="s">
        <v>57</v>
      </c>
      <c r="I28" s="158">
        <v>3760</v>
      </c>
      <c r="J28" s="159" t="s">
        <v>57</v>
      </c>
      <c r="K28" s="160">
        <v>0</v>
      </c>
      <c r="L28" s="158" t="s">
        <v>57</v>
      </c>
      <c r="M28" s="158">
        <v>4198</v>
      </c>
      <c r="N28" s="159" t="s">
        <v>57</v>
      </c>
      <c r="O28" s="160" t="s">
        <v>57</v>
      </c>
      <c r="P28" s="158">
        <v>4140</v>
      </c>
      <c r="Q28" s="159" t="s">
        <v>57</v>
      </c>
      <c r="R28" s="160" t="s">
        <v>57</v>
      </c>
      <c r="S28" s="158">
        <v>4271</v>
      </c>
      <c r="T28" s="159" t="s">
        <v>57</v>
      </c>
      <c r="U28" s="215" t="s">
        <v>173</v>
      </c>
      <c r="Z28" s="255"/>
      <c r="AA28" s="255"/>
      <c r="AB28" s="255"/>
    </row>
    <row r="29" spans="1:28" ht="19.149999999999999" customHeight="1" x14ac:dyDescent="0.25">
      <c r="A29" s="205" t="s">
        <v>174</v>
      </c>
      <c r="B29" s="160">
        <v>1800</v>
      </c>
      <c r="C29" s="158">
        <v>1726</v>
      </c>
      <c r="D29" s="159">
        <v>74</v>
      </c>
      <c r="E29" s="158">
        <v>1989</v>
      </c>
      <c r="F29" s="158">
        <v>1914</v>
      </c>
      <c r="G29" s="159">
        <v>75</v>
      </c>
      <c r="H29" s="160">
        <v>2025</v>
      </c>
      <c r="I29" s="158">
        <v>1949</v>
      </c>
      <c r="J29" s="159">
        <v>76</v>
      </c>
      <c r="K29" s="160">
        <v>0</v>
      </c>
      <c r="L29" s="158">
        <v>2118</v>
      </c>
      <c r="M29" s="158">
        <v>2045</v>
      </c>
      <c r="N29" s="159">
        <v>73</v>
      </c>
      <c r="O29" s="160">
        <v>2350</v>
      </c>
      <c r="P29" s="158">
        <v>2263</v>
      </c>
      <c r="Q29" s="159">
        <v>87</v>
      </c>
      <c r="R29" s="160">
        <v>2632</v>
      </c>
      <c r="S29" s="158">
        <v>2525</v>
      </c>
      <c r="T29" s="159">
        <v>107</v>
      </c>
      <c r="U29" s="215" t="s">
        <v>175</v>
      </c>
      <c r="Z29" s="255"/>
      <c r="AA29" s="255"/>
      <c r="AB29" s="255"/>
    </row>
    <row r="30" spans="1:28" ht="19.149999999999999" customHeight="1" x14ac:dyDescent="0.25">
      <c r="A30" s="205" t="s">
        <v>176</v>
      </c>
      <c r="B30" s="163" t="s">
        <v>57</v>
      </c>
      <c r="C30" s="156">
        <v>812</v>
      </c>
      <c r="D30" s="159" t="s">
        <v>57</v>
      </c>
      <c r="E30" s="156" t="s">
        <v>57</v>
      </c>
      <c r="F30" s="156">
        <v>860</v>
      </c>
      <c r="G30" s="159" t="s">
        <v>57</v>
      </c>
      <c r="H30" s="163" t="s">
        <v>57</v>
      </c>
      <c r="I30" s="156">
        <v>779</v>
      </c>
      <c r="J30" s="159" t="s">
        <v>57</v>
      </c>
      <c r="K30" s="160">
        <v>0</v>
      </c>
      <c r="L30" s="158" t="s">
        <v>57</v>
      </c>
      <c r="M30" s="158">
        <v>879</v>
      </c>
      <c r="N30" s="159" t="s">
        <v>57</v>
      </c>
      <c r="O30" s="160">
        <v>985</v>
      </c>
      <c r="P30" s="158">
        <v>936</v>
      </c>
      <c r="Q30" s="159">
        <v>49</v>
      </c>
      <c r="R30" s="160">
        <v>1170</v>
      </c>
      <c r="S30" s="158">
        <v>1106</v>
      </c>
      <c r="T30" s="159">
        <v>64</v>
      </c>
      <c r="U30" s="215" t="s">
        <v>177</v>
      </c>
      <c r="Z30" s="255"/>
      <c r="AA30" s="255"/>
      <c r="AB30" s="255"/>
    </row>
    <row r="31" spans="1:28" ht="19.149999999999999" customHeight="1" x14ac:dyDescent="0.25">
      <c r="A31" s="205" t="s">
        <v>306</v>
      </c>
      <c r="B31" s="163" t="s">
        <v>57</v>
      </c>
      <c r="C31" s="156">
        <v>962</v>
      </c>
      <c r="D31" s="159" t="s">
        <v>57</v>
      </c>
      <c r="E31" s="156" t="s">
        <v>57</v>
      </c>
      <c r="F31" s="156">
        <v>1024</v>
      </c>
      <c r="G31" s="159" t="s">
        <v>57</v>
      </c>
      <c r="H31" s="163" t="s">
        <v>57</v>
      </c>
      <c r="I31" s="156">
        <v>924</v>
      </c>
      <c r="J31" s="159" t="s">
        <v>57</v>
      </c>
      <c r="K31" s="160">
        <v>0</v>
      </c>
      <c r="L31" s="158" t="s">
        <v>57</v>
      </c>
      <c r="M31" s="158">
        <v>993</v>
      </c>
      <c r="N31" s="159" t="s">
        <v>57</v>
      </c>
      <c r="O31" s="160" t="s">
        <v>57</v>
      </c>
      <c r="P31" s="158">
        <v>1086</v>
      </c>
      <c r="Q31" s="159" t="s">
        <v>57</v>
      </c>
      <c r="R31" s="160" t="s">
        <v>57</v>
      </c>
      <c r="S31" s="158">
        <v>1245</v>
      </c>
      <c r="T31" s="159" t="s">
        <v>57</v>
      </c>
      <c r="U31" s="215" t="s">
        <v>305</v>
      </c>
      <c r="Z31" s="255"/>
      <c r="AA31" s="255"/>
      <c r="AB31" s="255"/>
    </row>
    <row r="32" spans="1:28" ht="19.149999999999999" customHeight="1" x14ac:dyDescent="0.25">
      <c r="A32" s="205" t="s">
        <v>178</v>
      </c>
      <c r="B32" s="160" t="s">
        <v>57</v>
      </c>
      <c r="C32" s="158">
        <v>6283</v>
      </c>
      <c r="D32" s="159" t="s">
        <v>57</v>
      </c>
      <c r="E32" s="158" t="s">
        <v>57</v>
      </c>
      <c r="F32" s="158">
        <v>6469</v>
      </c>
      <c r="G32" s="159" t="s">
        <v>57</v>
      </c>
      <c r="H32" s="160" t="s">
        <v>57</v>
      </c>
      <c r="I32" s="158">
        <v>5359</v>
      </c>
      <c r="J32" s="159" t="s">
        <v>57</v>
      </c>
      <c r="K32" s="160">
        <v>0</v>
      </c>
      <c r="L32" s="158" t="s">
        <v>57</v>
      </c>
      <c r="M32" s="158">
        <v>5421</v>
      </c>
      <c r="N32" s="159" t="s">
        <v>57</v>
      </c>
      <c r="O32" s="160" t="s">
        <v>57</v>
      </c>
      <c r="P32" s="158">
        <v>5659</v>
      </c>
      <c r="Q32" s="159" t="s">
        <v>57</v>
      </c>
      <c r="R32" s="160" t="s">
        <v>57</v>
      </c>
      <c r="S32" s="158">
        <v>6166</v>
      </c>
      <c r="T32" s="159" t="s">
        <v>57</v>
      </c>
      <c r="U32" s="215" t="s">
        <v>179</v>
      </c>
      <c r="Z32" s="255"/>
      <c r="AA32" s="255"/>
      <c r="AB32" s="255"/>
    </row>
    <row r="33" spans="1:28" ht="19.149999999999999" customHeight="1" x14ac:dyDescent="0.25">
      <c r="A33" s="205" t="s">
        <v>180</v>
      </c>
      <c r="B33" s="163">
        <v>628</v>
      </c>
      <c r="C33" s="158">
        <v>619</v>
      </c>
      <c r="D33" s="159">
        <v>9</v>
      </c>
      <c r="E33" s="156">
        <v>614</v>
      </c>
      <c r="F33" s="158">
        <v>603</v>
      </c>
      <c r="G33" s="159">
        <v>10</v>
      </c>
      <c r="H33" s="163">
        <v>555</v>
      </c>
      <c r="I33" s="158">
        <v>548</v>
      </c>
      <c r="J33" s="159">
        <v>7</v>
      </c>
      <c r="K33" s="160">
        <v>0</v>
      </c>
      <c r="L33" s="158">
        <v>492</v>
      </c>
      <c r="M33" s="158">
        <v>485</v>
      </c>
      <c r="N33" s="159">
        <v>7</v>
      </c>
      <c r="O33" s="160">
        <v>513</v>
      </c>
      <c r="P33" s="158">
        <v>507</v>
      </c>
      <c r="Q33" s="159">
        <v>7</v>
      </c>
      <c r="R33" s="160">
        <v>531</v>
      </c>
      <c r="S33" s="158">
        <v>522</v>
      </c>
      <c r="T33" s="159">
        <v>8</v>
      </c>
      <c r="U33" s="215" t="s">
        <v>181</v>
      </c>
      <c r="Z33" s="255"/>
      <c r="AA33" s="255"/>
      <c r="AB33" s="255"/>
    </row>
    <row r="34" spans="1:28" ht="19.149999999999999" customHeight="1" x14ac:dyDescent="0.25">
      <c r="A34" s="205" t="s">
        <v>182</v>
      </c>
      <c r="B34" s="160" t="s">
        <v>57</v>
      </c>
      <c r="C34" s="158">
        <v>5525</v>
      </c>
      <c r="D34" s="159" t="s">
        <v>57</v>
      </c>
      <c r="E34" s="158" t="s">
        <v>57</v>
      </c>
      <c r="F34" s="158">
        <v>5590</v>
      </c>
      <c r="G34" s="159" t="s">
        <v>57</v>
      </c>
      <c r="H34" s="160" t="s">
        <v>57</v>
      </c>
      <c r="I34" s="158">
        <v>4666</v>
      </c>
      <c r="J34" s="159" t="s">
        <v>57</v>
      </c>
      <c r="K34" s="160">
        <v>0</v>
      </c>
      <c r="L34" s="158" t="s">
        <v>57</v>
      </c>
      <c r="M34" s="158">
        <v>4739</v>
      </c>
      <c r="N34" s="159" t="s">
        <v>57</v>
      </c>
      <c r="O34" s="160" t="s">
        <v>57</v>
      </c>
      <c r="P34" s="158">
        <v>4920</v>
      </c>
      <c r="Q34" s="159" t="s">
        <v>57</v>
      </c>
      <c r="R34" s="160" t="s">
        <v>57</v>
      </c>
      <c r="S34" s="158">
        <v>5315</v>
      </c>
      <c r="T34" s="159" t="s">
        <v>57</v>
      </c>
      <c r="U34" s="215" t="s">
        <v>183</v>
      </c>
      <c r="Z34" s="255"/>
      <c r="AA34" s="255"/>
      <c r="AB34" s="255"/>
    </row>
    <row r="35" spans="1:28" ht="19.149999999999999" customHeight="1" x14ac:dyDescent="0.25">
      <c r="A35" s="205" t="s">
        <v>184</v>
      </c>
      <c r="B35" s="160" t="s">
        <v>57</v>
      </c>
      <c r="C35" s="158">
        <v>3844</v>
      </c>
      <c r="D35" s="159" t="s">
        <v>57</v>
      </c>
      <c r="E35" s="158" t="s">
        <v>57</v>
      </c>
      <c r="F35" s="158">
        <v>4003</v>
      </c>
      <c r="G35" s="159" t="s">
        <v>57</v>
      </c>
      <c r="H35" s="160" t="s">
        <v>57</v>
      </c>
      <c r="I35" s="158">
        <v>3437</v>
      </c>
      <c r="J35" s="159" t="s">
        <v>57</v>
      </c>
      <c r="K35" s="160">
        <v>0</v>
      </c>
      <c r="L35" s="158" t="s">
        <v>57</v>
      </c>
      <c r="M35" s="158">
        <v>3517</v>
      </c>
      <c r="N35" s="159" t="s">
        <v>57</v>
      </c>
      <c r="O35" s="160" t="s">
        <v>57</v>
      </c>
      <c r="P35" s="158">
        <v>3701</v>
      </c>
      <c r="Q35" s="159" t="s">
        <v>57</v>
      </c>
      <c r="R35" s="160" t="s">
        <v>57</v>
      </c>
      <c r="S35" s="158">
        <v>3707</v>
      </c>
      <c r="T35" s="159" t="s">
        <v>57</v>
      </c>
      <c r="U35" s="215" t="s">
        <v>185</v>
      </c>
      <c r="Z35" s="255"/>
      <c r="AA35" s="255"/>
      <c r="AB35" s="255"/>
    </row>
    <row r="36" spans="1:28" ht="19.149999999999999" customHeight="1" x14ac:dyDescent="0.25">
      <c r="A36" s="205" t="s">
        <v>186</v>
      </c>
      <c r="B36" s="160">
        <v>9692</v>
      </c>
      <c r="C36" s="158">
        <v>9190</v>
      </c>
      <c r="D36" s="159">
        <v>503</v>
      </c>
      <c r="E36" s="158">
        <v>9600</v>
      </c>
      <c r="F36" s="158">
        <v>9066</v>
      </c>
      <c r="G36" s="159">
        <v>534</v>
      </c>
      <c r="H36" s="160">
        <v>7898</v>
      </c>
      <c r="I36" s="158">
        <v>7531</v>
      </c>
      <c r="J36" s="159">
        <v>366</v>
      </c>
      <c r="K36" s="160">
        <v>0</v>
      </c>
      <c r="L36" s="158">
        <v>7854</v>
      </c>
      <c r="M36" s="158">
        <v>7460</v>
      </c>
      <c r="N36" s="159">
        <v>394</v>
      </c>
      <c r="O36" s="160">
        <v>8163</v>
      </c>
      <c r="P36" s="158">
        <v>7788</v>
      </c>
      <c r="Q36" s="159">
        <v>375</v>
      </c>
      <c r="R36" s="160">
        <v>8669</v>
      </c>
      <c r="S36" s="158">
        <v>8246</v>
      </c>
      <c r="T36" s="159">
        <v>423</v>
      </c>
      <c r="U36" s="215" t="s">
        <v>187</v>
      </c>
      <c r="Z36" s="255"/>
      <c r="AA36" s="255"/>
      <c r="AB36" s="255"/>
    </row>
    <row r="37" spans="1:28" ht="19.149999999999999" customHeight="1" x14ac:dyDescent="0.25">
      <c r="A37" s="205" t="s">
        <v>188</v>
      </c>
      <c r="B37" s="160" t="s">
        <v>57</v>
      </c>
      <c r="C37" s="158">
        <v>879</v>
      </c>
      <c r="D37" s="159" t="s">
        <v>57</v>
      </c>
      <c r="E37" s="158" t="s">
        <v>57</v>
      </c>
      <c r="F37" s="158">
        <v>896</v>
      </c>
      <c r="G37" s="159" t="s">
        <v>57</v>
      </c>
      <c r="H37" s="160" t="s">
        <v>57</v>
      </c>
      <c r="I37" s="158">
        <v>804</v>
      </c>
      <c r="J37" s="159" t="s">
        <v>57</v>
      </c>
      <c r="K37" s="160">
        <v>0</v>
      </c>
      <c r="L37" s="158" t="s">
        <v>57</v>
      </c>
      <c r="M37" s="158">
        <v>813</v>
      </c>
      <c r="N37" s="159" t="s">
        <v>57</v>
      </c>
      <c r="O37" s="160" t="s">
        <v>57</v>
      </c>
      <c r="P37" s="158">
        <v>910</v>
      </c>
      <c r="Q37" s="159" t="s">
        <v>57</v>
      </c>
      <c r="R37" s="160" t="s">
        <v>57</v>
      </c>
      <c r="S37" s="158">
        <v>979</v>
      </c>
      <c r="T37" s="159" t="s">
        <v>57</v>
      </c>
      <c r="U37" s="215" t="s">
        <v>189</v>
      </c>
      <c r="Z37" s="255"/>
      <c r="AA37" s="255"/>
      <c r="AB37" s="255"/>
    </row>
    <row r="38" spans="1:28" ht="19.149999999999999" customHeight="1" x14ac:dyDescent="0.25">
      <c r="A38" s="205" t="s">
        <v>190</v>
      </c>
      <c r="B38" s="160" t="s">
        <v>57</v>
      </c>
      <c r="C38" s="158">
        <v>2033</v>
      </c>
      <c r="D38" s="159" t="s">
        <v>57</v>
      </c>
      <c r="E38" s="158" t="s">
        <v>57</v>
      </c>
      <c r="F38" s="158">
        <v>2061</v>
      </c>
      <c r="G38" s="159" t="s">
        <v>57</v>
      </c>
      <c r="H38" s="160" t="s">
        <v>57</v>
      </c>
      <c r="I38" s="158">
        <v>1789</v>
      </c>
      <c r="J38" s="159" t="s">
        <v>57</v>
      </c>
      <c r="K38" s="160">
        <v>0</v>
      </c>
      <c r="L38" s="158">
        <v>2055</v>
      </c>
      <c r="M38" s="158">
        <v>1872</v>
      </c>
      <c r="N38" s="159">
        <v>182</v>
      </c>
      <c r="O38" s="160">
        <v>2195</v>
      </c>
      <c r="P38" s="158">
        <v>1992</v>
      </c>
      <c r="Q38" s="159">
        <v>203</v>
      </c>
      <c r="R38" s="160">
        <v>2449</v>
      </c>
      <c r="S38" s="158">
        <v>2207</v>
      </c>
      <c r="T38" s="159">
        <v>242</v>
      </c>
      <c r="U38" s="215" t="s">
        <v>191</v>
      </c>
      <c r="Z38" s="255"/>
      <c r="AA38" s="255"/>
      <c r="AB38" s="255"/>
    </row>
    <row r="39" spans="1:28" ht="19.149999999999999" customHeight="1" x14ac:dyDescent="0.25">
      <c r="A39" s="205" t="s">
        <v>498</v>
      </c>
      <c r="B39" s="160" t="s">
        <v>57</v>
      </c>
      <c r="C39" s="158">
        <v>2103</v>
      </c>
      <c r="D39" s="159" t="s">
        <v>57</v>
      </c>
      <c r="E39" s="158" t="s">
        <v>57</v>
      </c>
      <c r="F39" s="158">
        <v>2233</v>
      </c>
      <c r="G39" s="159" t="s">
        <v>57</v>
      </c>
      <c r="H39" s="160" t="s">
        <v>57</v>
      </c>
      <c r="I39" s="158">
        <v>2330</v>
      </c>
      <c r="J39" s="159" t="s">
        <v>57</v>
      </c>
      <c r="K39" s="160">
        <v>0</v>
      </c>
      <c r="L39" s="158" t="s">
        <v>57</v>
      </c>
      <c r="M39" s="158">
        <v>2510</v>
      </c>
      <c r="N39" s="159" t="s">
        <v>57</v>
      </c>
      <c r="O39" s="160" t="s">
        <v>57</v>
      </c>
      <c r="P39" s="158">
        <v>2674</v>
      </c>
      <c r="Q39" s="159" t="s">
        <v>57</v>
      </c>
      <c r="R39" s="160" t="s">
        <v>57</v>
      </c>
      <c r="S39" s="158">
        <v>2726</v>
      </c>
      <c r="T39" s="159" t="s">
        <v>57</v>
      </c>
      <c r="U39" s="215" t="s">
        <v>499</v>
      </c>
    </row>
    <row r="40" spans="1:28" ht="19.149999999999999" customHeight="1" x14ac:dyDescent="0.25">
      <c r="A40" s="205" t="s">
        <v>192</v>
      </c>
      <c r="B40" s="160">
        <v>1417</v>
      </c>
      <c r="C40" s="158">
        <v>1370</v>
      </c>
      <c r="D40" s="159">
        <v>47</v>
      </c>
      <c r="E40" s="158" t="s">
        <v>57</v>
      </c>
      <c r="F40" s="158">
        <v>1289</v>
      </c>
      <c r="G40" s="159" t="s">
        <v>57</v>
      </c>
      <c r="H40" s="160" t="s">
        <v>57</v>
      </c>
      <c r="I40" s="158">
        <v>1108</v>
      </c>
      <c r="J40" s="159" t="s">
        <v>57</v>
      </c>
      <c r="K40" s="160">
        <v>0</v>
      </c>
      <c r="L40" s="158" t="s">
        <v>57</v>
      </c>
      <c r="M40" s="158">
        <v>1155</v>
      </c>
      <c r="N40" s="159" t="s">
        <v>57</v>
      </c>
      <c r="O40" s="160" t="s">
        <v>57</v>
      </c>
      <c r="P40" s="158">
        <v>1188</v>
      </c>
      <c r="Q40" s="159" t="s">
        <v>57</v>
      </c>
      <c r="R40" s="160" t="s">
        <v>57</v>
      </c>
      <c r="S40" s="158">
        <v>1299</v>
      </c>
      <c r="T40" s="159" t="s">
        <v>57</v>
      </c>
      <c r="U40" s="215" t="s">
        <v>193</v>
      </c>
      <c r="Z40" s="255"/>
      <c r="AA40" s="255"/>
      <c r="AB40" s="255"/>
    </row>
    <row r="41" spans="1:28" ht="19.149999999999999" customHeight="1" x14ac:dyDescent="0.25">
      <c r="A41" s="205" t="s">
        <v>194</v>
      </c>
      <c r="B41" s="163">
        <v>2140</v>
      </c>
      <c r="C41" s="156">
        <v>2054</v>
      </c>
      <c r="D41" s="159">
        <v>86</v>
      </c>
      <c r="E41" s="156" t="s">
        <v>57</v>
      </c>
      <c r="F41" s="156">
        <v>2061</v>
      </c>
      <c r="G41" s="159" t="s">
        <v>57</v>
      </c>
      <c r="H41" s="163" t="s">
        <v>57</v>
      </c>
      <c r="I41" s="156">
        <v>1779</v>
      </c>
      <c r="J41" s="159" t="s">
        <v>57</v>
      </c>
      <c r="K41" s="160">
        <v>0</v>
      </c>
      <c r="L41" s="158" t="s">
        <v>57</v>
      </c>
      <c r="M41" s="158">
        <v>1838</v>
      </c>
      <c r="N41" s="159" t="s">
        <v>57</v>
      </c>
      <c r="O41" s="160">
        <v>2022</v>
      </c>
      <c r="P41" s="158">
        <v>1925</v>
      </c>
      <c r="Q41" s="159">
        <v>97</v>
      </c>
      <c r="R41" s="160" t="s">
        <v>57</v>
      </c>
      <c r="S41" s="158">
        <v>2162</v>
      </c>
      <c r="T41" s="159" t="s">
        <v>57</v>
      </c>
      <c r="U41" s="215" t="s">
        <v>195</v>
      </c>
      <c r="Z41" s="255"/>
      <c r="AA41" s="255"/>
      <c r="AB41" s="255"/>
    </row>
    <row r="42" spans="1:28" ht="19.149999999999999" customHeight="1" x14ac:dyDescent="0.25">
      <c r="A42" s="205" t="s">
        <v>196</v>
      </c>
      <c r="B42" s="160">
        <v>2703</v>
      </c>
      <c r="C42" s="158">
        <v>2671</v>
      </c>
      <c r="D42" s="159">
        <v>33</v>
      </c>
      <c r="E42" s="158">
        <v>2752</v>
      </c>
      <c r="F42" s="158">
        <v>2719</v>
      </c>
      <c r="G42" s="159">
        <v>33</v>
      </c>
      <c r="H42" s="160">
        <v>2417</v>
      </c>
      <c r="I42" s="158">
        <v>2384</v>
      </c>
      <c r="J42" s="159">
        <v>33</v>
      </c>
      <c r="K42" s="160">
        <v>0</v>
      </c>
      <c r="L42" s="158">
        <v>2444</v>
      </c>
      <c r="M42" s="158">
        <v>2412</v>
      </c>
      <c r="N42" s="159">
        <v>33</v>
      </c>
      <c r="O42" s="160">
        <v>2596</v>
      </c>
      <c r="P42" s="158">
        <v>2560</v>
      </c>
      <c r="Q42" s="159">
        <v>35</v>
      </c>
      <c r="R42" s="160">
        <v>2820</v>
      </c>
      <c r="S42" s="158">
        <v>2776</v>
      </c>
      <c r="T42" s="159">
        <v>44</v>
      </c>
      <c r="U42" s="215" t="s">
        <v>197</v>
      </c>
      <c r="Z42" s="255"/>
      <c r="AA42" s="255"/>
      <c r="AB42" s="255"/>
    </row>
    <row r="43" spans="1:28" ht="19.149999999999999" customHeight="1" x14ac:dyDescent="0.25">
      <c r="A43" s="205" t="s">
        <v>198</v>
      </c>
      <c r="B43" s="160">
        <v>7037</v>
      </c>
      <c r="C43" s="158">
        <v>6685</v>
      </c>
      <c r="D43" s="159">
        <v>352</v>
      </c>
      <c r="E43" s="158">
        <v>6950</v>
      </c>
      <c r="F43" s="158">
        <v>6597</v>
      </c>
      <c r="G43" s="159">
        <v>353</v>
      </c>
      <c r="H43" s="160">
        <v>5914</v>
      </c>
      <c r="I43" s="158">
        <v>5596</v>
      </c>
      <c r="J43" s="159">
        <v>317</v>
      </c>
      <c r="K43" s="160">
        <v>0</v>
      </c>
      <c r="L43" s="158">
        <v>5971</v>
      </c>
      <c r="M43" s="158">
        <v>5678</v>
      </c>
      <c r="N43" s="159">
        <v>293</v>
      </c>
      <c r="O43" s="160">
        <v>6137</v>
      </c>
      <c r="P43" s="158">
        <v>5835</v>
      </c>
      <c r="Q43" s="159">
        <v>302</v>
      </c>
      <c r="R43" s="160">
        <v>6351</v>
      </c>
      <c r="S43" s="158">
        <v>6009</v>
      </c>
      <c r="T43" s="159">
        <v>341</v>
      </c>
      <c r="U43" s="215" t="s">
        <v>199</v>
      </c>
      <c r="Z43" s="255"/>
      <c r="AA43" s="255"/>
      <c r="AB43" s="255"/>
    </row>
    <row r="44" spans="1:28" ht="19.149999999999999" customHeight="1" x14ac:dyDescent="0.25">
      <c r="A44" s="205" t="s">
        <v>200</v>
      </c>
      <c r="B44" s="160" t="s">
        <v>57</v>
      </c>
      <c r="C44" s="158">
        <v>9249</v>
      </c>
      <c r="D44" s="159" t="s">
        <v>57</v>
      </c>
      <c r="E44" s="158" t="s">
        <v>57</v>
      </c>
      <c r="F44" s="158">
        <v>9471</v>
      </c>
      <c r="G44" s="159" t="s">
        <v>57</v>
      </c>
      <c r="H44" s="160" t="s">
        <v>57</v>
      </c>
      <c r="I44" s="158">
        <v>9202</v>
      </c>
      <c r="J44" s="159" t="s">
        <v>57</v>
      </c>
      <c r="K44" s="160">
        <v>0</v>
      </c>
      <c r="L44" s="158" t="s">
        <v>57</v>
      </c>
      <c r="M44" s="158">
        <v>9203</v>
      </c>
      <c r="N44" s="159" t="s">
        <v>57</v>
      </c>
      <c r="O44" s="160" t="s">
        <v>57</v>
      </c>
      <c r="P44" s="158">
        <v>9356</v>
      </c>
      <c r="Q44" s="159" t="s">
        <v>57</v>
      </c>
      <c r="R44" s="160" t="s">
        <v>57</v>
      </c>
      <c r="S44" s="158">
        <v>9509</v>
      </c>
      <c r="T44" s="159" t="s">
        <v>57</v>
      </c>
      <c r="U44" s="215" t="s">
        <v>201</v>
      </c>
      <c r="Z44" s="255"/>
      <c r="AA44" s="255"/>
      <c r="AB44" s="255"/>
    </row>
    <row r="45" spans="1:28" ht="19.149999999999999" customHeight="1" x14ac:dyDescent="0.25">
      <c r="A45" s="205" t="s">
        <v>202</v>
      </c>
      <c r="B45" s="160" t="s">
        <v>57</v>
      </c>
      <c r="C45" s="158">
        <v>550</v>
      </c>
      <c r="D45" s="159" t="s">
        <v>57</v>
      </c>
      <c r="E45" s="158" t="s">
        <v>57</v>
      </c>
      <c r="F45" s="158">
        <v>526</v>
      </c>
      <c r="G45" s="159" t="s">
        <v>57</v>
      </c>
      <c r="H45" s="160" t="s">
        <v>57</v>
      </c>
      <c r="I45" s="158">
        <v>455</v>
      </c>
      <c r="J45" s="159" t="s">
        <v>57</v>
      </c>
      <c r="K45" s="160">
        <v>0</v>
      </c>
      <c r="L45" s="158">
        <v>500</v>
      </c>
      <c r="M45" s="158">
        <v>470</v>
      </c>
      <c r="N45" s="159">
        <v>30</v>
      </c>
      <c r="O45" s="160">
        <v>480</v>
      </c>
      <c r="P45" s="158">
        <v>447</v>
      </c>
      <c r="Q45" s="159">
        <v>33</v>
      </c>
      <c r="R45" s="160" t="s">
        <v>57</v>
      </c>
      <c r="S45" s="158">
        <v>394</v>
      </c>
      <c r="T45" s="159" t="s">
        <v>57</v>
      </c>
      <c r="U45" s="215" t="s">
        <v>401</v>
      </c>
      <c r="Z45" s="255"/>
      <c r="AA45" s="255"/>
      <c r="AB45" s="255"/>
    </row>
    <row r="46" spans="1:28" ht="19.149999999999999" customHeight="1" x14ac:dyDescent="0.25">
      <c r="A46" s="205" t="s">
        <v>203</v>
      </c>
      <c r="B46" s="160">
        <v>4448</v>
      </c>
      <c r="C46" s="158">
        <v>4338</v>
      </c>
      <c r="D46" s="159">
        <v>110</v>
      </c>
      <c r="E46" s="158">
        <v>4863</v>
      </c>
      <c r="F46" s="158">
        <v>4732</v>
      </c>
      <c r="G46" s="159">
        <v>131</v>
      </c>
      <c r="H46" s="160">
        <v>4608</v>
      </c>
      <c r="I46" s="158">
        <v>4472</v>
      </c>
      <c r="J46" s="159">
        <v>136</v>
      </c>
      <c r="K46" s="160">
        <v>0</v>
      </c>
      <c r="L46" s="158">
        <v>4162</v>
      </c>
      <c r="M46" s="158">
        <v>4046</v>
      </c>
      <c r="N46" s="159">
        <v>116</v>
      </c>
      <c r="O46" s="160">
        <v>4071</v>
      </c>
      <c r="P46" s="158">
        <v>3943</v>
      </c>
      <c r="Q46" s="159">
        <v>128</v>
      </c>
      <c r="R46" s="160">
        <v>4388</v>
      </c>
      <c r="S46" s="158">
        <v>4243</v>
      </c>
      <c r="T46" s="159">
        <v>145</v>
      </c>
      <c r="U46" s="215" t="s">
        <v>204</v>
      </c>
      <c r="Z46" s="255"/>
      <c r="AA46" s="255"/>
      <c r="AB46" s="255"/>
    </row>
    <row r="47" spans="1:28" ht="18.600000000000001" customHeight="1" x14ac:dyDescent="0.25">
      <c r="A47" s="206" t="s">
        <v>205</v>
      </c>
      <c r="B47" s="157">
        <v>8888</v>
      </c>
      <c r="C47" s="157">
        <v>8520</v>
      </c>
      <c r="D47" s="159">
        <v>368</v>
      </c>
      <c r="E47" s="157">
        <v>9285</v>
      </c>
      <c r="F47" s="157">
        <v>8927</v>
      </c>
      <c r="G47" s="159">
        <v>358</v>
      </c>
      <c r="H47" s="161">
        <v>9725</v>
      </c>
      <c r="I47" s="157">
        <v>9355</v>
      </c>
      <c r="J47" s="159">
        <v>369</v>
      </c>
      <c r="K47" s="160">
        <v>0</v>
      </c>
      <c r="L47" s="157">
        <v>10092</v>
      </c>
      <c r="M47" s="157">
        <v>9716</v>
      </c>
      <c r="N47" s="159">
        <v>376</v>
      </c>
      <c r="O47" s="161">
        <v>10444</v>
      </c>
      <c r="P47" s="157">
        <v>10037</v>
      </c>
      <c r="Q47" s="159">
        <v>407</v>
      </c>
      <c r="R47" s="161">
        <v>10862</v>
      </c>
      <c r="S47" s="157">
        <v>10436</v>
      </c>
      <c r="T47" s="159">
        <v>425</v>
      </c>
      <c r="U47" s="216" t="s">
        <v>206</v>
      </c>
      <c r="Z47" s="255"/>
      <c r="AA47" s="255"/>
      <c r="AB47" s="255"/>
    </row>
    <row r="48" spans="1:28" s="227" customFormat="1" ht="14.1" customHeight="1" x14ac:dyDescent="0.25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  <c r="Z48" s="255"/>
      <c r="AA48" s="255"/>
      <c r="AB48" s="255"/>
    </row>
    <row r="49" spans="1:21" s="151" customFormat="1" ht="14.1" customHeight="1" x14ac:dyDescent="0.25">
      <c r="A49" s="738" t="s">
        <v>602</v>
      </c>
      <c r="B49" s="738"/>
      <c r="C49" s="738"/>
      <c r="D49" s="738"/>
      <c r="E49" s="738"/>
      <c r="F49" s="738"/>
      <c r="G49" s="738"/>
      <c r="H49" s="738"/>
      <c r="I49" s="738"/>
      <c r="J49" s="738"/>
      <c r="K49" s="279"/>
      <c r="L49" s="739" t="s">
        <v>207</v>
      </c>
      <c r="M49" s="739"/>
      <c r="N49" s="739"/>
      <c r="O49" s="739"/>
      <c r="P49" s="739"/>
      <c r="Q49" s="739"/>
      <c r="R49" s="739"/>
      <c r="S49" s="739"/>
      <c r="T49" s="739"/>
      <c r="U49" s="739"/>
    </row>
    <row r="50" spans="1:21" s="203" customFormat="1" ht="12" x14ac:dyDescent="0.2"/>
    <row r="51" spans="1:21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</row>
  </sheetData>
  <mergeCells count="33">
    <mergeCell ref="O4:Q4"/>
    <mergeCell ref="R4:T4"/>
    <mergeCell ref="P5:Q5"/>
    <mergeCell ref="R5:R6"/>
    <mergeCell ref="S5:T5"/>
    <mergeCell ref="A49:J49"/>
    <mergeCell ref="L49:U49"/>
    <mergeCell ref="F5:G5"/>
    <mergeCell ref="H5:H6"/>
    <mergeCell ref="I5:J5"/>
    <mergeCell ref="L5:L6"/>
    <mergeCell ref="M5:N5"/>
    <mergeCell ref="B5:B6"/>
    <mergeCell ref="C5:D5"/>
    <mergeCell ref="E5:E6"/>
    <mergeCell ref="A48:J48"/>
    <mergeCell ref="L48:U48"/>
    <mergeCell ref="A1:J1"/>
    <mergeCell ref="L1:U1"/>
    <mergeCell ref="R2:U2"/>
    <mergeCell ref="A3:A7"/>
    <mergeCell ref="B3:D3"/>
    <mergeCell ref="E3:G3"/>
    <mergeCell ref="H3:J3"/>
    <mergeCell ref="L3:N3"/>
    <mergeCell ref="O3:Q3"/>
    <mergeCell ref="R3:T3"/>
    <mergeCell ref="E4:G4"/>
    <mergeCell ref="H4:J4"/>
    <mergeCell ref="L4:N4"/>
    <mergeCell ref="O5:O6"/>
    <mergeCell ref="U3:U7"/>
    <mergeCell ref="B4:D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/>
  </sheetPr>
  <dimension ref="A1:AB90"/>
  <sheetViews>
    <sheetView view="pageBreakPreview" zoomScale="70" zoomScaleNormal="70" zoomScaleSheetLayoutView="70" workbookViewId="0">
      <pane xSplit="1" ySplit="7" topLeftCell="B8" activePane="bottomRight" state="frozen"/>
      <selection activeCell="J26" sqref="J26"/>
      <selection pane="topRight" activeCell="J26" sqref="J26"/>
      <selection pane="bottomLeft" activeCell="J26" sqref="J26"/>
      <selection pane="bottomRight" activeCell="R8" sqref="R8"/>
    </sheetView>
  </sheetViews>
  <sheetFormatPr defaultColWidth="9" defaultRowHeight="15.75" x14ac:dyDescent="0.25"/>
  <cols>
    <col min="1" max="1" width="12" style="21" customWidth="1"/>
    <col min="2" max="7" width="11.125" style="21" customWidth="1"/>
    <col min="8" max="10" width="11.125" style="137" customWidth="1"/>
    <col min="11" max="11" width="0.375" style="137" customWidth="1"/>
    <col min="12" max="20" width="11.125" style="137" customWidth="1"/>
    <col min="21" max="21" width="11.875" style="21" customWidth="1"/>
    <col min="22" max="25" width="9" style="21"/>
    <col min="26" max="26" width="10.625" style="21" bestFit="1" customWidth="1"/>
    <col min="27" max="16384" width="9" style="21"/>
  </cols>
  <sheetData>
    <row r="1" spans="1:28" ht="23.45" customHeight="1" x14ac:dyDescent="0.25">
      <c r="A1" s="720" t="s">
        <v>654</v>
      </c>
      <c r="B1" s="748"/>
      <c r="C1" s="748"/>
      <c r="D1" s="748"/>
      <c r="E1" s="748"/>
      <c r="F1" s="748"/>
      <c r="G1" s="748"/>
      <c r="H1" s="748"/>
      <c r="I1" s="748"/>
      <c r="J1" s="748"/>
      <c r="K1" s="579"/>
      <c r="L1" s="721" t="s">
        <v>557</v>
      </c>
      <c r="M1" s="721"/>
      <c r="N1" s="721"/>
      <c r="O1" s="721"/>
      <c r="P1" s="721"/>
      <c r="Q1" s="721"/>
      <c r="R1" s="721"/>
      <c r="S1" s="721"/>
      <c r="T1" s="721"/>
      <c r="U1" s="721"/>
      <c r="V1" s="230"/>
      <c r="W1" s="230"/>
      <c r="X1" s="230"/>
    </row>
    <row r="2" spans="1:28" ht="16.149999999999999" customHeight="1" x14ac:dyDescent="0.25">
      <c r="A2" s="586" t="s">
        <v>616</v>
      </c>
      <c r="B2" s="577"/>
      <c r="C2" s="577"/>
      <c r="D2" s="577"/>
      <c r="E2" s="577"/>
      <c r="F2" s="577"/>
      <c r="G2" s="577"/>
      <c r="H2" s="580"/>
      <c r="I2" s="580"/>
      <c r="J2" s="580"/>
      <c r="K2" s="580"/>
      <c r="L2" s="580"/>
      <c r="M2" s="580"/>
      <c r="N2" s="581"/>
      <c r="O2" s="581"/>
      <c r="P2" s="582"/>
      <c r="Q2" s="582"/>
      <c r="R2" s="722" t="s">
        <v>617</v>
      </c>
      <c r="S2" s="722"/>
      <c r="T2" s="722"/>
      <c r="U2" s="722"/>
    </row>
    <row r="3" spans="1:28" s="22" customFormat="1" ht="15.6" customHeight="1" x14ac:dyDescent="0.25">
      <c r="A3" s="723" t="s">
        <v>469</v>
      </c>
      <c r="B3" s="729" t="s">
        <v>492</v>
      </c>
      <c r="C3" s="729"/>
      <c r="D3" s="729"/>
      <c r="E3" s="729" t="s">
        <v>493</v>
      </c>
      <c r="F3" s="729"/>
      <c r="G3" s="729"/>
      <c r="H3" s="729" t="s">
        <v>494</v>
      </c>
      <c r="I3" s="729"/>
      <c r="J3" s="729"/>
      <c r="K3" s="578"/>
      <c r="L3" s="728" t="s">
        <v>495</v>
      </c>
      <c r="M3" s="729"/>
      <c r="N3" s="729"/>
      <c r="O3" s="729" t="s">
        <v>549</v>
      </c>
      <c r="P3" s="729"/>
      <c r="Q3" s="729"/>
      <c r="R3" s="729" t="s">
        <v>578</v>
      </c>
      <c r="S3" s="729"/>
      <c r="T3" s="729"/>
      <c r="U3" s="735" t="s">
        <v>470</v>
      </c>
    </row>
    <row r="4" spans="1:28" ht="14.45" customHeight="1" x14ac:dyDescent="0.25">
      <c r="A4" s="724"/>
      <c r="B4" s="747">
        <v>2019</v>
      </c>
      <c r="C4" s="747"/>
      <c r="D4" s="747"/>
      <c r="E4" s="747">
        <v>2020</v>
      </c>
      <c r="F4" s="747"/>
      <c r="G4" s="747"/>
      <c r="H4" s="747">
        <v>2021</v>
      </c>
      <c r="I4" s="747"/>
      <c r="J4" s="747"/>
      <c r="K4" s="578"/>
      <c r="L4" s="732">
        <v>2022</v>
      </c>
      <c r="M4" s="747"/>
      <c r="N4" s="747"/>
      <c r="O4" s="747">
        <v>2023</v>
      </c>
      <c r="P4" s="747"/>
      <c r="Q4" s="747"/>
      <c r="R4" s="747">
        <v>2024</v>
      </c>
      <c r="S4" s="747"/>
      <c r="T4" s="747"/>
      <c r="U4" s="736"/>
    </row>
    <row r="5" spans="1:28" ht="15" customHeight="1" x14ac:dyDescent="0.25">
      <c r="A5" s="724"/>
      <c r="B5" s="733" t="s">
        <v>486</v>
      </c>
      <c r="C5" s="740"/>
      <c r="D5" s="741"/>
      <c r="E5" s="742" t="s">
        <v>486</v>
      </c>
      <c r="F5" s="740"/>
      <c r="G5" s="741"/>
      <c r="H5" s="742" t="s">
        <v>486</v>
      </c>
      <c r="I5" s="740"/>
      <c r="J5" s="741"/>
      <c r="K5" s="291"/>
      <c r="L5" s="742" t="s">
        <v>486</v>
      </c>
      <c r="M5" s="740"/>
      <c r="N5" s="741"/>
      <c r="O5" s="733" t="s">
        <v>486</v>
      </c>
      <c r="P5" s="740"/>
      <c r="Q5" s="741"/>
      <c r="R5" s="733" t="s">
        <v>486</v>
      </c>
      <c r="S5" s="740"/>
      <c r="T5" s="741"/>
      <c r="U5" s="736"/>
    </row>
    <row r="6" spans="1:28" ht="33" customHeight="1" x14ac:dyDescent="0.25">
      <c r="A6" s="724"/>
      <c r="B6" s="734"/>
      <c r="C6" s="329" t="s">
        <v>467</v>
      </c>
      <c r="D6" s="329" t="s">
        <v>468</v>
      </c>
      <c r="E6" s="743"/>
      <c r="F6" s="329" t="s">
        <v>467</v>
      </c>
      <c r="G6" s="329" t="s">
        <v>468</v>
      </c>
      <c r="H6" s="743"/>
      <c r="I6" s="329" t="s">
        <v>467</v>
      </c>
      <c r="J6" s="329" t="s">
        <v>468</v>
      </c>
      <c r="K6" s="296"/>
      <c r="L6" s="743"/>
      <c r="M6" s="329" t="s">
        <v>467</v>
      </c>
      <c r="N6" s="329" t="s">
        <v>468</v>
      </c>
      <c r="O6" s="734"/>
      <c r="P6" s="329" t="s">
        <v>467</v>
      </c>
      <c r="Q6" s="329" t="s">
        <v>468</v>
      </c>
      <c r="R6" s="734"/>
      <c r="S6" s="329" t="s">
        <v>467</v>
      </c>
      <c r="T6" s="329" t="s">
        <v>468</v>
      </c>
      <c r="U6" s="736"/>
    </row>
    <row r="7" spans="1:28" ht="28.9" customHeight="1" x14ac:dyDescent="0.25">
      <c r="A7" s="725"/>
      <c r="B7" s="141" t="s">
        <v>430</v>
      </c>
      <c r="C7" s="260" t="s">
        <v>431</v>
      </c>
      <c r="D7" s="260" t="s">
        <v>432</v>
      </c>
      <c r="E7" s="141" t="s">
        <v>430</v>
      </c>
      <c r="F7" s="260" t="s">
        <v>431</v>
      </c>
      <c r="G7" s="260" t="s">
        <v>547</v>
      </c>
      <c r="H7" s="141" t="s">
        <v>430</v>
      </c>
      <c r="I7" s="260" t="s">
        <v>431</v>
      </c>
      <c r="J7" s="260" t="s">
        <v>550</v>
      </c>
      <c r="K7" s="293"/>
      <c r="L7" s="142" t="s">
        <v>430</v>
      </c>
      <c r="M7" s="260" t="s">
        <v>431</v>
      </c>
      <c r="N7" s="260" t="s">
        <v>432</v>
      </c>
      <c r="O7" s="141" t="s">
        <v>430</v>
      </c>
      <c r="P7" s="260" t="s">
        <v>431</v>
      </c>
      <c r="Q7" s="260" t="s">
        <v>432</v>
      </c>
      <c r="R7" s="141" t="s">
        <v>430</v>
      </c>
      <c r="S7" s="260" t="s">
        <v>431</v>
      </c>
      <c r="T7" s="260" t="s">
        <v>432</v>
      </c>
      <c r="U7" s="737"/>
    </row>
    <row r="8" spans="1:28" ht="19.149999999999999" customHeight="1" x14ac:dyDescent="0.25">
      <c r="A8" s="204" t="s">
        <v>136</v>
      </c>
      <c r="B8" s="231">
        <v>1947</v>
      </c>
      <c r="C8" s="232">
        <v>1823</v>
      </c>
      <c r="D8" s="224">
        <v>124</v>
      </c>
      <c r="E8" s="231">
        <v>2204</v>
      </c>
      <c r="F8" s="232">
        <v>2055</v>
      </c>
      <c r="G8" s="224">
        <v>149</v>
      </c>
      <c r="H8" s="231">
        <v>2514</v>
      </c>
      <c r="I8" s="232">
        <v>2356</v>
      </c>
      <c r="J8" s="224">
        <v>159</v>
      </c>
      <c r="K8" s="231">
        <v>0</v>
      </c>
      <c r="L8" s="232">
        <v>2547</v>
      </c>
      <c r="M8" s="232">
        <v>2398</v>
      </c>
      <c r="N8" s="224">
        <v>148</v>
      </c>
      <c r="O8" s="303">
        <v>2523</v>
      </c>
      <c r="P8" s="302">
        <v>2352</v>
      </c>
      <c r="Q8" s="304">
        <v>172</v>
      </c>
      <c r="R8" s="303">
        <v>2514</v>
      </c>
      <c r="S8" s="302">
        <v>2347</v>
      </c>
      <c r="T8" s="304">
        <v>167</v>
      </c>
      <c r="U8" s="215" t="s">
        <v>137</v>
      </c>
    </row>
    <row r="9" spans="1:28" ht="19.149999999999999" customHeight="1" x14ac:dyDescent="0.25">
      <c r="A9" s="205" t="s">
        <v>138</v>
      </c>
      <c r="B9" s="163">
        <v>5882</v>
      </c>
      <c r="C9" s="156">
        <v>5576</v>
      </c>
      <c r="D9" s="159">
        <v>306</v>
      </c>
      <c r="E9" s="163">
        <v>6305</v>
      </c>
      <c r="F9" s="156">
        <v>5990</v>
      </c>
      <c r="G9" s="159">
        <v>315</v>
      </c>
      <c r="H9" s="163">
        <v>7510</v>
      </c>
      <c r="I9" s="156">
        <v>7167</v>
      </c>
      <c r="J9" s="159">
        <v>343</v>
      </c>
      <c r="K9" s="160">
        <v>0</v>
      </c>
      <c r="L9" s="156">
        <v>7168</v>
      </c>
      <c r="M9" s="156">
        <v>6772</v>
      </c>
      <c r="N9" s="159">
        <v>395</v>
      </c>
      <c r="O9" s="163" t="s">
        <v>57</v>
      </c>
      <c r="P9" s="156">
        <v>6585</v>
      </c>
      <c r="Q9" s="162" t="s">
        <v>57</v>
      </c>
      <c r="R9" s="163" t="s">
        <v>57</v>
      </c>
      <c r="S9" s="156">
        <v>6962</v>
      </c>
      <c r="T9" s="162" t="s">
        <v>57</v>
      </c>
      <c r="U9" s="215" t="s">
        <v>139</v>
      </c>
      <c r="Z9" s="255"/>
      <c r="AA9" s="255"/>
      <c r="AB9" s="255"/>
    </row>
    <row r="10" spans="1:28" ht="19.149999999999999" customHeight="1" x14ac:dyDescent="0.25">
      <c r="A10" s="205" t="s">
        <v>140</v>
      </c>
      <c r="B10" s="163">
        <v>5551</v>
      </c>
      <c r="C10" s="156">
        <v>5301</v>
      </c>
      <c r="D10" s="159">
        <v>251</v>
      </c>
      <c r="E10" s="163">
        <v>5821</v>
      </c>
      <c r="F10" s="156">
        <v>5560</v>
      </c>
      <c r="G10" s="159">
        <v>261</v>
      </c>
      <c r="H10" s="163">
        <v>6818</v>
      </c>
      <c r="I10" s="156">
        <v>6537</v>
      </c>
      <c r="J10" s="159">
        <v>281</v>
      </c>
      <c r="K10" s="160">
        <v>0</v>
      </c>
      <c r="L10" s="156">
        <v>6103</v>
      </c>
      <c r="M10" s="156">
        <v>5857</v>
      </c>
      <c r="N10" s="159">
        <v>246</v>
      </c>
      <c r="O10" s="163">
        <v>6535</v>
      </c>
      <c r="P10" s="156">
        <v>6249</v>
      </c>
      <c r="Q10" s="159">
        <v>286</v>
      </c>
      <c r="R10" s="163">
        <v>7021</v>
      </c>
      <c r="S10" s="156">
        <v>6739</v>
      </c>
      <c r="T10" s="159">
        <v>282</v>
      </c>
      <c r="U10" s="215" t="s">
        <v>141</v>
      </c>
      <c r="Z10" s="255"/>
      <c r="AA10" s="255"/>
      <c r="AB10" s="255"/>
    </row>
    <row r="11" spans="1:28" ht="19.149999999999999" customHeight="1" x14ac:dyDescent="0.25">
      <c r="A11" s="205" t="s">
        <v>142</v>
      </c>
      <c r="B11" s="163" t="s">
        <v>57</v>
      </c>
      <c r="C11" s="156">
        <v>5073</v>
      </c>
      <c r="D11" s="159" t="s">
        <v>57</v>
      </c>
      <c r="E11" s="163" t="s">
        <v>57</v>
      </c>
      <c r="F11" s="156">
        <v>5262</v>
      </c>
      <c r="G11" s="159" t="s">
        <v>57</v>
      </c>
      <c r="H11" s="163" t="s">
        <v>57</v>
      </c>
      <c r="I11" s="156">
        <v>5831</v>
      </c>
      <c r="J11" s="159" t="s">
        <v>57</v>
      </c>
      <c r="K11" s="160">
        <v>0</v>
      </c>
      <c r="L11" s="156" t="s">
        <v>57</v>
      </c>
      <c r="M11" s="156">
        <v>5458</v>
      </c>
      <c r="N11" s="159" t="s">
        <v>57</v>
      </c>
      <c r="O11" s="163" t="s">
        <v>57</v>
      </c>
      <c r="P11" s="156">
        <v>5912</v>
      </c>
      <c r="Q11" s="162" t="s">
        <v>57</v>
      </c>
      <c r="R11" s="163" t="s">
        <v>57</v>
      </c>
      <c r="S11" s="156">
        <v>6169</v>
      </c>
      <c r="T11" s="162" t="s">
        <v>57</v>
      </c>
      <c r="U11" s="215" t="s">
        <v>143</v>
      </c>
      <c r="Z11" s="255"/>
      <c r="AA11" s="255"/>
      <c r="AB11" s="255"/>
    </row>
    <row r="12" spans="1:28" ht="19.149999999999999" customHeight="1" x14ac:dyDescent="0.25">
      <c r="A12" s="205" t="s">
        <v>144</v>
      </c>
      <c r="B12" s="163">
        <v>5301</v>
      </c>
      <c r="C12" s="156">
        <v>5121</v>
      </c>
      <c r="D12" s="159">
        <v>180</v>
      </c>
      <c r="E12" s="163">
        <v>5876</v>
      </c>
      <c r="F12" s="156">
        <v>5667</v>
      </c>
      <c r="G12" s="159">
        <v>208</v>
      </c>
      <c r="H12" s="163">
        <v>6778</v>
      </c>
      <c r="I12" s="156">
        <v>6548</v>
      </c>
      <c r="J12" s="159">
        <v>230</v>
      </c>
      <c r="K12" s="160">
        <v>0</v>
      </c>
      <c r="L12" s="156">
        <v>6489</v>
      </c>
      <c r="M12" s="156">
        <v>6234</v>
      </c>
      <c r="N12" s="159">
        <v>255</v>
      </c>
      <c r="O12" s="163">
        <v>6336</v>
      </c>
      <c r="P12" s="156">
        <v>6066</v>
      </c>
      <c r="Q12" s="159">
        <v>271</v>
      </c>
      <c r="R12" s="163">
        <v>6410</v>
      </c>
      <c r="S12" s="156">
        <v>6139</v>
      </c>
      <c r="T12" s="159">
        <v>271</v>
      </c>
      <c r="U12" s="215" t="s">
        <v>145</v>
      </c>
      <c r="Z12" s="255"/>
      <c r="AA12" s="255"/>
      <c r="AB12" s="255"/>
    </row>
    <row r="13" spans="1:28" ht="19.149999999999999" customHeight="1" x14ac:dyDescent="0.25">
      <c r="A13" s="205" t="s">
        <v>146</v>
      </c>
      <c r="B13" s="163" t="s">
        <v>57</v>
      </c>
      <c r="C13" s="156">
        <v>1355</v>
      </c>
      <c r="D13" s="159" t="s">
        <v>57</v>
      </c>
      <c r="E13" s="163" t="s">
        <v>57</v>
      </c>
      <c r="F13" s="156">
        <v>1265</v>
      </c>
      <c r="G13" s="159" t="s">
        <v>57</v>
      </c>
      <c r="H13" s="163" t="s">
        <v>57</v>
      </c>
      <c r="I13" s="156">
        <v>1559</v>
      </c>
      <c r="J13" s="159" t="s">
        <v>57</v>
      </c>
      <c r="K13" s="160">
        <v>0</v>
      </c>
      <c r="L13" s="156" t="s">
        <v>57</v>
      </c>
      <c r="M13" s="156">
        <v>1520</v>
      </c>
      <c r="N13" s="159" t="s">
        <v>57</v>
      </c>
      <c r="O13" s="163" t="s">
        <v>57</v>
      </c>
      <c r="P13" s="156">
        <v>1710</v>
      </c>
      <c r="Q13" s="162" t="s">
        <v>57</v>
      </c>
      <c r="R13" s="163" t="s">
        <v>57</v>
      </c>
      <c r="S13" s="156">
        <v>1732</v>
      </c>
      <c r="T13" s="162" t="s">
        <v>57</v>
      </c>
      <c r="U13" s="215" t="s">
        <v>147</v>
      </c>
      <c r="Z13" s="255"/>
      <c r="AA13" s="255"/>
      <c r="AB13" s="255"/>
    </row>
    <row r="14" spans="1:28" ht="19.149999999999999" customHeight="1" x14ac:dyDescent="0.25">
      <c r="A14" s="225" t="s">
        <v>383</v>
      </c>
      <c r="B14" s="163" t="s">
        <v>57</v>
      </c>
      <c r="C14" s="156">
        <v>512</v>
      </c>
      <c r="D14" s="159" t="s">
        <v>57</v>
      </c>
      <c r="E14" s="163" t="s">
        <v>57</v>
      </c>
      <c r="F14" s="156">
        <v>466</v>
      </c>
      <c r="G14" s="159" t="s">
        <v>57</v>
      </c>
      <c r="H14" s="163" t="s">
        <v>57</v>
      </c>
      <c r="I14" s="156">
        <v>570</v>
      </c>
      <c r="J14" s="159" t="s">
        <v>57</v>
      </c>
      <c r="K14" s="160">
        <v>0</v>
      </c>
      <c r="L14" s="156" t="s">
        <v>57</v>
      </c>
      <c r="M14" s="156">
        <v>508</v>
      </c>
      <c r="N14" s="159" t="s">
        <v>57</v>
      </c>
      <c r="O14" s="163" t="s">
        <v>57</v>
      </c>
      <c r="P14" s="156">
        <v>572</v>
      </c>
      <c r="Q14" s="162" t="s">
        <v>57</v>
      </c>
      <c r="R14" s="163" t="s">
        <v>57</v>
      </c>
      <c r="S14" s="156">
        <v>647</v>
      </c>
      <c r="T14" s="162" t="s">
        <v>57</v>
      </c>
      <c r="U14" s="226" t="s">
        <v>384</v>
      </c>
      <c r="Z14" s="255"/>
      <c r="AA14" s="255"/>
      <c r="AB14" s="255"/>
    </row>
    <row r="15" spans="1:28" ht="19.149999999999999" customHeight="1" x14ac:dyDescent="0.25">
      <c r="A15" s="225" t="s">
        <v>392</v>
      </c>
      <c r="B15" s="163">
        <v>954</v>
      </c>
      <c r="C15" s="156">
        <v>918</v>
      </c>
      <c r="D15" s="159">
        <v>36</v>
      </c>
      <c r="E15" s="163">
        <v>1009</v>
      </c>
      <c r="F15" s="156">
        <v>957</v>
      </c>
      <c r="G15" s="159">
        <v>52</v>
      </c>
      <c r="H15" s="163">
        <v>1004</v>
      </c>
      <c r="I15" s="156">
        <v>964</v>
      </c>
      <c r="J15" s="159">
        <v>40</v>
      </c>
      <c r="K15" s="160">
        <v>0</v>
      </c>
      <c r="L15" s="156">
        <v>1009</v>
      </c>
      <c r="M15" s="156">
        <v>964</v>
      </c>
      <c r="N15" s="159">
        <v>44</v>
      </c>
      <c r="O15" s="163">
        <v>1196</v>
      </c>
      <c r="P15" s="156">
        <v>1144</v>
      </c>
      <c r="Q15" s="162">
        <v>52</v>
      </c>
      <c r="R15" s="163" t="s">
        <v>57</v>
      </c>
      <c r="S15" s="156">
        <v>1238</v>
      </c>
      <c r="T15" s="162" t="s">
        <v>57</v>
      </c>
      <c r="U15" s="226" t="s">
        <v>391</v>
      </c>
      <c r="Z15" s="255"/>
      <c r="AA15" s="255"/>
      <c r="AB15" s="255"/>
    </row>
    <row r="16" spans="1:28" ht="19.149999999999999" customHeight="1" x14ac:dyDescent="0.25">
      <c r="A16" s="205" t="s">
        <v>148</v>
      </c>
      <c r="B16" s="163">
        <v>1826</v>
      </c>
      <c r="C16" s="156">
        <v>1802</v>
      </c>
      <c r="D16" s="159">
        <v>24</v>
      </c>
      <c r="E16" s="163">
        <v>2132</v>
      </c>
      <c r="F16" s="156">
        <v>2106</v>
      </c>
      <c r="G16" s="159">
        <v>26</v>
      </c>
      <c r="H16" s="163">
        <v>2562</v>
      </c>
      <c r="I16" s="156">
        <v>2535</v>
      </c>
      <c r="J16" s="159">
        <v>26</v>
      </c>
      <c r="K16" s="160">
        <v>0</v>
      </c>
      <c r="L16" s="156">
        <v>2425</v>
      </c>
      <c r="M16" s="156">
        <v>2396</v>
      </c>
      <c r="N16" s="159">
        <v>29</v>
      </c>
      <c r="O16" s="163">
        <v>2707</v>
      </c>
      <c r="P16" s="156">
        <v>2662</v>
      </c>
      <c r="Q16" s="162">
        <v>45</v>
      </c>
      <c r="R16" s="163" t="s">
        <v>57</v>
      </c>
      <c r="S16" s="156">
        <v>2693</v>
      </c>
      <c r="T16" s="162" t="s">
        <v>57</v>
      </c>
      <c r="U16" s="215" t="s">
        <v>149</v>
      </c>
      <c r="Z16" s="255"/>
      <c r="AA16" s="255"/>
      <c r="AB16" s="255"/>
    </row>
    <row r="17" spans="1:28" ht="19.149999999999999" customHeight="1" x14ac:dyDescent="0.25">
      <c r="A17" s="205" t="s">
        <v>150</v>
      </c>
      <c r="B17" s="163">
        <v>6407</v>
      </c>
      <c r="C17" s="156">
        <v>6050</v>
      </c>
      <c r="D17" s="159">
        <v>357</v>
      </c>
      <c r="E17" s="163">
        <v>6988</v>
      </c>
      <c r="F17" s="156">
        <v>6521</v>
      </c>
      <c r="G17" s="159">
        <v>467</v>
      </c>
      <c r="H17" s="163">
        <v>7925</v>
      </c>
      <c r="I17" s="156">
        <v>7430</v>
      </c>
      <c r="J17" s="159">
        <v>495</v>
      </c>
      <c r="K17" s="160">
        <v>0</v>
      </c>
      <c r="L17" s="156">
        <v>6898</v>
      </c>
      <c r="M17" s="156">
        <v>6451</v>
      </c>
      <c r="N17" s="159">
        <v>447</v>
      </c>
      <c r="O17" s="163">
        <v>6977</v>
      </c>
      <c r="P17" s="156">
        <v>6512</v>
      </c>
      <c r="Q17" s="159">
        <v>465</v>
      </c>
      <c r="R17" s="163">
        <v>7227</v>
      </c>
      <c r="S17" s="156">
        <v>6763</v>
      </c>
      <c r="T17" s="159">
        <v>464</v>
      </c>
      <c r="U17" s="215" t="s">
        <v>151</v>
      </c>
      <c r="Z17" s="255"/>
      <c r="AA17" s="255"/>
      <c r="AB17" s="255"/>
    </row>
    <row r="18" spans="1:28" ht="19.149999999999999" customHeight="1" x14ac:dyDescent="0.25">
      <c r="A18" s="205" t="s">
        <v>152</v>
      </c>
      <c r="B18" s="163">
        <v>1663</v>
      </c>
      <c r="C18" s="156">
        <v>1597</v>
      </c>
      <c r="D18" s="159">
        <v>66</v>
      </c>
      <c r="E18" s="163">
        <v>1885</v>
      </c>
      <c r="F18" s="156">
        <v>1788</v>
      </c>
      <c r="G18" s="159">
        <v>97</v>
      </c>
      <c r="H18" s="163">
        <v>2220</v>
      </c>
      <c r="I18" s="156">
        <v>2090</v>
      </c>
      <c r="J18" s="159">
        <v>130</v>
      </c>
      <c r="K18" s="160">
        <v>0</v>
      </c>
      <c r="L18" s="156">
        <v>2054</v>
      </c>
      <c r="M18" s="156">
        <v>1973</v>
      </c>
      <c r="N18" s="159">
        <v>80</v>
      </c>
      <c r="O18" s="163">
        <v>2468</v>
      </c>
      <c r="P18" s="156">
        <v>2251</v>
      </c>
      <c r="Q18" s="162">
        <v>217</v>
      </c>
      <c r="R18" s="163" t="s">
        <v>57</v>
      </c>
      <c r="S18" s="156">
        <v>2438</v>
      </c>
      <c r="T18" s="162" t="s">
        <v>57</v>
      </c>
      <c r="U18" s="215" t="s">
        <v>153</v>
      </c>
      <c r="Z18" s="255"/>
      <c r="AA18" s="255"/>
      <c r="AB18" s="255"/>
    </row>
    <row r="19" spans="1:28" ht="19.149999999999999" customHeight="1" x14ac:dyDescent="0.25">
      <c r="A19" s="205" t="s">
        <v>154</v>
      </c>
      <c r="B19" s="163">
        <v>4692</v>
      </c>
      <c r="C19" s="156">
        <v>4460</v>
      </c>
      <c r="D19" s="159">
        <v>232</v>
      </c>
      <c r="E19" s="163">
        <v>4999</v>
      </c>
      <c r="F19" s="156">
        <v>4736</v>
      </c>
      <c r="G19" s="159">
        <v>263</v>
      </c>
      <c r="H19" s="163">
        <v>5533</v>
      </c>
      <c r="I19" s="156">
        <v>5262</v>
      </c>
      <c r="J19" s="159">
        <v>271</v>
      </c>
      <c r="K19" s="160">
        <v>0</v>
      </c>
      <c r="L19" s="156">
        <v>5146</v>
      </c>
      <c r="M19" s="156">
        <v>4914</v>
      </c>
      <c r="N19" s="159">
        <v>232</v>
      </c>
      <c r="O19" s="163">
        <v>5682</v>
      </c>
      <c r="P19" s="156">
        <v>5532</v>
      </c>
      <c r="Q19" s="162">
        <v>150</v>
      </c>
      <c r="R19" s="163" t="s">
        <v>57</v>
      </c>
      <c r="S19" s="156">
        <v>5673</v>
      </c>
      <c r="T19" s="162" t="s">
        <v>57</v>
      </c>
      <c r="U19" s="215" t="s">
        <v>155</v>
      </c>
      <c r="Z19" s="255"/>
      <c r="AA19" s="255"/>
      <c r="AB19" s="255"/>
    </row>
    <row r="20" spans="1:28" ht="19.149999999999999" customHeight="1" x14ac:dyDescent="0.25">
      <c r="A20" s="205" t="s">
        <v>156</v>
      </c>
      <c r="B20" s="163" t="s">
        <v>57</v>
      </c>
      <c r="C20" s="156">
        <v>4514</v>
      </c>
      <c r="D20" s="159" t="s">
        <v>57</v>
      </c>
      <c r="E20" s="163" t="s">
        <v>57</v>
      </c>
      <c r="F20" s="156">
        <v>4751</v>
      </c>
      <c r="G20" s="159" t="s">
        <v>57</v>
      </c>
      <c r="H20" s="163" t="s">
        <v>57</v>
      </c>
      <c r="I20" s="156">
        <v>5356</v>
      </c>
      <c r="J20" s="159" t="s">
        <v>57</v>
      </c>
      <c r="K20" s="160">
        <v>0</v>
      </c>
      <c r="L20" s="156" t="s">
        <v>57</v>
      </c>
      <c r="M20" s="156">
        <v>4851</v>
      </c>
      <c r="N20" s="159" t="s">
        <v>57</v>
      </c>
      <c r="O20" s="163" t="s">
        <v>57</v>
      </c>
      <c r="P20" s="156">
        <v>5142</v>
      </c>
      <c r="Q20" s="162" t="s">
        <v>57</v>
      </c>
      <c r="R20" s="163" t="s">
        <v>57</v>
      </c>
      <c r="S20" s="156">
        <v>5327</v>
      </c>
      <c r="T20" s="162" t="s">
        <v>57</v>
      </c>
      <c r="U20" s="215" t="s">
        <v>157</v>
      </c>
      <c r="Z20" s="255"/>
      <c r="AA20" s="255"/>
      <c r="AB20" s="255"/>
    </row>
    <row r="21" spans="1:28" ht="19.149999999999999" customHeight="1" x14ac:dyDescent="0.25">
      <c r="A21" s="205" t="s">
        <v>158</v>
      </c>
      <c r="B21" s="163" t="s">
        <v>57</v>
      </c>
      <c r="C21" s="156">
        <v>5442</v>
      </c>
      <c r="D21" s="159" t="s">
        <v>57</v>
      </c>
      <c r="E21" s="163" t="s">
        <v>57</v>
      </c>
      <c r="F21" s="156">
        <v>5907</v>
      </c>
      <c r="G21" s="159" t="s">
        <v>57</v>
      </c>
      <c r="H21" s="163" t="s">
        <v>57</v>
      </c>
      <c r="I21" s="156">
        <v>6650</v>
      </c>
      <c r="J21" s="159" t="s">
        <v>57</v>
      </c>
      <c r="K21" s="160">
        <v>0</v>
      </c>
      <c r="L21" s="156" t="s">
        <v>57</v>
      </c>
      <c r="M21" s="156">
        <v>6231</v>
      </c>
      <c r="N21" s="159" t="s">
        <v>57</v>
      </c>
      <c r="O21" s="163" t="s">
        <v>57</v>
      </c>
      <c r="P21" s="156">
        <v>6382</v>
      </c>
      <c r="Q21" s="162" t="s">
        <v>57</v>
      </c>
      <c r="R21" s="163" t="s">
        <v>57</v>
      </c>
      <c r="S21" s="156">
        <v>6849</v>
      </c>
      <c r="T21" s="162" t="s">
        <v>57</v>
      </c>
      <c r="U21" s="215" t="s">
        <v>159</v>
      </c>
      <c r="Z21" s="255"/>
      <c r="AA21" s="255"/>
      <c r="AB21" s="255"/>
    </row>
    <row r="22" spans="1:28" ht="19.149999999999999" customHeight="1" x14ac:dyDescent="0.25">
      <c r="A22" s="205" t="s">
        <v>160</v>
      </c>
      <c r="B22" s="163">
        <v>1605</v>
      </c>
      <c r="C22" s="156">
        <v>1569</v>
      </c>
      <c r="D22" s="159">
        <v>36</v>
      </c>
      <c r="E22" s="163">
        <v>1707</v>
      </c>
      <c r="F22" s="156">
        <v>1678</v>
      </c>
      <c r="G22" s="159">
        <v>29</v>
      </c>
      <c r="H22" s="163">
        <v>1918</v>
      </c>
      <c r="I22" s="156">
        <v>1865</v>
      </c>
      <c r="J22" s="159">
        <v>53</v>
      </c>
      <c r="K22" s="160">
        <v>0</v>
      </c>
      <c r="L22" s="156">
        <v>1828</v>
      </c>
      <c r="M22" s="156">
        <v>1772</v>
      </c>
      <c r="N22" s="159">
        <v>56</v>
      </c>
      <c r="O22" s="163">
        <v>2026</v>
      </c>
      <c r="P22" s="156">
        <v>1964</v>
      </c>
      <c r="Q22" s="162">
        <v>62</v>
      </c>
      <c r="R22" s="163" t="s">
        <v>57</v>
      </c>
      <c r="S22" s="156">
        <v>2006</v>
      </c>
      <c r="T22" s="162" t="s">
        <v>57</v>
      </c>
      <c r="U22" s="215" t="s">
        <v>161</v>
      </c>
      <c r="Z22" s="255"/>
      <c r="AA22" s="255"/>
      <c r="AB22" s="255"/>
    </row>
    <row r="23" spans="1:28" ht="19.149999999999999" customHeight="1" x14ac:dyDescent="0.25">
      <c r="A23" s="205" t="s">
        <v>162</v>
      </c>
      <c r="B23" s="163">
        <v>1107</v>
      </c>
      <c r="C23" s="156">
        <v>1063</v>
      </c>
      <c r="D23" s="159">
        <v>44</v>
      </c>
      <c r="E23" s="163">
        <v>1250</v>
      </c>
      <c r="F23" s="156">
        <v>1185</v>
      </c>
      <c r="G23" s="159">
        <v>66</v>
      </c>
      <c r="H23" s="163">
        <v>1460</v>
      </c>
      <c r="I23" s="156">
        <v>1396</v>
      </c>
      <c r="J23" s="159">
        <v>65</v>
      </c>
      <c r="K23" s="160">
        <v>0</v>
      </c>
      <c r="L23" s="156">
        <v>1279</v>
      </c>
      <c r="M23" s="156">
        <v>1229</v>
      </c>
      <c r="N23" s="159">
        <v>50</v>
      </c>
      <c r="O23" s="163">
        <v>1475</v>
      </c>
      <c r="P23" s="156">
        <v>1421</v>
      </c>
      <c r="Q23" s="162">
        <v>54</v>
      </c>
      <c r="R23" s="163" t="s">
        <v>57</v>
      </c>
      <c r="S23" s="156">
        <v>1511</v>
      </c>
      <c r="T23" s="162" t="s">
        <v>57</v>
      </c>
      <c r="U23" s="215" t="s">
        <v>163</v>
      </c>
      <c r="Z23" s="255"/>
      <c r="AA23" s="255"/>
      <c r="AB23" s="255"/>
    </row>
    <row r="24" spans="1:28" ht="19.149999999999999" customHeight="1" x14ac:dyDescent="0.25">
      <c r="A24" s="205" t="s">
        <v>164</v>
      </c>
      <c r="B24" s="163">
        <v>6123</v>
      </c>
      <c r="C24" s="156">
        <v>5914</v>
      </c>
      <c r="D24" s="159">
        <v>208</v>
      </c>
      <c r="E24" s="163">
        <v>5860</v>
      </c>
      <c r="F24" s="156">
        <v>5695</v>
      </c>
      <c r="G24" s="159">
        <v>164</v>
      </c>
      <c r="H24" s="163">
        <v>7006</v>
      </c>
      <c r="I24" s="156">
        <v>6725</v>
      </c>
      <c r="J24" s="159">
        <v>281</v>
      </c>
      <c r="K24" s="160">
        <v>0</v>
      </c>
      <c r="L24" s="156">
        <v>7145</v>
      </c>
      <c r="M24" s="156">
        <v>6822</v>
      </c>
      <c r="N24" s="159">
        <v>322</v>
      </c>
      <c r="O24" s="163">
        <v>7522</v>
      </c>
      <c r="P24" s="156">
        <v>7099</v>
      </c>
      <c r="Q24" s="162">
        <v>422</v>
      </c>
      <c r="R24" s="163" t="s">
        <v>57</v>
      </c>
      <c r="S24" s="156">
        <v>7837</v>
      </c>
      <c r="T24" s="162" t="s">
        <v>57</v>
      </c>
      <c r="U24" s="215" t="s">
        <v>165</v>
      </c>
      <c r="Z24" s="255"/>
      <c r="AA24" s="255"/>
      <c r="AB24" s="255"/>
    </row>
    <row r="25" spans="1:28" ht="19.149999999999999" customHeight="1" x14ac:dyDescent="0.25">
      <c r="A25" s="205" t="s">
        <v>166</v>
      </c>
      <c r="B25" s="163">
        <v>5652</v>
      </c>
      <c r="C25" s="156">
        <v>5415</v>
      </c>
      <c r="D25" s="159">
        <v>237</v>
      </c>
      <c r="E25" s="163">
        <v>6279</v>
      </c>
      <c r="F25" s="156">
        <v>6040</v>
      </c>
      <c r="G25" s="159">
        <v>239</v>
      </c>
      <c r="H25" s="163">
        <v>7002</v>
      </c>
      <c r="I25" s="156">
        <v>6696</v>
      </c>
      <c r="J25" s="159">
        <v>306</v>
      </c>
      <c r="K25" s="160">
        <v>0</v>
      </c>
      <c r="L25" s="156">
        <v>6629</v>
      </c>
      <c r="M25" s="156">
        <v>6336</v>
      </c>
      <c r="N25" s="159">
        <v>293</v>
      </c>
      <c r="O25" s="163">
        <v>7151</v>
      </c>
      <c r="P25" s="156">
        <v>6826</v>
      </c>
      <c r="Q25" s="162">
        <v>325</v>
      </c>
      <c r="R25" s="163" t="s">
        <v>57</v>
      </c>
      <c r="S25" s="156">
        <v>7395</v>
      </c>
      <c r="T25" s="162" t="s">
        <v>57</v>
      </c>
      <c r="U25" s="215" t="s">
        <v>167</v>
      </c>
      <c r="Z25" s="255"/>
      <c r="AA25" s="255"/>
      <c r="AB25" s="255"/>
    </row>
    <row r="26" spans="1:28" ht="19.149999999999999" customHeight="1" x14ac:dyDescent="0.25">
      <c r="A26" s="205" t="s">
        <v>168</v>
      </c>
      <c r="B26" s="163">
        <v>3307</v>
      </c>
      <c r="C26" s="156">
        <v>3189</v>
      </c>
      <c r="D26" s="159">
        <v>118</v>
      </c>
      <c r="E26" s="163">
        <v>3695</v>
      </c>
      <c r="F26" s="156">
        <v>3454</v>
      </c>
      <c r="G26" s="159">
        <v>242</v>
      </c>
      <c r="H26" s="163" t="s">
        <v>57</v>
      </c>
      <c r="I26" s="156">
        <v>4098</v>
      </c>
      <c r="J26" s="159" t="s">
        <v>57</v>
      </c>
      <c r="K26" s="160">
        <v>0</v>
      </c>
      <c r="L26" s="156" t="s">
        <v>57</v>
      </c>
      <c r="M26" s="156">
        <v>3912</v>
      </c>
      <c r="N26" s="159" t="s">
        <v>57</v>
      </c>
      <c r="O26" s="163" t="s">
        <v>57</v>
      </c>
      <c r="P26" s="156">
        <v>3774</v>
      </c>
      <c r="Q26" s="162" t="s">
        <v>57</v>
      </c>
      <c r="R26" s="163" t="s">
        <v>57</v>
      </c>
      <c r="S26" s="156">
        <v>4223</v>
      </c>
      <c r="T26" s="162" t="s">
        <v>57</v>
      </c>
      <c r="U26" s="215" t="s">
        <v>169</v>
      </c>
      <c r="Z26" s="255"/>
      <c r="AA26" s="255"/>
      <c r="AB26" s="255"/>
    </row>
    <row r="27" spans="1:28" ht="19.149999999999999" customHeight="1" x14ac:dyDescent="0.25">
      <c r="A27" s="205" t="s">
        <v>170</v>
      </c>
      <c r="B27" s="163" t="s">
        <v>57</v>
      </c>
      <c r="C27" s="156">
        <v>2913</v>
      </c>
      <c r="D27" s="159" t="s">
        <v>57</v>
      </c>
      <c r="E27" s="163" t="s">
        <v>57</v>
      </c>
      <c r="F27" s="156">
        <v>3069</v>
      </c>
      <c r="G27" s="159" t="s">
        <v>57</v>
      </c>
      <c r="H27" s="163" t="s">
        <v>57</v>
      </c>
      <c r="I27" s="156">
        <v>3421</v>
      </c>
      <c r="J27" s="159" t="s">
        <v>57</v>
      </c>
      <c r="K27" s="160">
        <v>0</v>
      </c>
      <c r="L27" s="156" t="s">
        <v>57</v>
      </c>
      <c r="M27" s="156">
        <v>3155</v>
      </c>
      <c r="N27" s="159" t="s">
        <v>57</v>
      </c>
      <c r="O27" s="163" t="s">
        <v>57</v>
      </c>
      <c r="P27" s="156">
        <v>3284</v>
      </c>
      <c r="Q27" s="162" t="s">
        <v>57</v>
      </c>
      <c r="R27" s="163" t="s">
        <v>57</v>
      </c>
      <c r="S27" s="156">
        <v>3398</v>
      </c>
      <c r="T27" s="162" t="s">
        <v>57</v>
      </c>
      <c r="U27" s="215" t="s">
        <v>171</v>
      </c>
      <c r="Z27" s="255"/>
      <c r="AA27" s="255"/>
      <c r="AB27" s="255"/>
    </row>
    <row r="28" spans="1:28" ht="19.149999999999999" customHeight="1" x14ac:dyDescent="0.25">
      <c r="A28" s="205" t="s">
        <v>172</v>
      </c>
      <c r="B28" s="163" t="s">
        <v>57</v>
      </c>
      <c r="C28" s="156">
        <v>4436</v>
      </c>
      <c r="D28" s="159" t="s">
        <v>57</v>
      </c>
      <c r="E28" s="163" t="s">
        <v>57</v>
      </c>
      <c r="F28" s="156">
        <v>4587</v>
      </c>
      <c r="G28" s="159" t="s">
        <v>57</v>
      </c>
      <c r="H28" s="163" t="s">
        <v>57</v>
      </c>
      <c r="I28" s="156">
        <v>4851</v>
      </c>
      <c r="J28" s="159" t="s">
        <v>57</v>
      </c>
      <c r="K28" s="160">
        <v>0</v>
      </c>
      <c r="L28" s="156" t="s">
        <v>57</v>
      </c>
      <c r="M28" s="156">
        <v>4204</v>
      </c>
      <c r="N28" s="159" t="s">
        <v>57</v>
      </c>
      <c r="O28" s="163" t="s">
        <v>57</v>
      </c>
      <c r="P28" s="156">
        <v>3639</v>
      </c>
      <c r="Q28" s="162" t="s">
        <v>57</v>
      </c>
      <c r="R28" s="163" t="s">
        <v>57</v>
      </c>
      <c r="S28" s="156">
        <v>3455</v>
      </c>
      <c r="T28" s="162" t="s">
        <v>57</v>
      </c>
      <c r="U28" s="215" t="s">
        <v>173</v>
      </c>
      <c r="Z28" s="255"/>
      <c r="AA28" s="255"/>
      <c r="AB28" s="255"/>
    </row>
    <row r="29" spans="1:28" ht="19.149999999999999" customHeight="1" x14ac:dyDescent="0.25">
      <c r="A29" s="205" t="s">
        <v>174</v>
      </c>
      <c r="B29" s="163">
        <v>2703</v>
      </c>
      <c r="C29" s="156">
        <v>2602</v>
      </c>
      <c r="D29" s="159">
        <v>101</v>
      </c>
      <c r="E29" s="163">
        <v>2801</v>
      </c>
      <c r="F29" s="156">
        <v>2700</v>
      </c>
      <c r="G29" s="159">
        <v>101</v>
      </c>
      <c r="H29" s="163">
        <v>3236</v>
      </c>
      <c r="I29" s="156">
        <v>3124</v>
      </c>
      <c r="J29" s="159">
        <v>112</v>
      </c>
      <c r="K29" s="160">
        <v>0</v>
      </c>
      <c r="L29" s="156">
        <v>3176</v>
      </c>
      <c r="M29" s="156">
        <v>3079</v>
      </c>
      <c r="N29" s="159">
        <v>96</v>
      </c>
      <c r="O29" s="163">
        <v>3108</v>
      </c>
      <c r="P29" s="156">
        <v>3013</v>
      </c>
      <c r="Q29" s="159">
        <v>96</v>
      </c>
      <c r="R29" s="163">
        <v>3112</v>
      </c>
      <c r="S29" s="156">
        <v>3020</v>
      </c>
      <c r="T29" s="159">
        <v>91</v>
      </c>
      <c r="U29" s="215" t="s">
        <v>175</v>
      </c>
      <c r="Z29" s="255"/>
      <c r="AA29" s="255"/>
      <c r="AB29" s="255"/>
    </row>
    <row r="30" spans="1:28" ht="19.149999999999999" customHeight="1" x14ac:dyDescent="0.25">
      <c r="A30" s="205" t="s">
        <v>176</v>
      </c>
      <c r="B30" s="163">
        <v>1256</v>
      </c>
      <c r="C30" s="156">
        <v>1187</v>
      </c>
      <c r="D30" s="159">
        <v>69</v>
      </c>
      <c r="E30" s="163">
        <v>1406</v>
      </c>
      <c r="F30" s="156">
        <v>1318</v>
      </c>
      <c r="G30" s="159">
        <v>87</v>
      </c>
      <c r="H30" s="163">
        <v>2047</v>
      </c>
      <c r="I30" s="156">
        <v>1907</v>
      </c>
      <c r="J30" s="159">
        <v>140</v>
      </c>
      <c r="K30" s="160">
        <v>0</v>
      </c>
      <c r="L30" s="156">
        <v>1799</v>
      </c>
      <c r="M30" s="156">
        <v>1639</v>
      </c>
      <c r="N30" s="159">
        <v>159</v>
      </c>
      <c r="O30" s="163">
        <v>1852</v>
      </c>
      <c r="P30" s="156">
        <v>1650</v>
      </c>
      <c r="Q30" s="162">
        <v>202</v>
      </c>
      <c r="R30" s="163" t="s">
        <v>57</v>
      </c>
      <c r="S30" s="156">
        <v>1764</v>
      </c>
      <c r="T30" s="162" t="s">
        <v>57</v>
      </c>
      <c r="U30" s="215" t="s">
        <v>177</v>
      </c>
      <c r="Z30" s="255"/>
      <c r="AA30" s="255"/>
      <c r="AB30" s="255"/>
    </row>
    <row r="31" spans="1:28" ht="19.149999999999999" customHeight="1" x14ac:dyDescent="0.25">
      <c r="A31" s="205" t="s">
        <v>306</v>
      </c>
      <c r="B31" s="163" t="s">
        <v>57</v>
      </c>
      <c r="C31" s="156">
        <v>1362</v>
      </c>
      <c r="D31" s="159" t="s">
        <v>57</v>
      </c>
      <c r="E31" s="163" t="s">
        <v>57</v>
      </c>
      <c r="F31" s="156">
        <v>1515</v>
      </c>
      <c r="G31" s="159" t="s">
        <v>57</v>
      </c>
      <c r="H31" s="163" t="s">
        <v>57</v>
      </c>
      <c r="I31" s="156">
        <v>1846</v>
      </c>
      <c r="J31" s="159" t="s">
        <v>57</v>
      </c>
      <c r="K31" s="160">
        <v>0</v>
      </c>
      <c r="L31" s="156" t="s">
        <v>57</v>
      </c>
      <c r="M31" s="156">
        <v>1817</v>
      </c>
      <c r="N31" s="159" t="s">
        <v>57</v>
      </c>
      <c r="O31" s="163" t="s">
        <v>57</v>
      </c>
      <c r="P31" s="156">
        <v>2034</v>
      </c>
      <c r="Q31" s="162" t="s">
        <v>57</v>
      </c>
      <c r="R31" s="163" t="s">
        <v>57</v>
      </c>
      <c r="S31" s="156">
        <v>2234</v>
      </c>
      <c r="T31" s="162" t="s">
        <v>57</v>
      </c>
      <c r="U31" s="215" t="s">
        <v>305</v>
      </c>
      <c r="Z31" s="255"/>
      <c r="AA31" s="255"/>
      <c r="AB31" s="255"/>
    </row>
    <row r="32" spans="1:28" ht="19.149999999999999" customHeight="1" x14ac:dyDescent="0.25">
      <c r="A32" s="205" t="s">
        <v>178</v>
      </c>
      <c r="B32" s="163" t="s">
        <v>57</v>
      </c>
      <c r="C32" s="156">
        <v>6160</v>
      </c>
      <c r="D32" s="159" t="s">
        <v>57</v>
      </c>
      <c r="E32" s="163" t="s">
        <v>57</v>
      </c>
      <c r="F32" s="156">
        <v>6739</v>
      </c>
      <c r="G32" s="159" t="s">
        <v>57</v>
      </c>
      <c r="H32" s="163" t="s">
        <v>57</v>
      </c>
      <c r="I32" s="156">
        <v>7569</v>
      </c>
      <c r="J32" s="159" t="s">
        <v>57</v>
      </c>
      <c r="K32" s="160">
        <v>0</v>
      </c>
      <c r="L32" s="156" t="s">
        <v>57</v>
      </c>
      <c r="M32" s="156">
        <v>6940</v>
      </c>
      <c r="N32" s="159" t="s">
        <v>57</v>
      </c>
      <c r="O32" s="163" t="s">
        <v>57</v>
      </c>
      <c r="P32" s="156">
        <v>7448</v>
      </c>
      <c r="Q32" s="162" t="s">
        <v>57</v>
      </c>
      <c r="R32" s="163" t="s">
        <v>57</v>
      </c>
      <c r="S32" s="156">
        <v>8170</v>
      </c>
      <c r="T32" s="162" t="s">
        <v>57</v>
      </c>
      <c r="U32" s="215" t="s">
        <v>179</v>
      </c>
      <c r="Z32" s="255"/>
      <c r="AA32" s="255"/>
      <c r="AB32" s="255"/>
    </row>
    <row r="33" spans="1:28" ht="19.149999999999999" customHeight="1" x14ac:dyDescent="0.25">
      <c r="A33" s="205" t="s">
        <v>180</v>
      </c>
      <c r="B33" s="163">
        <v>550</v>
      </c>
      <c r="C33" s="156">
        <v>543</v>
      </c>
      <c r="D33" s="159">
        <v>6</v>
      </c>
      <c r="E33" s="163">
        <v>541</v>
      </c>
      <c r="F33" s="156">
        <v>529</v>
      </c>
      <c r="G33" s="159">
        <v>11</v>
      </c>
      <c r="H33" s="163">
        <v>608</v>
      </c>
      <c r="I33" s="156">
        <v>600</v>
      </c>
      <c r="J33" s="159">
        <v>8</v>
      </c>
      <c r="K33" s="160">
        <v>0</v>
      </c>
      <c r="L33" s="156">
        <v>657</v>
      </c>
      <c r="M33" s="156">
        <v>644</v>
      </c>
      <c r="N33" s="159">
        <v>13</v>
      </c>
      <c r="O33" s="163" t="s">
        <v>57</v>
      </c>
      <c r="P33" s="156">
        <v>779</v>
      </c>
      <c r="Q33" s="162" t="s">
        <v>57</v>
      </c>
      <c r="R33" s="163" t="s">
        <v>57</v>
      </c>
      <c r="S33" s="156">
        <v>822</v>
      </c>
      <c r="T33" s="162" t="s">
        <v>57</v>
      </c>
      <c r="U33" s="215" t="s">
        <v>181</v>
      </c>
      <c r="Z33" s="255"/>
      <c r="AA33" s="255"/>
      <c r="AB33" s="255"/>
    </row>
    <row r="34" spans="1:28" ht="19.149999999999999" customHeight="1" x14ac:dyDescent="0.25">
      <c r="A34" s="205" t="s">
        <v>182</v>
      </c>
      <c r="B34" s="163" t="s">
        <v>57</v>
      </c>
      <c r="C34" s="156">
        <v>5321</v>
      </c>
      <c r="D34" s="159" t="s">
        <v>57</v>
      </c>
      <c r="E34" s="163" t="s">
        <v>57</v>
      </c>
      <c r="F34" s="156">
        <v>5854</v>
      </c>
      <c r="G34" s="159" t="s">
        <v>57</v>
      </c>
      <c r="H34" s="163" t="s">
        <v>57</v>
      </c>
      <c r="I34" s="156">
        <v>6697</v>
      </c>
      <c r="J34" s="159" t="s">
        <v>57</v>
      </c>
      <c r="K34" s="160">
        <v>0</v>
      </c>
      <c r="L34" s="156" t="s">
        <v>57</v>
      </c>
      <c r="M34" s="156">
        <v>5931</v>
      </c>
      <c r="N34" s="159" t="s">
        <v>57</v>
      </c>
      <c r="O34" s="163" t="s">
        <v>57</v>
      </c>
      <c r="P34" s="156">
        <v>6348</v>
      </c>
      <c r="Q34" s="162" t="s">
        <v>57</v>
      </c>
      <c r="R34" s="163" t="s">
        <v>57</v>
      </c>
      <c r="S34" s="156">
        <v>6845</v>
      </c>
      <c r="T34" s="162" t="s">
        <v>57</v>
      </c>
      <c r="U34" s="215" t="s">
        <v>183</v>
      </c>
      <c r="Z34" s="255"/>
      <c r="AA34" s="255"/>
      <c r="AB34" s="255"/>
    </row>
    <row r="35" spans="1:28" ht="19.149999999999999" customHeight="1" x14ac:dyDescent="0.25">
      <c r="A35" s="205" t="s">
        <v>184</v>
      </c>
      <c r="B35" s="163" t="s">
        <v>57</v>
      </c>
      <c r="C35" s="156">
        <v>3694</v>
      </c>
      <c r="D35" s="159" t="s">
        <v>57</v>
      </c>
      <c r="E35" s="163" t="s">
        <v>57</v>
      </c>
      <c r="F35" s="156">
        <v>3886</v>
      </c>
      <c r="G35" s="159" t="s">
        <v>57</v>
      </c>
      <c r="H35" s="163" t="s">
        <v>57</v>
      </c>
      <c r="I35" s="156">
        <v>4771</v>
      </c>
      <c r="J35" s="159" t="s">
        <v>57</v>
      </c>
      <c r="K35" s="160">
        <v>0</v>
      </c>
      <c r="L35" s="156" t="s">
        <v>57</v>
      </c>
      <c r="M35" s="156">
        <v>5189</v>
      </c>
      <c r="N35" s="159" t="s">
        <v>57</v>
      </c>
      <c r="O35" s="163" t="s">
        <v>57</v>
      </c>
      <c r="P35" s="156">
        <v>4971</v>
      </c>
      <c r="Q35" s="162" t="s">
        <v>57</v>
      </c>
      <c r="R35" s="163" t="s">
        <v>57</v>
      </c>
      <c r="S35" s="156">
        <v>4950</v>
      </c>
      <c r="T35" s="162" t="s">
        <v>57</v>
      </c>
      <c r="U35" s="215" t="s">
        <v>185</v>
      </c>
      <c r="Z35" s="255"/>
      <c r="AA35" s="255"/>
      <c r="AB35" s="255"/>
    </row>
    <row r="36" spans="1:28" ht="19.149999999999999" customHeight="1" x14ac:dyDescent="0.25">
      <c r="A36" s="205" t="s">
        <v>186</v>
      </c>
      <c r="B36" s="163">
        <v>8475</v>
      </c>
      <c r="C36" s="156">
        <v>7978</v>
      </c>
      <c r="D36" s="159">
        <v>497</v>
      </c>
      <c r="E36" s="163">
        <v>8323</v>
      </c>
      <c r="F36" s="156">
        <v>7807</v>
      </c>
      <c r="G36" s="159">
        <v>516</v>
      </c>
      <c r="H36" s="163">
        <v>9771</v>
      </c>
      <c r="I36" s="156">
        <v>9134</v>
      </c>
      <c r="J36" s="159">
        <v>637</v>
      </c>
      <c r="K36" s="160">
        <v>0</v>
      </c>
      <c r="L36" s="156">
        <v>9256</v>
      </c>
      <c r="M36" s="156">
        <v>8642</v>
      </c>
      <c r="N36" s="159">
        <v>615</v>
      </c>
      <c r="O36" s="163" t="s">
        <v>57</v>
      </c>
      <c r="P36" s="156">
        <v>8239</v>
      </c>
      <c r="Q36" s="162" t="s">
        <v>57</v>
      </c>
      <c r="R36" s="163" t="s">
        <v>57</v>
      </c>
      <c r="S36" s="156">
        <v>8444</v>
      </c>
      <c r="T36" s="162" t="s">
        <v>57</v>
      </c>
      <c r="U36" s="215" t="s">
        <v>187</v>
      </c>
      <c r="Z36" s="255"/>
      <c r="AA36" s="255"/>
      <c r="AB36" s="255"/>
    </row>
    <row r="37" spans="1:28" ht="19.149999999999999" customHeight="1" x14ac:dyDescent="0.25">
      <c r="A37" s="205" t="s">
        <v>188</v>
      </c>
      <c r="B37" s="163" t="s">
        <v>57</v>
      </c>
      <c r="C37" s="156">
        <v>1014</v>
      </c>
      <c r="D37" s="159" t="s">
        <v>57</v>
      </c>
      <c r="E37" s="163" t="s">
        <v>57</v>
      </c>
      <c r="F37" s="156">
        <v>1038</v>
      </c>
      <c r="G37" s="159" t="s">
        <v>57</v>
      </c>
      <c r="H37" s="163" t="s">
        <v>57</v>
      </c>
      <c r="I37" s="156">
        <v>1186</v>
      </c>
      <c r="J37" s="159" t="s">
        <v>57</v>
      </c>
      <c r="K37" s="160">
        <v>0</v>
      </c>
      <c r="L37" s="156" t="s">
        <v>57</v>
      </c>
      <c r="M37" s="156">
        <v>1222</v>
      </c>
      <c r="N37" s="159" t="s">
        <v>57</v>
      </c>
      <c r="O37" s="163" t="s">
        <v>57</v>
      </c>
      <c r="P37" s="156">
        <v>1581</v>
      </c>
      <c r="Q37" s="162" t="s">
        <v>57</v>
      </c>
      <c r="R37" s="163" t="s">
        <v>57</v>
      </c>
      <c r="S37" s="156">
        <v>2014</v>
      </c>
      <c r="T37" s="162" t="s">
        <v>57</v>
      </c>
      <c r="U37" s="215" t="s">
        <v>189</v>
      </c>
      <c r="Z37" s="255"/>
      <c r="AA37" s="255"/>
      <c r="AB37" s="255"/>
    </row>
    <row r="38" spans="1:28" ht="19.149999999999999" customHeight="1" x14ac:dyDescent="0.25">
      <c r="A38" s="205" t="s">
        <v>190</v>
      </c>
      <c r="B38" s="163">
        <v>2443</v>
      </c>
      <c r="C38" s="156">
        <v>2205</v>
      </c>
      <c r="D38" s="159">
        <v>238</v>
      </c>
      <c r="E38" s="163">
        <v>2592</v>
      </c>
      <c r="F38" s="156">
        <v>2326</v>
      </c>
      <c r="G38" s="159">
        <v>265</v>
      </c>
      <c r="H38" s="163">
        <v>3070</v>
      </c>
      <c r="I38" s="156">
        <v>2760</v>
      </c>
      <c r="J38" s="159">
        <v>310</v>
      </c>
      <c r="K38" s="160">
        <v>0</v>
      </c>
      <c r="L38" s="156">
        <v>2870</v>
      </c>
      <c r="M38" s="156">
        <v>2589</v>
      </c>
      <c r="N38" s="159">
        <v>282</v>
      </c>
      <c r="O38" s="163" t="s">
        <v>57</v>
      </c>
      <c r="P38" s="156">
        <v>2746</v>
      </c>
      <c r="Q38" s="162" t="s">
        <v>57</v>
      </c>
      <c r="R38" s="163" t="s">
        <v>57</v>
      </c>
      <c r="S38" s="156">
        <v>2971</v>
      </c>
      <c r="T38" s="162" t="s">
        <v>57</v>
      </c>
      <c r="U38" s="215" t="s">
        <v>191</v>
      </c>
      <c r="Z38" s="255"/>
      <c r="AA38" s="255"/>
      <c r="AB38" s="255"/>
    </row>
    <row r="39" spans="1:28" ht="19.149999999999999" customHeight="1" x14ac:dyDescent="0.25">
      <c r="A39" s="205" t="s">
        <v>498</v>
      </c>
      <c r="B39" s="163" t="s">
        <v>57</v>
      </c>
      <c r="C39" s="156">
        <v>2924</v>
      </c>
      <c r="D39" s="159" t="s">
        <v>57</v>
      </c>
      <c r="E39" s="163" t="s">
        <v>57</v>
      </c>
      <c r="F39" s="156">
        <v>3541</v>
      </c>
      <c r="G39" s="159" t="s">
        <v>57</v>
      </c>
      <c r="H39" s="163" t="s">
        <v>57</v>
      </c>
      <c r="I39" s="156">
        <v>4051</v>
      </c>
      <c r="J39" s="159" t="s">
        <v>57</v>
      </c>
      <c r="K39" s="160">
        <v>0</v>
      </c>
      <c r="L39" s="156" t="s">
        <v>57</v>
      </c>
      <c r="M39" s="156">
        <v>3902</v>
      </c>
      <c r="N39" s="159" t="s">
        <v>57</v>
      </c>
      <c r="O39" s="163" t="s">
        <v>57</v>
      </c>
      <c r="P39" s="156">
        <v>3922</v>
      </c>
      <c r="Q39" s="162" t="s">
        <v>57</v>
      </c>
      <c r="R39" s="163" t="s">
        <v>57</v>
      </c>
      <c r="S39" s="156" t="s">
        <v>57</v>
      </c>
      <c r="T39" s="162" t="s">
        <v>57</v>
      </c>
      <c r="U39" s="215" t="s">
        <v>499</v>
      </c>
    </row>
    <row r="40" spans="1:28" ht="19.149999999999999" customHeight="1" x14ac:dyDescent="0.25">
      <c r="A40" s="205" t="s">
        <v>192</v>
      </c>
      <c r="B40" s="163" t="s">
        <v>57</v>
      </c>
      <c r="C40" s="156">
        <v>1341</v>
      </c>
      <c r="D40" s="159" t="s">
        <v>57</v>
      </c>
      <c r="E40" s="163" t="s">
        <v>57</v>
      </c>
      <c r="F40" s="156">
        <v>1393</v>
      </c>
      <c r="G40" s="159" t="s">
        <v>57</v>
      </c>
      <c r="H40" s="163" t="s">
        <v>57</v>
      </c>
      <c r="I40" s="156">
        <v>1688</v>
      </c>
      <c r="J40" s="159" t="s">
        <v>57</v>
      </c>
      <c r="K40" s="160">
        <v>0</v>
      </c>
      <c r="L40" s="156" t="s">
        <v>57</v>
      </c>
      <c r="M40" s="156">
        <v>1643</v>
      </c>
      <c r="N40" s="159" t="s">
        <v>57</v>
      </c>
      <c r="O40" s="163" t="s">
        <v>57</v>
      </c>
      <c r="P40" s="156">
        <v>1814</v>
      </c>
      <c r="Q40" s="162" t="s">
        <v>57</v>
      </c>
      <c r="R40" s="163" t="s">
        <v>57</v>
      </c>
      <c r="S40" s="156">
        <v>2186</v>
      </c>
      <c r="T40" s="162" t="s">
        <v>57</v>
      </c>
      <c r="U40" s="215" t="s">
        <v>193</v>
      </c>
      <c r="Z40" s="255"/>
      <c r="AA40" s="255"/>
      <c r="AB40" s="255"/>
    </row>
    <row r="41" spans="1:28" ht="19.149999999999999" customHeight="1" x14ac:dyDescent="0.25">
      <c r="A41" s="205" t="s">
        <v>194</v>
      </c>
      <c r="B41" s="163">
        <v>2313</v>
      </c>
      <c r="C41" s="156">
        <v>2211</v>
      </c>
      <c r="D41" s="159">
        <v>102</v>
      </c>
      <c r="E41" s="163">
        <v>2534</v>
      </c>
      <c r="F41" s="156">
        <v>2410</v>
      </c>
      <c r="G41" s="159">
        <v>125</v>
      </c>
      <c r="H41" s="163">
        <v>2933</v>
      </c>
      <c r="I41" s="156">
        <v>2781</v>
      </c>
      <c r="J41" s="159">
        <v>152</v>
      </c>
      <c r="K41" s="160">
        <v>0</v>
      </c>
      <c r="L41" s="156">
        <v>2884</v>
      </c>
      <c r="M41" s="156">
        <v>2732</v>
      </c>
      <c r="N41" s="159">
        <v>153</v>
      </c>
      <c r="O41" s="163">
        <v>3252</v>
      </c>
      <c r="P41" s="156">
        <v>3033</v>
      </c>
      <c r="Q41" s="162">
        <v>219</v>
      </c>
      <c r="R41" s="163" t="s">
        <v>57</v>
      </c>
      <c r="S41" s="156">
        <v>3371</v>
      </c>
      <c r="T41" s="162" t="s">
        <v>57</v>
      </c>
      <c r="U41" s="215" t="s">
        <v>195</v>
      </c>
      <c r="Z41" s="255"/>
      <c r="AA41" s="255"/>
      <c r="AB41" s="255"/>
    </row>
    <row r="42" spans="1:28" ht="19.149999999999999" customHeight="1" x14ac:dyDescent="0.25">
      <c r="A42" s="205" t="s">
        <v>196</v>
      </c>
      <c r="B42" s="163">
        <v>2788</v>
      </c>
      <c r="C42" s="156">
        <v>2745</v>
      </c>
      <c r="D42" s="159">
        <v>43</v>
      </c>
      <c r="E42" s="163">
        <v>3004</v>
      </c>
      <c r="F42" s="156">
        <v>2940</v>
      </c>
      <c r="G42" s="159">
        <v>64</v>
      </c>
      <c r="H42" s="163">
        <v>3246</v>
      </c>
      <c r="I42" s="156">
        <v>3186</v>
      </c>
      <c r="J42" s="159">
        <v>60</v>
      </c>
      <c r="K42" s="160">
        <v>0</v>
      </c>
      <c r="L42" s="156">
        <v>2995</v>
      </c>
      <c r="M42" s="156">
        <v>2930</v>
      </c>
      <c r="N42" s="159">
        <v>65</v>
      </c>
      <c r="O42" s="163">
        <v>3193</v>
      </c>
      <c r="P42" s="156">
        <v>3089</v>
      </c>
      <c r="Q42" s="162">
        <v>103</v>
      </c>
      <c r="R42" s="163" t="s">
        <v>57</v>
      </c>
      <c r="S42" s="156">
        <v>3250</v>
      </c>
      <c r="T42" s="162" t="s">
        <v>57</v>
      </c>
      <c r="U42" s="215" t="s">
        <v>197</v>
      </c>
      <c r="Z42" s="255"/>
      <c r="AA42" s="255"/>
      <c r="AB42" s="255"/>
    </row>
    <row r="43" spans="1:28" ht="19.149999999999999" customHeight="1" x14ac:dyDescent="0.25">
      <c r="A43" s="205" t="s">
        <v>198</v>
      </c>
      <c r="B43" s="163">
        <v>5982</v>
      </c>
      <c r="C43" s="156">
        <v>5661</v>
      </c>
      <c r="D43" s="159">
        <v>321</v>
      </c>
      <c r="E43" s="163">
        <v>6282</v>
      </c>
      <c r="F43" s="156">
        <v>6015</v>
      </c>
      <c r="G43" s="159">
        <v>266</v>
      </c>
      <c r="H43" s="163">
        <v>7181</v>
      </c>
      <c r="I43" s="156">
        <v>6870</v>
      </c>
      <c r="J43" s="159">
        <v>310</v>
      </c>
      <c r="K43" s="160">
        <v>0</v>
      </c>
      <c r="L43" s="156">
        <v>6322</v>
      </c>
      <c r="M43" s="156">
        <v>6003</v>
      </c>
      <c r="N43" s="159">
        <v>320</v>
      </c>
      <c r="O43" s="163">
        <v>6533</v>
      </c>
      <c r="P43" s="156">
        <v>6197</v>
      </c>
      <c r="Q43" s="162">
        <v>336</v>
      </c>
      <c r="R43" s="163" t="s">
        <v>57</v>
      </c>
      <c r="S43" s="156">
        <v>6485</v>
      </c>
      <c r="T43" s="162" t="s">
        <v>57</v>
      </c>
      <c r="U43" s="215" t="s">
        <v>199</v>
      </c>
      <c r="Z43" s="255"/>
      <c r="AA43" s="255"/>
      <c r="AB43" s="255"/>
    </row>
    <row r="44" spans="1:28" ht="19.149999999999999" customHeight="1" x14ac:dyDescent="0.25">
      <c r="A44" s="205" t="s">
        <v>200</v>
      </c>
      <c r="B44" s="163" t="s">
        <v>57</v>
      </c>
      <c r="C44" s="156">
        <v>9586</v>
      </c>
      <c r="D44" s="159" t="s">
        <v>57</v>
      </c>
      <c r="E44" s="163" t="s">
        <v>57</v>
      </c>
      <c r="F44" s="156">
        <v>10297</v>
      </c>
      <c r="G44" s="159" t="s">
        <v>57</v>
      </c>
      <c r="H44" s="163" t="s">
        <v>57</v>
      </c>
      <c r="I44" s="156">
        <v>11201</v>
      </c>
      <c r="J44" s="159" t="s">
        <v>57</v>
      </c>
      <c r="K44" s="160">
        <v>0</v>
      </c>
      <c r="L44" s="156" t="s">
        <v>57</v>
      </c>
      <c r="M44" s="156">
        <v>10949</v>
      </c>
      <c r="N44" s="159" t="s">
        <v>57</v>
      </c>
      <c r="O44" s="163" t="s">
        <v>57</v>
      </c>
      <c r="P44" s="156">
        <v>11764</v>
      </c>
      <c r="Q44" s="162" t="s">
        <v>57</v>
      </c>
      <c r="R44" s="163" t="s">
        <v>57</v>
      </c>
      <c r="S44" s="156">
        <v>12303</v>
      </c>
      <c r="T44" s="162" t="s">
        <v>57</v>
      </c>
      <c r="U44" s="215" t="s">
        <v>201</v>
      </c>
      <c r="Z44" s="255"/>
      <c r="AA44" s="255"/>
      <c r="AB44" s="255"/>
    </row>
    <row r="45" spans="1:28" ht="19.149999999999999" customHeight="1" x14ac:dyDescent="0.25">
      <c r="A45" s="205" t="s">
        <v>202</v>
      </c>
      <c r="B45" s="163">
        <v>429</v>
      </c>
      <c r="C45" s="156">
        <v>402</v>
      </c>
      <c r="D45" s="159">
        <v>27</v>
      </c>
      <c r="E45" s="163">
        <v>428</v>
      </c>
      <c r="F45" s="156">
        <v>399</v>
      </c>
      <c r="G45" s="159">
        <v>29</v>
      </c>
      <c r="H45" s="163">
        <v>475</v>
      </c>
      <c r="I45" s="156">
        <v>444</v>
      </c>
      <c r="J45" s="159">
        <v>31</v>
      </c>
      <c r="K45" s="160">
        <v>0</v>
      </c>
      <c r="L45" s="156">
        <v>432</v>
      </c>
      <c r="M45" s="156">
        <v>395</v>
      </c>
      <c r="N45" s="159">
        <v>36</v>
      </c>
      <c r="O45" s="163">
        <v>614</v>
      </c>
      <c r="P45" s="156">
        <v>560</v>
      </c>
      <c r="Q45" s="162">
        <v>54</v>
      </c>
      <c r="R45" s="163" t="s">
        <v>57</v>
      </c>
      <c r="S45" s="156">
        <v>726</v>
      </c>
      <c r="T45" s="162" t="s">
        <v>57</v>
      </c>
      <c r="U45" s="215" t="s">
        <v>401</v>
      </c>
      <c r="Z45" s="255"/>
      <c r="AA45" s="255"/>
      <c r="AB45" s="255"/>
    </row>
    <row r="46" spans="1:28" ht="19.149999999999999" customHeight="1" x14ac:dyDescent="0.25">
      <c r="A46" s="205" t="s">
        <v>203</v>
      </c>
      <c r="B46" s="163">
        <v>4413</v>
      </c>
      <c r="C46" s="156">
        <v>4271</v>
      </c>
      <c r="D46" s="159">
        <v>142</v>
      </c>
      <c r="E46" s="163">
        <v>5036</v>
      </c>
      <c r="F46" s="156">
        <v>4891</v>
      </c>
      <c r="G46" s="159">
        <v>145</v>
      </c>
      <c r="H46" s="163">
        <v>5838</v>
      </c>
      <c r="I46" s="156">
        <v>5670</v>
      </c>
      <c r="J46" s="159">
        <v>168</v>
      </c>
      <c r="K46" s="160">
        <v>0</v>
      </c>
      <c r="L46" s="156">
        <v>5258</v>
      </c>
      <c r="M46" s="156">
        <v>5112</v>
      </c>
      <c r="N46" s="159">
        <v>146</v>
      </c>
      <c r="O46" s="163">
        <v>5602</v>
      </c>
      <c r="P46" s="156">
        <v>5426</v>
      </c>
      <c r="Q46" s="162">
        <v>177</v>
      </c>
      <c r="R46" s="163" t="s">
        <v>57</v>
      </c>
      <c r="S46" s="156">
        <v>5836</v>
      </c>
      <c r="T46" s="162" t="s">
        <v>57</v>
      </c>
      <c r="U46" s="215" t="s">
        <v>204</v>
      </c>
      <c r="Z46" s="255"/>
      <c r="AA46" s="255"/>
      <c r="AB46" s="255"/>
    </row>
    <row r="47" spans="1:28" ht="19.149999999999999" customHeight="1" x14ac:dyDescent="0.25">
      <c r="A47" s="206" t="s">
        <v>205</v>
      </c>
      <c r="B47" s="157">
        <v>11286</v>
      </c>
      <c r="C47" s="157">
        <v>10854</v>
      </c>
      <c r="D47" s="159">
        <v>432</v>
      </c>
      <c r="E47" s="157">
        <v>12348</v>
      </c>
      <c r="F47" s="157">
        <v>11926</v>
      </c>
      <c r="G47" s="159">
        <v>421</v>
      </c>
      <c r="H47" s="161">
        <v>12845</v>
      </c>
      <c r="I47" s="157">
        <v>12375</v>
      </c>
      <c r="J47" s="159">
        <v>470</v>
      </c>
      <c r="K47" s="160">
        <v>0</v>
      </c>
      <c r="L47" s="157">
        <v>13376</v>
      </c>
      <c r="M47" s="157">
        <v>12898</v>
      </c>
      <c r="N47" s="159">
        <v>478</v>
      </c>
      <c r="O47" s="161">
        <v>14315</v>
      </c>
      <c r="P47" s="157">
        <v>13818</v>
      </c>
      <c r="Q47" s="214">
        <v>497</v>
      </c>
      <c r="R47" s="161" t="s">
        <v>57</v>
      </c>
      <c r="S47" s="157">
        <v>14885</v>
      </c>
      <c r="T47" s="214" t="s">
        <v>57</v>
      </c>
      <c r="U47" s="216" t="s">
        <v>206</v>
      </c>
      <c r="Z47" s="255"/>
      <c r="AA47" s="255"/>
      <c r="AB47" s="255"/>
    </row>
    <row r="48" spans="1:28" s="227" customFormat="1" ht="14.1" customHeight="1" x14ac:dyDescent="0.25">
      <c r="A48" s="744" t="s">
        <v>623</v>
      </c>
      <c r="B48" s="745"/>
      <c r="C48" s="745"/>
      <c r="D48" s="745"/>
      <c r="E48" s="745"/>
      <c r="F48" s="745"/>
      <c r="G48" s="745"/>
      <c r="H48" s="745"/>
      <c r="I48" s="745"/>
      <c r="J48" s="745"/>
      <c r="K48" s="295"/>
      <c r="L48" s="746" t="s">
        <v>621</v>
      </c>
      <c r="M48" s="746"/>
      <c r="N48" s="746"/>
      <c r="O48" s="746"/>
      <c r="P48" s="746"/>
      <c r="Q48" s="746"/>
      <c r="R48" s="746"/>
      <c r="S48" s="746"/>
      <c r="T48" s="746"/>
      <c r="U48" s="746"/>
      <c r="Z48" s="255"/>
      <c r="AA48" s="255"/>
      <c r="AB48" s="255"/>
    </row>
    <row r="49" spans="1:21" s="151" customFormat="1" ht="14.1" customHeight="1" x14ac:dyDescent="0.25">
      <c r="A49" s="738" t="s">
        <v>602</v>
      </c>
      <c r="B49" s="738"/>
      <c r="C49" s="738"/>
      <c r="D49" s="738"/>
      <c r="E49" s="738"/>
      <c r="F49" s="738"/>
      <c r="G49" s="738"/>
      <c r="H49" s="738"/>
      <c r="I49" s="738"/>
      <c r="J49" s="738"/>
      <c r="K49" s="279"/>
      <c r="L49" s="739" t="s">
        <v>207</v>
      </c>
      <c r="M49" s="739"/>
      <c r="N49" s="739"/>
      <c r="O49" s="739"/>
      <c r="P49" s="739"/>
      <c r="Q49" s="739"/>
      <c r="R49" s="739"/>
      <c r="S49" s="739"/>
      <c r="T49" s="739"/>
      <c r="U49" s="739"/>
    </row>
    <row r="51" spans="1:21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</row>
    <row r="52" spans="1:21" ht="16.5" x14ac:dyDescent="0.25">
      <c r="A52" s="204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</row>
    <row r="53" spans="1:21" ht="16.5" x14ac:dyDescent="0.25">
      <c r="A53" s="20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</row>
    <row r="54" spans="1:21" ht="16.5" x14ac:dyDescent="0.25">
      <c r="A54" s="20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</row>
    <row r="55" spans="1:21" ht="16.5" x14ac:dyDescent="0.25">
      <c r="A55" s="20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</row>
    <row r="56" spans="1:21" ht="16.5" x14ac:dyDescent="0.25">
      <c r="A56" s="20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</row>
    <row r="57" spans="1:21" ht="16.5" x14ac:dyDescent="0.25">
      <c r="A57" s="20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</row>
    <row r="58" spans="1:21" ht="16.5" x14ac:dyDescent="0.25">
      <c r="A58" s="22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</row>
    <row r="59" spans="1:21" ht="16.5" x14ac:dyDescent="0.25">
      <c r="A59" s="22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</row>
    <row r="60" spans="1:21" ht="16.5" x14ac:dyDescent="0.25">
      <c r="A60" s="20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</row>
    <row r="61" spans="1:21" ht="16.5" x14ac:dyDescent="0.25">
      <c r="A61" s="20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</row>
    <row r="62" spans="1:21" ht="16.5" x14ac:dyDescent="0.25">
      <c r="A62" s="20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</row>
    <row r="63" spans="1:21" ht="16.5" x14ac:dyDescent="0.25">
      <c r="A63" s="20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</row>
    <row r="64" spans="1:21" ht="16.5" x14ac:dyDescent="0.25">
      <c r="A64" s="20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</row>
    <row r="65" spans="1:20" ht="16.5" x14ac:dyDescent="0.25">
      <c r="A65" s="20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</row>
    <row r="66" spans="1:20" ht="16.5" x14ac:dyDescent="0.25">
      <c r="A66" s="20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</row>
    <row r="67" spans="1:20" ht="16.5" x14ac:dyDescent="0.25">
      <c r="A67" s="20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</row>
    <row r="68" spans="1:20" ht="16.5" x14ac:dyDescent="0.25">
      <c r="A68" s="20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</row>
    <row r="69" spans="1:20" ht="16.5" x14ac:dyDescent="0.25">
      <c r="A69" s="20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</row>
    <row r="70" spans="1:20" ht="16.5" x14ac:dyDescent="0.25">
      <c r="A70" s="20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</row>
    <row r="71" spans="1:20" ht="16.5" x14ac:dyDescent="0.25">
      <c r="A71" s="20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</row>
    <row r="72" spans="1:20" ht="16.5" x14ac:dyDescent="0.25">
      <c r="A72" s="20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</row>
    <row r="73" spans="1:20" ht="16.5" x14ac:dyDescent="0.25">
      <c r="A73" s="20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</row>
    <row r="74" spans="1:20" ht="16.5" x14ac:dyDescent="0.25">
      <c r="A74" s="20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</row>
    <row r="75" spans="1:20" ht="16.5" x14ac:dyDescent="0.25">
      <c r="A75" s="20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</row>
    <row r="76" spans="1:20" ht="16.5" x14ac:dyDescent="0.25">
      <c r="A76" s="20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</row>
    <row r="77" spans="1:20" ht="16.5" x14ac:dyDescent="0.25">
      <c r="A77" s="20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</row>
    <row r="78" spans="1:20" ht="16.5" x14ac:dyDescent="0.25">
      <c r="A78" s="20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</row>
    <row r="79" spans="1:20" ht="16.5" x14ac:dyDescent="0.25">
      <c r="A79" s="20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</row>
    <row r="80" spans="1:20" ht="16.5" x14ac:dyDescent="0.25">
      <c r="A80" s="20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</row>
    <row r="81" spans="1:20" ht="16.5" x14ac:dyDescent="0.25">
      <c r="A81" s="20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</row>
    <row r="82" spans="1:20" ht="16.5" x14ac:dyDescent="0.25">
      <c r="A82" s="20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</row>
    <row r="83" spans="1:20" ht="16.5" x14ac:dyDescent="0.25">
      <c r="A83" s="20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</row>
    <row r="84" spans="1:20" ht="16.5" x14ac:dyDescent="0.25">
      <c r="A84" s="20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</row>
    <row r="85" spans="1:20" ht="16.5" x14ac:dyDescent="0.25">
      <c r="A85" s="20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</row>
    <row r="86" spans="1:20" ht="16.5" x14ac:dyDescent="0.25">
      <c r="A86" s="20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</row>
    <row r="87" spans="1:20" ht="16.5" x14ac:dyDescent="0.25">
      <c r="A87" s="20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</row>
    <row r="88" spans="1:20" ht="16.5" x14ac:dyDescent="0.25">
      <c r="A88" s="20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</row>
    <row r="89" spans="1:20" ht="16.5" x14ac:dyDescent="0.25">
      <c r="A89" s="20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</row>
    <row r="90" spans="1:20" ht="16.5" x14ac:dyDescent="0.25">
      <c r="A90" s="20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</row>
  </sheetData>
  <mergeCells count="33">
    <mergeCell ref="O4:Q4"/>
    <mergeCell ref="R4:T4"/>
    <mergeCell ref="P5:Q5"/>
    <mergeCell ref="R5:R6"/>
    <mergeCell ref="S5:T5"/>
    <mergeCell ref="A49:J49"/>
    <mergeCell ref="L49:U49"/>
    <mergeCell ref="F5:G5"/>
    <mergeCell ref="H5:H6"/>
    <mergeCell ref="I5:J5"/>
    <mergeCell ref="L5:L6"/>
    <mergeCell ref="M5:N5"/>
    <mergeCell ref="B5:B6"/>
    <mergeCell ref="C5:D5"/>
    <mergeCell ref="E5:E6"/>
    <mergeCell ref="A48:J48"/>
    <mergeCell ref="L48:U48"/>
    <mergeCell ref="A1:J1"/>
    <mergeCell ref="L1:U1"/>
    <mergeCell ref="R2:U2"/>
    <mergeCell ref="A3:A7"/>
    <mergeCell ref="B3:D3"/>
    <mergeCell ref="E3:G3"/>
    <mergeCell ref="H3:J3"/>
    <mergeCell ref="L3:N3"/>
    <mergeCell ref="O3:Q3"/>
    <mergeCell ref="R3:T3"/>
    <mergeCell ref="E4:G4"/>
    <mergeCell ref="H4:J4"/>
    <mergeCell ref="L4:N4"/>
    <mergeCell ref="O5:O6"/>
    <mergeCell ref="U3:U7"/>
    <mergeCell ref="B4:D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49B2-5123-46B4-AA74-89F1E58B8FC3}">
  <sheetPr>
    <tabColor theme="9"/>
  </sheetPr>
  <dimension ref="A1:AH52"/>
  <sheetViews>
    <sheetView view="pageBreakPreview" zoomScale="70" zoomScaleNormal="70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H10" sqref="H10"/>
    </sheetView>
  </sheetViews>
  <sheetFormatPr defaultColWidth="9" defaultRowHeight="15.75" x14ac:dyDescent="0.25"/>
  <cols>
    <col min="1" max="1" width="12" style="21" customWidth="1"/>
    <col min="2" max="2" width="10.75" style="21" customWidth="1"/>
    <col min="3" max="3" width="9.875" style="21" customWidth="1"/>
    <col min="4" max="5" width="10.75" style="21" customWidth="1"/>
    <col min="6" max="6" width="9.75" style="21" customWidth="1"/>
    <col min="7" max="7" width="10.75" style="21" customWidth="1"/>
    <col min="8" max="8" width="10.25" style="21" customWidth="1"/>
    <col min="9" max="11" width="10.75" style="21" customWidth="1"/>
    <col min="12" max="12" width="0.375" style="21" customWidth="1"/>
    <col min="13" max="13" width="10.75" style="21" customWidth="1"/>
    <col min="14" max="14" width="10" style="21" customWidth="1"/>
    <col min="15" max="22" width="10.75" style="21" customWidth="1"/>
    <col min="23" max="23" width="11.875" style="21" customWidth="1"/>
    <col min="24" max="16384" width="9" style="21"/>
  </cols>
  <sheetData>
    <row r="1" spans="1:34" ht="23.45" customHeight="1" x14ac:dyDescent="0.25">
      <c r="A1" s="749" t="s">
        <v>653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587"/>
      <c r="M1" s="721" t="s">
        <v>434</v>
      </c>
      <c r="N1" s="721"/>
      <c r="O1" s="721"/>
      <c r="P1" s="721"/>
      <c r="Q1" s="721"/>
      <c r="R1" s="721"/>
      <c r="S1" s="721"/>
      <c r="T1" s="721"/>
      <c r="U1" s="721"/>
      <c r="V1" s="721"/>
      <c r="W1" s="721"/>
    </row>
    <row r="2" spans="1:34" ht="16.149999999999999" customHeight="1" x14ac:dyDescent="0.25">
      <c r="A2" s="586" t="s">
        <v>616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4"/>
      <c r="O2" s="574"/>
      <c r="P2" s="574"/>
      <c r="Q2" s="574"/>
      <c r="R2" s="574"/>
      <c r="S2" s="574"/>
      <c r="T2" s="722" t="s">
        <v>617</v>
      </c>
      <c r="U2" s="722"/>
      <c r="V2" s="722"/>
      <c r="W2" s="722"/>
    </row>
    <row r="3" spans="1:34" s="22" customFormat="1" ht="15.6" customHeight="1" x14ac:dyDescent="0.25">
      <c r="A3" s="723" t="s">
        <v>469</v>
      </c>
      <c r="B3" s="726" t="s">
        <v>546</v>
      </c>
      <c r="C3" s="727"/>
      <c r="D3" s="727"/>
      <c r="E3" s="727"/>
      <c r="F3" s="728"/>
      <c r="G3" s="726" t="s">
        <v>487</v>
      </c>
      <c r="H3" s="727"/>
      <c r="I3" s="727"/>
      <c r="J3" s="727"/>
      <c r="K3" s="728"/>
      <c r="L3" s="578"/>
      <c r="M3" s="727" t="s">
        <v>488</v>
      </c>
      <c r="N3" s="727"/>
      <c r="O3" s="727"/>
      <c r="P3" s="727"/>
      <c r="Q3" s="728"/>
      <c r="R3" s="726" t="s">
        <v>489</v>
      </c>
      <c r="S3" s="727"/>
      <c r="T3" s="727"/>
      <c r="U3" s="727"/>
      <c r="V3" s="728"/>
      <c r="W3" s="735" t="s">
        <v>470</v>
      </c>
    </row>
    <row r="4" spans="1:34" ht="14.45" customHeight="1" x14ac:dyDescent="0.25">
      <c r="A4" s="724"/>
      <c r="B4" s="730">
        <v>2013</v>
      </c>
      <c r="C4" s="731"/>
      <c r="D4" s="731"/>
      <c r="E4" s="731"/>
      <c r="F4" s="732"/>
      <c r="G4" s="730">
        <v>2014</v>
      </c>
      <c r="H4" s="731"/>
      <c r="I4" s="731"/>
      <c r="J4" s="731"/>
      <c r="K4" s="732"/>
      <c r="L4" s="578"/>
      <c r="M4" s="731">
        <v>2015</v>
      </c>
      <c r="N4" s="731"/>
      <c r="O4" s="731"/>
      <c r="P4" s="731"/>
      <c r="Q4" s="732"/>
      <c r="R4" s="730">
        <v>2016</v>
      </c>
      <c r="S4" s="731"/>
      <c r="T4" s="731"/>
      <c r="U4" s="731"/>
      <c r="V4" s="732"/>
      <c r="W4" s="736"/>
    </row>
    <row r="5" spans="1:34" ht="15" customHeight="1" x14ac:dyDescent="0.25">
      <c r="A5" s="724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36"/>
    </row>
    <row r="6" spans="1:34" ht="26.25" customHeight="1" x14ac:dyDescent="0.25">
      <c r="A6" s="724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36"/>
    </row>
    <row r="7" spans="1:34" ht="35.25" customHeight="1" x14ac:dyDescent="0.25">
      <c r="A7" s="724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36"/>
    </row>
    <row r="8" spans="1:34" ht="41.25" customHeight="1" x14ac:dyDescent="0.25">
      <c r="A8" s="725"/>
      <c r="B8" s="260" t="s">
        <v>583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583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583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583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37"/>
    </row>
    <row r="9" spans="1:34" ht="18.75" customHeight="1" x14ac:dyDescent="0.25">
      <c r="A9" s="204" t="s">
        <v>136</v>
      </c>
      <c r="B9" s="222">
        <v>836</v>
      </c>
      <c r="C9" s="223">
        <v>105</v>
      </c>
      <c r="D9" s="223">
        <v>730</v>
      </c>
      <c r="E9" s="223">
        <v>730</v>
      </c>
      <c r="F9" s="224">
        <v>0</v>
      </c>
      <c r="G9" s="223">
        <v>856</v>
      </c>
      <c r="H9" s="223">
        <v>119</v>
      </c>
      <c r="I9" s="262">
        <v>737</v>
      </c>
      <c r="J9" s="263">
        <v>737</v>
      </c>
      <c r="K9" s="264">
        <v>0</v>
      </c>
      <c r="L9" s="222">
        <v>0</v>
      </c>
      <c r="M9" s="262">
        <v>848</v>
      </c>
      <c r="N9" s="263">
        <v>121</v>
      </c>
      <c r="O9" s="263">
        <v>726</v>
      </c>
      <c r="P9" s="262">
        <v>726</v>
      </c>
      <c r="Q9" s="264">
        <v>0</v>
      </c>
      <c r="R9" s="265">
        <v>872</v>
      </c>
      <c r="S9" s="262">
        <v>117</v>
      </c>
      <c r="T9" s="263">
        <v>755</v>
      </c>
      <c r="U9" s="263">
        <v>755</v>
      </c>
      <c r="V9" s="266">
        <v>0</v>
      </c>
      <c r="W9" s="215" t="s">
        <v>137</v>
      </c>
    </row>
    <row r="10" spans="1:34" ht="18.75" customHeight="1" x14ac:dyDescent="0.25">
      <c r="A10" s="205" t="s">
        <v>138</v>
      </c>
      <c r="B10" s="160">
        <v>3794</v>
      </c>
      <c r="C10" s="158">
        <v>3724</v>
      </c>
      <c r="D10" s="158">
        <v>70</v>
      </c>
      <c r="E10" s="158">
        <v>0</v>
      </c>
      <c r="F10" s="159">
        <v>70</v>
      </c>
      <c r="G10" s="158">
        <v>4141</v>
      </c>
      <c r="H10" s="158">
        <v>4079</v>
      </c>
      <c r="I10" s="158">
        <v>62</v>
      </c>
      <c r="J10" s="158">
        <v>0</v>
      </c>
      <c r="K10" s="159">
        <v>62</v>
      </c>
      <c r="L10" s="160">
        <v>0</v>
      </c>
      <c r="M10" s="158">
        <v>3648</v>
      </c>
      <c r="N10" s="158">
        <v>3597</v>
      </c>
      <c r="O10" s="158">
        <v>51</v>
      </c>
      <c r="P10" s="158">
        <v>0</v>
      </c>
      <c r="Q10" s="159">
        <v>51</v>
      </c>
      <c r="R10" s="160">
        <v>3765</v>
      </c>
      <c r="S10" s="158">
        <v>3711</v>
      </c>
      <c r="T10" s="158">
        <v>54</v>
      </c>
      <c r="U10" s="158">
        <v>0</v>
      </c>
      <c r="V10" s="159">
        <v>54</v>
      </c>
      <c r="W10" s="215" t="s">
        <v>139</v>
      </c>
      <c r="Y10" s="317"/>
      <c r="Z10" s="317"/>
      <c r="AA10" s="317"/>
      <c r="AB10" s="317"/>
      <c r="AC10" s="317"/>
      <c r="AD10" s="255"/>
      <c r="AE10" s="255"/>
      <c r="AF10" s="255"/>
      <c r="AG10" s="255"/>
      <c r="AH10" s="255"/>
    </row>
    <row r="11" spans="1:34" ht="18.75" customHeight="1" x14ac:dyDescent="0.25">
      <c r="A11" s="205" t="s">
        <v>140</v>
      </c>
      <c r="B11" s="160">
        <v>3866</v>
      </c>
      <c r="C11" s="158">
        <v>1588</v>
      </c>
      <c r="D11" s="158">
        <v>2278</v>
      </c>
      <c r="E11" s="158">
        <v>2278</v>
      </c>
      <c r="F11" s="159">
        <v>0</v>
      </c>
      <c r="G11" s="158">
        <v>3980</v>
      </c>
      <c r="H11" s="158">
        <v>1622</v>
      </c>
      <c r="I11" s="158">
        <v>2357</v>
      </c>
      <c r="J11" s="158">
        <v>2357</v>
      </c>
      <c r="K11" s="159">
        <v>0</v>
      </c>
      <c r="L11" s="160">
        <v>0</v>
      </c>
      <c r="M11" s="158">
        <v>3400</v>
      </c>
      <c r="N11" s="158">
        <v>1376</v>
      </c>
      <c r="O11" s="158">
        <v>2023</v>
      </c>
      <c r="P11" s="158">
        <v>2023</v>
      </c>
      <c r="Q11" s="159">
        <v>0</v>
      </c>
      <c r="R11" s="160">
        <v>3476</v>
      </c>
      <c r="S11" s="158">
        <v>1406</v>
      </c>
      <c r="T11" s="158">
        <v>2071</v>
      </c>
      <c r="U11" s="158">
        <v>2071</v>
      </c>
      <c r="V11" s="159">
        <v>0</v>
      </c>
      <c r="W11" s="215" t="s">
        <v>141</v>
      </c>
      <c r="Y11" s="317"/>
      <c r="Z11" s="317"/>
      <c r="AA11" s="317"/>
      <c r="AB11" s="317"/>
      <c r="AC11" s="317"/>
      <c r="AD11" s="255"/>
      <c r="AE11" s="255"/>
      <c r="AF11" s="255"/>
      <c r="AG11" s="255"/>
      <c r="AH11" s="255"/>
    </row>
    <row r="12" spans="1:34" ht="18.75" customHeight="1" x14ac:dyDescent="0.25">
      <c r="A12" s="205" t="s">
        <v>142</v>
      </c>
      <c r="B12" s="160">
        <v>3753</v>
      </c>
      <c r="C12" s="158">
        <v>529</v>
      </c>
      <c r="D12" s="158">
        <v>3224</v>
      </c>
      <c r="E12" s="158">
        <v>3222</v>
      </c>
      <c r="F12" s="159">
        <v>2</v>
      </c>
      <c r="G12" s="158">
        <v>3853</v>
      </c>
      <c r="H12" s="158">
        <v>543</v>
      </c>
      <c r="I12" s="158">
        <v>3310</v>
      </c>
      <c r="J12" s="158">
        <v>3308</v>
      </c>
      <c r="K12" s="159">
        <v>2</v>
      </c>
      <c r="L12" s="160">
        <v>0</v>
      </c>
      <c r="M12" s="158">
        <v>3378</v>
      </c>
      <c r="N12" s="158">
        <v>832</v>
      </c>
      <c r="O12" s="158">
        <v>2546</v>
      </c>
      <c r="P12" s="158">
        <v>2544</v>
      </c>
      <c r="Q12" s="159">
        <v>2</v>
      </c>
      <c r="R12" s="160">
        <v>3477</v>
      </c>
      <c r="S12" s="156">
        <v>1030</v>
      </c>
      <c r="T12" s="158">
        <v>2447</v>
      </c>
      <c r="U12" s="158">
        <v>2445</v>
      </c>
      <c r="V12" s="162">
        <v>2</v>
      </c>
      <c r="W12" s="215" t="s">
        <v>143</v>
      </c>
      <c r="Y12" s="317"/>
      <c r="Z12" s="317"/>
      <c r="AA12" s="317"/>
      <c r="AB12" s="317"/>
      <c r="AC12" s="317"/>
      <c r="AD12" s="255"/>
      <c r="AE12" s="255"/>
      <c r="AF12" s="255"/>
      <c r="AG12" s="255"/>
      <c r="AH12" s="255"/>
    </row>
    <row r="13" spans="1:34" ht="18.75" customHeight="1" x14ac:dyDescent="0.25">
      <c r="A13" s="205" t="s">
        <v>144</v>
      </c>
      <c r="B13" s="160">
        <v>3898</v>
      </c>
      <c r="C13" s="158">
        <v>3817</v>
      </c>
      <c r="D13" s="158">
        <v>80</v>
      </c>
      <c r="E13" s="158">
        <v>80</v>
      </c>
      <c r="F13" s="159">
        <v>0</v>
      </c>
      <c r="G13" s="158">
        <v>3709</v>
      </c>
      <c r="H13" s="158">
        <v>3633</v>
      </c>
      <c r="I13" s="158">
        <v>76</v>
      </c>
      <c r="J13" s="158">
        <v>76</v>
      </c>
      <c r="K13" s="159">
        <v>0</v>
      </c>
      <c r="L13" s="160">
        <v>0</v>
      </c>
      <c r="M13" s="158">
        <v>3327</v>
      </c>
      <c r="N13" s="158">
        <v>3259</v>
      </c>
      <c r="O13" s="158">
        <v>68</v>
      </c>
      <c r="P13" s="158">
        <v>68</v>
      </c>
      <c r="Q13" s="159">
        <v>0</v>
      </c>
      <c r="R13" s="160">
        <v>3270</v>
      </c>
      <c r="S13" s="158">
        <v>3203</v>
      </c>
      <c r="T13" s="158">
        <v>67</v>
      </c>
      <c r="U13" s="158">
        <v>67</v>
      </c>
      <c r="V13" s="159">
        <v>0</v>
      </c>
      <c r="W13" s="215" t="s">
        <v>145</v>
      </c>
      <c r="Y13" s="317"/>
      <c r="Z13" s="317"/>
      <c r="AA13" s="317"/>
      <c r="AB13" s="317"/>
      <c r="AC13" s="317"/>
      <c r="AD13" s="255"/>
      <c r="AE13" s="255"/>
      <c r="AF13" s="255"/>
      <c r="AG13" s="255"/>
      <c r="AH13" s="255"/>
    </row>
    <row r="14" spans="1:34" ht="18.75" customHeight="1" x14ac:dyDescent="0.25">
      <c r="A14" s="205" t="s">
        <v>146</v>
      </c>
      <c r="B14" s="163">
        <v>698</v>
      </c>
      <c r="C14" s="156">
        <v>28</v>
      </c>
      <c r="D14" s="156">
        <v>670</v>
      </c>
      <c r="E14" s="156">
        <v>532</v>
      </c>
      <c r="F14" s="159">
        <v>138</v>
      </c>
      <c r="G14" s="156">
        <v>674</v>
      </c>
      <c r="H14" s="156">
        <v>26</v>
      </c>
      <c r="I14" s="158">
        <v>648</v>
      </c>
      <c r="J14" s="156">
        <v>520</v>
      </c>
      <c r="K14" s="162">
        <v>128</v>
      </c>
      <c r="L14" s="163">
        <v>0</v>
      </c>
      <c r="M14" s="158">
        <v>662</v>
      </c>
      <c r="N14" s="158">
        <v>24</v>
      </c>
      <c r="O14" s="158">
        <v>638</v>
      </c>
      <c r="P14" s="158">
        <v>517</v>
      </c>
      <c r="Q14" s="159">
        <v>121</v>
      </c>
      <c r="R14" s="160">
        <v>687</v>
      </c>
      <c r="S14" s="156">
        <v>26</v>
      </c>
      <c r="T14" s="158">
        <v>660</v>
      </c>
      <c r="U14" s="158">
        <v>557</v>
      </c>
      <c r="V14" s="162">
        <v>104</v>
      </c>
      <c r="W14" s="215" t="s">
        <v>147</v>
      </c>
      <c r="Y14" s="317"/>
      <c r="Z14" s="317"/>
      <c r="AA14" s="317"/>
      <c r="AB14" s="317"/>
      <c r="AC14" s="317"/>
      <c r="AD14" s="255"/>
      <c r="AE14" s="255"/>
      <c r="AF14" s="255"/>
      <c r="AG14" s="255"/>
      <c r="AH14" s="255"/>
    </row>
    <row r="15" spans="1:34" ht="18.75" customHeight="1" x14ac:dyDescent="0.25">
      <c r="A15" s="225" t="s">
        <v>383</v>
      </c>
      <c r="B15" s="163">
        <v>446</v>
      </c>
      <c r="C15" s="156">
        <v>40</v>
      </c>
      <c r="D15" s="156">
        <v>406</v>
      </c>
      <c r="E15" s="156">
        <v>372</v>
      </c>
      <c r="F15" s="159">
        <v>34</v>
      </c>
      <c r="G15" s="156">
        <v>455</v>
      </c>
      <c r="H15" s="156">
        <v>33</v>
      </c>
      <c r="I15" s="158">
        <v>422</v>
      </c>
      <c r="J15" s="156">
        <v>388</v>
      </c>
      <c r="K15" s="162">
        <v>35</v>
      </c>
      <c r="L15" s="163">
        <v>0</v>
      </c>
      <c r="M15" s="158">
        <v>364</v>
      </c>
      <c r="N15" s="158">
        <v>21</v>
      </c>
      <c r="O15" s="158">
        <v>343</v>
      </c>
      <c r="P15" s="158">
        <v>317</v>
      </c>
      <c r="Q15" s="159">
        <v>26</v>
      </c>
      <c r="R15" s="160">
        <v>346</v>
      </c>
      <c r="S15" s="156">
        <v>17</v>
      </c>
      <c r="T15" s="158">
        <v>329</v>
      </c>
      <c r="U15" s="158">
        <v>303</v>
      </c>
      <c r="V15" s="162">
        <v>26</v>
      </c>
      <c r="W15" s="226" t="s">
        <v>384</v>
      </c>
      <c r="Y15" s="317"/>
      <c r="Z15" s="317"/>
      <c r="AA15" s="317"/>
      <c r="AB15" s="317"/>
      <c r="AC15" s="317"/>
      <c r="AD15" s="255"/>
      <c r="AE15" s="255"/>
      <c r="AF15" s="255"/>
      <c r="AG15" s="255"/>
      <c r="AH15" s="255"/>
    </row>
    <row r="16" spans="1:34" ht="18.75" customHeight="1" x14ac:dyDescent="0.25">
      <c r="A16" s="225" t="s">
        <v>392</v>
      </c>
      <c r="B16" s="163">
        <v>617</v>
      </c>
      <c r="C16" s="156">
        <v>36</v>
      </c>
      <c r="D16" s="156">
        <v>580</v>
      </c>
      <c r="E16" s="156">
        <v>572</v>
      </c>
      <c r="F16" s="159">
        <v>8</v>
      </c>
      <c r="G16" s="156">
        <v>605</v>
      </c>
      <c r="H16" s="156">
        <v>50</v>
      </c>
      <c r="I16" s="158">
        <v>555</v>
      </c>
      <c r="J16" s="156">
        <v>551</v>
      </c>
      <c r="K16" s="162">
        <v>4</v>
      </c>
      <c r="L16" s="163">
        <v>0</v>
      </c>
      <c r="M16" s="158">
        <v>659</v>
      </c>
      <c r="N16" s="158">
        <v>51</v>
      </c>
      <c r="O16" s="158">
        <v>608</v>
      </c>
      <c r="P16" s="158">
        <v>598</v>
      </c>
      <c r="Q16" s="159">
        <v>10</v>
      </c>
      <c r="R16" s="160">
        <v>656</v>
      </c>
      <c r="S16" s="158">
        <v>61</v>
      </c>
      <c r="T16" s="158">
        <v>595</v>
      </c>
      <c r="U16" s="158">
        <v>581</v>
      </c>
      <c r="V16" s="159">
        <v>14</v>
      </c>
      <c r="W16" s="226" t="s">
        <v>391</v>
      </c>
      <c r="Y16" s="317"/>
      <c r="Z16" s="317"/>
      <c r="AA16" s="317"/>
      <c r="AB16" s="317"/>
      <c r="AC16" s="317"/>
      <c r="AD16" s="255"/>
      <c r="AE16" s="255"/>
      <c r="AF16" s="255"/>
      <c r="AG16" s="255"/>
      <c r="AH16" s="255"/>
    </row>
    <row r="17" spans="1:34" ht="18.75" customHeight="1" x14ac:dyDescent="0.25">
      <c r="A17" s="205" t="s">
        <v>148</v>
      </c>
      <c r="B17" s="160">
        <v>1280</v>
      </c>
      <c r="C17" s="158">
        <v>170</v>
      </c>
      <c r="D17" s="158">
        <v>1110</v>
      </c>
      <c r="E17" s="158">
        <v>1110</v>
      </c>
      <c r="F17" s="159">
        <v>0</v>
      </c>
      <c r="G17" s="158">
        <v>1274</v>
      </c>
      <c r="H17" s="158">
        <v>169</v>
      </c>
      <c r="I17" s="158">
        <v>1105</v>
      </c>
      <c r="J17" s="158">
        <v>1105</v>
      </c>
      <c r="K17" s="159">
        <v>0</v>
      </c>
      <c r="L17" s="160">
        <v>0</v>
      </c>
      <c r="M17" s="158">
        <v>1108</v>
      </c>
      <c r="N17" s="158">
        <v>147</v>
      </c>
      <c r="O17" s="158">
        <v>961</v>
      </c>
      <c r="P17" s="158">
        <v>961</v>
      </c>
      <c r="Q17" s="159">
        <v>0</v>
      </c>
      <c r="R17" s="160">
        <v>1165</v>
      </c>
      <c r="S17" s="158">
        <v>155</v>
      </c>
      <c r="T17" s="158">
        <v>1010</v>
      </c>
      <c r="U17" s="158">
        <v>1010</v>
      </c>
      <c r="V17" s="159">
        <v>0</v>
      </c>
      <c r="W17" s="215" t="s">
        <v>149</v>
      </c>
      <c r="Y17" s="317"/>
      <c r="Z17" s="317"/>
      <c r="AA17" s="317"/>
      <c r="AB17" s="317"/>
      <c r="AC17" s="317"/>
      <c r="AD17" s="255"/>
      <c r="AE17" s="255"/>
      <c r="AF17" s="255"/>
      <c r="AG17" s="255"/>
      <c r="AH17" s="255"/>
    </row>
    <row r="18" spans="1:34" ht="18.75" customHeight="1" x14ac:dyDescent="0.25">
      <c r="A18" s="205" t="s">
        <v>150</v>
      </c>
      <c r="B18" s="160">
        <v>5327</v>
      </c>
      <c r="C18" s="158">
        <v>5327</v>
      </c>
      <c r="D18" s="158">
        <v>0</v>
      </c>
      <c r="E18" s="158">
        <v>0</v>
      </c>
      <c r="F18" s="159">
        <v>0</v>
      </c>
      <c r="G18" s="158">
        <v>5434</v>
      </c>
      <c r="H18" s="158">
        <v>5434</v>
      </c>
      <c r="I18" s="158">
        <v>0</v>
      </c>
      <c r="J18" s="158">
        <v>0</v>
      </c>
      <c r="K18" s="159">
        <v>0</v>
      </c>
      <c r="L18" s="160">
        <v>0</v>
      </c>
      <c r="M18" s="158">
        <v>4633</v>
      </c>
      <c r="N18" s="158">
        <v>4633</v>
      </c>
      <c r="O18" s="158">
        <v>0</v>
      </c>
      <c r="P18" s="158">
        <v>0</v>
      </c>
      <c r="Q18" s="159">
        <v>0</v>
      </c>
      <c r="R18" s="160">
        <v>4710</v>
      </c>
      <c r="S18" s="158">
        <v>4710</v>
      </c>
      <c r="T18" s="158">
        <v>0</v>
      </c>
      <c r="U18" s="158">
        <v>0</v>
      </c>
      <c r="V18" s="159">
        <v>0</v>
      </c>
      <c r="W18" s="215" t="s">
        <v>151</v>
      </c>
      <c r="Y18" s="317"/>
      <c r="Z18" s="317"/>
      <c r="AA18" s="317"/>
      <c r="AB18" s="317"/>
      <c r="AC18" s="317"/>
      <c r="AD18" s="255"/>
      <c r="AE18" s="255"/>
      <c r="AF18" s="255"/>
      <c r="AG18" s="255"/>
      <c r="AH18" s="255"/>
    </row>
    <row r="19" spans="1:34" ht="18.75" customHeight="1" x14ac:dyDescent="0.25">
      <c r="A19" s="205" t="s">
        <v>152</v>
      </c>
      <c r="B19" s="163">
        <v>893</v>
      </c>
      <c r="C19" s="158">
        <v>151</v>
      </c>
      <c r="D19" s="158">
        <v>742</v>
      </c>
      <c r="E19" s="158">
        <v>742</v>
      </c>
      <c r="F19" s="159">
        <v>0</v>
      </c>
      <c r="G19" s="156">
        <v>964</v>
      </c>
      <c r="H19" s="158">
        <v>153</v>
      </c>
      <c r="I19" s="158">
        <v>811</v>
      </c>
      <c r="J19" s="156">
        <v>811</v>
      </c>
      <c r="K19" s="159">
        <v>0</v>
      </c>
      <c r="L19" s="160">
        <v>0</v>
      </c>
      <c r="M19" s="158">
        <v>863</v>
      </c>
      <c r="N19" s="158">
        <v>142</v>
      </c>
      <c r="O19" s="158">
        <v>721</v>
      </c>
      <c r="P19" s="158">
        <v>721</v>
      </c>
      <c r="Q19" s="159">
        <v>0</v>
      </c>
      <c r="R19" s="160">
        <v>915</v>
      </c>
      <c r="S19" s="158">
        <v>144</v>
      </c>
      <c r="T19" s="158">
        <v>771</v>
      </c>
      <c r="U19" s="158">
        <v>771</v>
      </c>
      <c r="V19" s="159">
        <v>0</v>
      </c>
      <c r="W19" s="215" t="s">
        <v>153</v>
      </c>
      <c r="Y19" s="317"/>
      <c r="Z19" s="317"/>
      <c r="AA19" s="317"/>
      <c r="AB19" s="317"/>
      <c r="AC19" s="317"/>
      <c r="AD19" s="255"/>
      <c r="AE19" s="255"/>
      <c r="AF19" s="255"/>
      <c r="AG19" s="255"/>
      <c r="AH19" s="255"/>
    </row>
    <row r="20" spans="1:34" ht="18.75" customHeight="1" x14ac:dyDescent="0.25">
      <c r="A20" s="205" t="s">
        <v>154</v>
      </c>
      <c r="B20" s="160">
        <v>3813</v>
      </c>
      <c r="C20" s="158">
        <v>3124</v>
      </c>
      <c r="D20" s="158">
        <v>689</v>
      </c>
      <c r="E20" s="158">
        <v>633</v>
      </c>
      <c r="F20" s="159">
        <v>57</v>
      </c>
      <c r="G20" s="158">
        <v>3840</v>
      </c>
      <c r="H20" s="158">
        <v>3142</v>
      </c>
      <c r="I20" s="158">
        <v>699</v>
      </c>
      <c r="J20" s="158">
        <v>644</v>
      </c>
      <c r="K20" s="159">
        <v>55</v>
      </c>
      <c r="L20" s="160">
        <v>0</v>
      </c>
      <c r="M20" s="158">
        <v>3176</v>
      </c>
      <c r="N20" s="158">
        <v>2579</v>
      </c>
      <c r="O20" s="158">
        <v>597</v>
      </c>
      <c r="P20" s="158">
        <v>551</v>
      </c>
      <c r="Q20" s="159">
        <v>47</v>
      </c>
      <c r="R20" s="160">
        <v>3132</v>
      </c>
      <c r="S20" s="158">
        <v>2552</v>
      </c>
      <c r="T20" s="158">
        <v>580</v>
      </c>
      <c r="U20" s="158">
        <v>534</v>
      </c>
      <c r="V20" s="159">
        <v>46</v>
      </c>
      <c r="W20" s="215" t="s">
        <v>155</v>
      </c>
      <c r="Y20" s="317"/>
      <c r="Z20" s="317"/>
      <c r="AA20" s="317"/>
      <c r="AB20" s="317"/>
      <c r="AC20" s="317"/>
      <c r="AD20" s="255"/>
      <c r="AE20" s="255"/>
      <c r="AF20" s="255"/>
      <c r="AG20" s="255"/>
      <c r="AH20" s="255"/>
    </row>
    <row r="21" spans="1:34" ht="18.75" customHeight="1" x14ac:dyDescent="0.25">
      <c r="A21" s="205" t="s">
        <v>156</v>
      </c>
      <c r="B21" s="160">
        <v>3709</v>
      </c>
      <c r="C21" s="158">
        <v>260</v>
      </c>
      <c r="D21" s="158">
        <v>3449</v>
      </c>
      <c r="E21" s="158">
        <v>3449</v>
      </c>
      <c r="F21" s="159">
        <v>0</v>
      </c>
      <c r="G21" s="158">
        <v>3781</v>
      </c>
      <c r="H21" s="158">
        <v>265</v>
      </c>
      <c r="I21" s="158">
        <v>3516</v>
      </c>
      <c r="J21" s="158">
        <v>3516</v>
      </c>
      <c r="K21" s="159">
        <v>0</v>
      </c>
      <c r="L21" s="160">
        <v>0</v>
      </c>
      <c r="M21" s="158">
        <v>3198</v>
      </c>
      <c r="N21" s="158">
        <v>225</v>
      </c>
      <c r="O21" s="158">
        <v>2973</v>
      </c>
      <c r="P21" s="158">
        <v>2973</v>
      </c>
      <c r="Q21" s="159">
        <v>0</v>
      </c>
      <c r="R21" s="160">
        <v>3517</v>
      </c>
      <c r="S21" s="156">
        <v>228</v>
      </c>
      <c r="T21" s="158">
        <v>3290</v>
      </c>
      <c r="U21" s="158">
        <v>3028</v>
      </c>
      <c r="V21" s="162">
        <v>262</v>
      </c>
      <c r="W21" s="215" t="s">
        <v>157</v>
      </c>
      <c r="Y21" s="317"/>
      <c r="Z21" s="317"/>
      <c r="AA21" s="317"/>
      <c r="AB21" s="317"/>
      <c r="AC21" s="317"/>
      <c r="AD21" s="255"/>
      <c r="AE21" s="255"/>
      <c r="AF21" s="255"/>
      <c r="AG21" s="255"/>
      <c r="AH21" s="255"/>
    </row>
    <row r="22" spans="1:34" ht="18.75" customHeight="1" x14ac:dyDescent="0.25">
      <c r="A22" s="205" t="s">
        <v>158</v>
      </c>
      <c r="B22" s="160">
        <v>4269</v>
      </c>
      <c r="C22" s="158">
        <v>348</v>
      </c>
      <c r="D22" s="158">
        <v>3921</v>
      </c>
      <c r="E22" s="158">
        <v>3524</v>
      </c>
      <c r="F22" s="159">
        <v>396</v>
      </c>
      <c r="G22" s="158">
        <v>4459</v>
      </c>
      <c r="H22" s="158">
        <v>364</v>
      </c>
      <c r="I22" s="158">
        <v>4094</v>
      </c>
      <c r="J22" s="158">
        <v>3696</v>
      </c>
      <c r="K22" s="159">
        <v>398</v>
      </c>
      <c r="L22" s="160">
        <v>0</v>
      </c>
      <c r="M22" s="158">
        <v>3872</v>
      </c>
      <c r="N22" s="158">
        <v>318</v>
      </c>
      <c r="O22" s="158">
        <v>3555</v>
      </c>
      <c r="P22" s="158">
        <v>3208</v>
      </c>
      <c r="Q22" s="159">
        <v>346</v>
      </c>
      <c r="R22" s="160">
        <v>3996</v>
      </c>
      <c r="S22" s="156">
        <v>335</v>
      </c>
      <c r="T22" s="158">
        <v>3660</v>
      </c>
      <c r="U22" s="158">
        <v>3312</v>
      </c>
      <c r="V22" s="162">
        <v>348</v>
      </c>
      <c r="W22" s="215" t="s">
        <v>159</v>
      </c>
      <c r="Y22" s="317"/>
      <c r="Z22" s="317"/>
      <c r="AA22" s="317"/>
      <c r="AB22" s="317"/>
      <c r="AC22" s="317"/>
      <c r="AD22" s="255"/>
      <c r="AE22" s="255"/>
      <c r="AF22" s="255"/>
      <c r="AG22" s="255"/>
      <c r="AH22" s="255"/>
    </row>
    <row r="23" spans="1:34" ht="18.75" customHeight="1" x14ac:dyDescent="0.25">
      <c r="A23" s="205" t="s">
        <v>160</v>
      </c>
      <c r="B23" s="160">
        <v>1141</v>
      </c>
      <c r="C23" s="158">
        <v>562</v>
      </c>
      <c r="D23" s="158">
        <v>579</v>
      </c>
      <c r="E23" s="158">
        <v>579</v>
      </c>
      <c r="F23" s="159">
        <v>0</v>
      </c>
      <c r="G23" s="158">
        <v>982</v>
      </c>
      <c r="H23" s="158">
        <v>514</v>
      </c>
      <c r="I23" s="158">
        <v>468</v>
      </c>
      <c r="J23" s="158">
        <v>468</v>
      </c>
      <c r="K23" s="159">
        <v>0</v>
      </c>
      <c r="L23" s="160">
        <v>0</v>
      </c>
      <c r="M23" s="158">
        <v>868</v>
      </c>
      <c r="N23" s="158">
        <v>419</v>
      </c>
      <c r="O23" s="158">
        <v>449</v>
      </c>
      <c r="P23" s="158">
        <v>449</v>
      </c>
      <c r="Q23" s="159">
        <v>0</v>
      </c>
      <c r="R23" s="160">
        <v>930</v>
      </c>
      <c r="S23" s="158">
        <v>464</v>
      </c>
      <c r="T23" s="158">
        <v>465</v>
      </c>
      <c r="U23" s="158">
        <v>465</v>
      </c>
      <c r="V23" s="159">
        <v>0</v>
      </c>
      <c r="W23" s="215" t="s">
        <v>161</v>
      </c>
      <c r="Y23" s="317"/>
      <c r="Z23" s="317"/>
      <c r="AA23" s="317"/>
      <c r="AB23" s="317"/>
      <c r="AC23" s="317"/>
      <c r="AD23" s="255"/>
      <c r="AE23" s="255"/>
      <c r="AF23" s="255"/>
      <c r="AG23" s="255"/>
      <c r="AH23" s="255"/>
    </row>
    <row r="24" spans="1:34" ht="18.75" customHeight="1" x14ac:dyDescent="0.25">
      <c r="A24" s="205" t="s">
        <v>162</v>
      </c>
      <c r="B24" s="160">
        <v>662</v>
      </c>
      <c r="C24" s="158">
        <v>88</v>
      </c>
      <c r="D24" s="158">
        <v>574</v>
      </c>
      <c r="E24" s="158">
        <v>574</v>
      </c>
      <c r="F24" s="159">
        <v>0</v>
      </c>
      <c r="G24" s="158">
        <v>678</v>
      </c>
      <c r="H24" s="158">
        <v>98</v>
      </c>
      <c r="I24" s="158">
        <v>580</v>
      </c>
      <c r="J24" s="158">
        <v>580</v>
      </c>
      <c r="K24" s="159">
        <v>0</v>
      </c>
      <c r="L24" s="160">
        <v>0</v>
      </c>
      <c r="M24" s="158">
        <v>597</v>
      </c>
      <c r="N24" s="158">
        <v>100</v>
      </c>
      <c r="O24" s="158">
        <v>497</v>
      </c>
      <c r="P24" s="158">
        <v>497</v>
      </c>
      <c r="Q24" s="159">
        <v>0</v>
      </c>
      <c r="R24" s="160">
        <v>627</v>
      </c>
      <c r="S24" s="158">
        <v>78</v>
      </c>
      <c r="T24" s="158">
        <v>549</v>
      </c>
      <c r="U24" s="158">
        <v>549</v>
      </c>
      <c r="V24" s="159">
        <v>0</v>
      </c>
      <c r="W24" s="215" t="s">
        <v>163</v>
      </c>
      <c r="Y24" s="317"/>
      <c r="Z24" s="317"/>
      <c r="AA24" s="317"/>
      <c r="AB24" s="317"/>
      <c r="AC24" s="317"/>
      <c r="AD24" s="255"/>
      <c r="AE24" s="255"/>
      <c r="AF24" s="255"/>
      <c r="AG24" s="255"/>
      <c r="AH24" s="255"/>
    </row>
    <row r="25" spans="1:34" ht="18.75" customHeight="1" x14ac:dyDescent="0.25">
      <c r="A25" s="205" t="s">
        <v>164</v>
      </c>
      <c r="B25" s="160">
        <v>3292</v>
      </c>
      <c r="C25" s="158">
        <v>3292</v>
      </c>
      <c r="D25" s="158">
        <v>0</v>
      </c>
      <c r="E25" s="158">
        <v>0</v>
      </c>
      <c r="F25" s="159">
        <v>0</v>
      </c>
      <c r="G25" s="158">
        <v>3649</v>
      </c>
      <c r="H25" s="158">
        <v>3649</v>
      </c>
      <c r="I25" s="158">
        <v>0</v>
      </c>
      <c r="J25" s="158">
        <v>0</v>
      </c>
      <c r="K25" s="159">
        <v>0</v>
      </c>
      <c r="L25" s="160">
        <v>0</v>
      </c>
      <c r="M25" s="158">
        <v>3486</v>
      </c>
      <c r="N25" s="158">
        <v>3486</v>
      </c>
      <c r="O25" s="158">
        <v>0</v>
      </c>
      <c r="P25" s="158">
        <v>0</v>
      </c>
      <c r="Q25" s="159">
        <v>0</v>
      </c>
      <c r="R25" s="160">
        <v>4127</v>
      </c>
      <c r="S25" s="158">
        <v>4127</v>
      </c>
      <c r="T25" s="158">
        <v>0</v>
      </c>
      <c r="U25" s="158">
        <v>0</v>
      </c>
      <c r="V25" s="159">
        <v>0</v>
      </c>
      <c r="W25" s="215" t="s">
        <v>165</v>
      </c>
      <c r="Y25" s="317"/>
      <c r="Z25" s="317"/>
      <c r="AA25" s="317"/>
      <c r="AB25" s="317"/>
      <c r="AC25" s="317"/>
      <c r="AD25" s="255"/>
      <c r="AE25" s="255"/>
      <c r="AF25" s="255"/>
      <c r="AG25" s="255"/>
      <c r="AH25" s="255"/>
    </row>
    <row r="26" spans="1:34" ht="18.75" customHeight="1" x14ac:dyDescent="0.25">
      <c r="A26" s="205" t="s">
        <v>166</v>
      </c>
      <c r="B26" s="160">
        <v>3751</v>
      </c>
      <c r="C26" s="158">
        <v>3735</v>
      </c>
      <c r="D26" s="158">
        <v>16</v>
      </c>
      <c r="E26" s="158">
        <v>16</v>
      </c>
      <c r="F26" s="159">
        <v>0</v>
      </c>
      <c r="G26" s="158">
        <v>3769</v>
      </c>
      <c r="H26" s="158">
        <v>3754</v>
      </c>
      <c r="I26" s="158">
        <v>15</v>
      </c>
      <c r="J26" s="158">
        <v>15</v>
      </c>
      <c r="K26" s="159">
        <v>0</v>
      </c>
      <c r="L26" s="160">
        <v>0</v>
      </c>
      <c r="M26" s="158">
        <v>3268</v>
      </c>
      <c r="N26" s="158">
        <v>3254</v>
      </c>
      <c r="O26" s="158">
        <v>14</v>
      </c>
      <c r="P26" s="158">
        <v>14</v>
      </c>
      <c r="Q26" s="159">
        <v>0</v>
      </c>
      <c r="R26" s="160">
        <v>3399</v>
      </c>
      <c r="S26" s="158">
        <v>3384</v>
      </c>
      <c r="T26" s="158">
        <v>15</v>
      </c>
      <c r="U26" s="158">
        <v>15</v>
      </c>
      <c r="V26" s="159">
        <v>0</v>
      </c>
      <c r="W26" s="215" t="s">
        <v>167</v>
      </c>
      <c r="Y26" s="317"/>
      <c r="Z26" s="317"/>
      <c r="AA26" s="317"/>
      <c r="AB26" s="317"/>
      <c r="AC26" s="317"/>
      <c r="AD26" s="255"/>
      <c r="AE26" s="255"/>
      <c r="AF26" s="255"/>
      <c r="AG26" s="255"/>
      <c r="AH26" s="255"/>
    </row>
    <row r="27" spans="1:34" ht="18.75" customHeight="1" x14ac:dyDescent="0.25">
      <c r="A27" s="205" t="s">
        <v>168</v>
      </c>
      <c r="B27" s="160">
        <v>1630</v>
      </c>
      <c r="C27" s="158">
        <v>429</v>
      </c>
      <c r="D27" s="158">
        <v>1201</v>
      </c>
      <c r="E27" s="158">
        <v>1201</v>
      </c>
      <c r="F27" s="159">
        <v>0</v>
      </c>
      <c r="G27" s="158">
        <v>1702</v>
      </c>
      <c r="H27" s="158">
        <v>469</v>
      </c>
      <c r="I27" s="158">
        <v>1233</v>
      </c>
      <c r="J27" s="158">
        <v>1233</v>
      </c>
      <c r="K27" s="159">
        <v>0</v>
      </c>
      <c r="L27" s="160">
        <v>0</v>
      </c>
      <c r="M27" s="158">
        <v>1612</v>
      </c>
      <c r="N27" s="158">
        <v>427</v>
      </c>
      <c r="O27" s="158">
        <v>1185</v>
      </c>
      <c r="P27" s="158">
        <v>1185</v>
      </c>
      <c r="Q27" s="159">
        <v>0</v>
      </c>
      <c r="R27" s="160">
        <v>1693</v>
      </c>
      <c r="S27" s="158">
        <v>409</v>
      </c>
      <c r="T27" s="158">
        <v>1285</v>
      </c>
      <c r="U27" s="158">
        <v>1285</v>
      </c>
      <c r="V27" s="159">
        <v>0</v>
      </c>
      <c r="W27" s="215" t="s">
        <v>169</v>
      </c>
      <c r="Y27" s="317"/>
      <c r="Z27" s="317"/>
      <c r="AA27" s="317"/>
      <c r="AB27" s="317"/>
      <c r="AC27" s="317"/>
      <c r="AD27" s="255"/>
      <c r="AE27" s="255"/>
      <c r="AF27" s="255"/>
      <c r="AG27" s="255"/>
      <c r="AH27" s="255"/>
    </row>
    <row r="28" spans="1:34" ht="18.75" customHeight="1" x14ac:dyDescent="0.25">
      <c r="A28" s="205" t="s">
        <v>170</v>
      </c>
      <c r="B28" s="160">
        <v>2359</v>
      </c>
      <c r="C28" s="158">
        <v>2352</v>
      </c>
      <c r="D28" s="158">
        <v>7</v>
      </c>
      <c r="E28" s="158">
        <v>7</v>
      </c>
      <c r="F28" s="159">
        <v>0</v>
      </c>
      <c r="G28" s="158">
        <v>2392</v>
      </c>
      <c r="H28" s="158">
        <v>2384</v>
      </c>
      <c r="I28" s="158">
        <v>8</v>
      </c>
      <c r="J28" s="158">
        <v>8</v>
      </c>
      <c r="K28" s="159">
        <v>0</v>
      </c>
      <c r="L28" s="160">
        <v>0</v>
      </c>
      <c r="M28" s="158">
        <v>2006</v>
      </c>
      <c r="N28" s="158">
        <v>2000</v>
      </c>
      <c r="O28" s="158">
        <v>6</v>
      </c>
      <c r="P28" s="158">
        <v>6</v>
      </c>
      <c r="Q28" s="159">
        <v>0</v>
      </c>
      <c r="R28" s="160">
        <v>2024</v>
      </c>
      <c r="S28" s="156">
        <v>2019</v>
      </c>
      <c r="T28" s="158">
        <v>5</v>
      </c>
      <c r="U28" s="158">
        <v>5</v>
      </c>
      <c r="V28" s="162">
        <v>0</v>
      </c>
      <c r="W28" s="215" t="s">
        <v>171</v>
      </c>
      <c r="Y28" s="317"/>
      <c r="Z28" s="317"/>
      <c r="AA28" s="317"/>
      <c r="AB28" s="317"/>
      <c r="AC28" s="317"/>
      <c r="AD28" s="255"/>
      <c r="AE28" s="255"/>
      <c r="AF28" s="255"/>
      <c r="AG28" s="255"/>
      <c r="AH28" s="255"/>
    </row>
    <row r="29" spans="1:34" ht="18.75" customHeight="1" x14ac:dyDescent="0.25">
      <c r="A29" s="205" t="s">
        <v>172</v>
      </c>
      <c r="B29" s="160">
        <v>3679</v>
      </c>
      <c r="C29" s="158">
        <v>369</v>
      </c>
      <c r="D29" s="158">
        <v>3310</v>
      </c>
      <c r="E29" s="158" t="s">
        <v>57</v>
      </c>
      <c r="F29" s="159" t="s">
        <v>57</v>
      </c>
      <c r="G29" s="158">
        <v>3473</v>
      </c>
      <c r="H29" s="158">
        <v>359</v>
      </c>
      <c r="I29" s="158">
        <v>3114</v>
      </c>
      <c r="J29" s="158" t="s">
        <v>57</v>
      </c>
      <c r="K29" s="159" t="s">
        <v>57</v>
      </c>
      <c r="L29" s="160">
        <v>0</v>
      </c>
      <c r="M29" s="158">
        <v>3161</v>
      </c>
      <c r="N29" s="158">
        <v>316</v>
      </c>
      <c r="O29" s="158">
        <v>2845</v>
      </c>
      <c r="P29" s="158">
        <v>2845</v>
      </c>
      <c r="Q29" s="159">
        <v>0</v>
      </c>
      <c r="R29" s="160">
        <v>3528</v>
      </c>
      <c r="S29" s="156">
        <v>359</v>
      </c>
      <c r="T29" s="158">
        <v>3169</v>
      </c>
      <c r="U29" s="158" t="s">
        <v>57</v>
      </c>
      <c r="V29" s="162" t="s">
        <v>57</v>
      </c>
      <c r="W29" s="215" t="s">
        <v>173</v>
      </c>
      <c r="Y29" s="317"/>
      <c r="Z29" s="317"/>
      <c r="AA29" s="317"/>
      <c r="AB29" s="317"/>
      <c r="AC29" s="317"/>
      <c r="AD29" s="255"/>
      <c r="AE29" s="255"/>
      <c r="AF29" s="255"/>
      <c r="AG29" s="255"/>
      <c r="AH29" s="255"/>
    </row>
    <row r="30" spans="1:34" ht="18.75" customHeight="1" x14ac:dyDescent="0.25">
      <c r="A30" s="205" t="s">
        <v>174</v>
      </c>
      <c r="B30" s="160">
        <v>965</v>
      </c>
      <c r="C30" s="158">
        <v>170</v>
      </c>
      <c r="D30" s="158">
        <v>795</v>
      </c>
      <c r="E30" s="158">
        <v>773</v>
      </c>
      <c r="F30" s="159">
        <v>22</v>
      </c>
      <c r="G30" s="158">
        <v>1073</v>
      </c>
      <c r="H30" s="158">
        <v>190</v>
      </c>
      <c r="I30" s="158">
        <v>883</v>
      </c>
      <c r="J30" s="158">
        <v>854</v>
      </c>
      <c r="K30" s="159">
        <v>29</v>
      </c>
      <c r="L30" s="160">
        <v>0</v>
      </c>
      <c r="M30" s="158">
        <v>1087</v>
      </c>
      <c r="N30" s="158">
        <v>197</v>
      </c>
      <c r="O30" s="158">
        <v>891</v>
      </c>
      <c r="P30" s="158">
        <v>861</v>
      </c>
      <c r="Q30" s="159">
        <v>30</v>
      </c>
      <c r="R30" s="160">
        <v>1156</v>
      </c>
      <c r="S30" s="158">
        <v>201</v>
      </c>
      <c r="T30" s="158">
        <v>955</v>
      </c>
      <c r="U30" s="158">
        <v>924</v>
      </c>
      <c r="V30" s="159">
        <v>31</v>
      </c>
      <c r="W30" s="215" t="s">
        <v>175</v>
      </c>
      <c r="Y30" s="317"/>
      <c r="Z30" s="317"/>
      <c r="AA30" s="317"/>
      <c r="AB30" s="317"/>
      <c r="AC30" s="317"/>
      <c r="AD30" s="255"/>
      <c r="AE30" s="255"/>
      <c r="AF30" s="255"/>
      <c r="AG30" s="255"/>
      <c r="AH30" s="255"/>
    </row>
    <row r="31" spans="1:34" ht="18.75" customHeight="1" x14ac:dyDescent="0.25">
      <c r="A31" s="205" t="s">
        <v>176</v>
      </c>
      <c r="B31" s="163">
        <v>487</v>
      </c>
      <c r="C31" s="156">
        <v>487</v>
      </c>
      <c r="D31" s="156">
        <v>0</v>
      </c>
      <c r="E31" s="156">
        <v>0</v>
      </c>
      <c r="F31" s="159">
        <v>0</v>
      </c>
      <c r="G31" s="156">
        <v>513</v>
      </c>
      <c r="H31" s="156">
        <v>513</v>
      </c>
      <c r="I31" s="158">
        <v>0</v>
      </c>
      <c r="J31" s="156">
        <v>0</v>
      </c>
      <c r="K31" s="162">
        <v>0</v>
      </c>
      <c r="L31" s="163">
        <v>0</v>
      </c>
      <c r="M31" s="158">
        <v>457</v>
      </c>
      <c r="N31" s="158">
        <v>457</v>
      </c>
      <c r="O31" s="158">
        <v>0</v>
      </c>
      <c r="P31" s="158">
        <v>0</v>
      </c>
      <c r="Q31" s="159">
        <v>0</v>
      </c>
      <c r="R31" s="160">
        <v>491</v>
      </c>
      <c r="S31" s="158">
        <v>491</v>
      </c>
      <c r="T31" s="158">
        <v>0</v>
      </c>
      <c r="U31" s="158">
        <v>0</v>
      </c>
      <c r="V31" s="159">
        <v>0</v>
      </c>
      <c r="W31" s="215" t="s">
        <v>177</v>
      </c>
      <c r="Y31" s="317"/>
      <c r="Z31" s="317"/>
      <c r="AA31" s="317"/>
      <c r="AB31" s="317"/>
      <c r="AC31" s="317"/>
      <c r="AD31" s="255"/>
      <c r="AE31" s="255"/>
      <c r="AF31" s="255"/>
      <c r="AG31" s="255"/>
      <c r="AH31" s="255"/>
    </row>
    <row r="32" spans="1:34" ht="18.75" customHeight="1" x14ac:dyDescent="0.25">
      <c r="A32" s="205" t="s">
        <v>306</v>
      </c>
      <c r="B32" s="163">
        <v>637</v>
      </c>
      <c r="C32" s="156">
        <v>85</v>
      </c>
      <c r="D32" s="156">
        <v>553</v>
      </c>
      <c r="E32" s="156" t="s">
        <v>57</v>
      </c>
      <c r="F32" s="159" t="s">
        <v>57</v>
      </c>
      <c r="G32" s="156">
        <v>692</v>
      </c>
      <c r="H32" s="156">
        <v>103</v>
      </c>
      <c r="I32" s="158">
        <v>589</v>
      </c>
      <c r="J32" s="156">
        <v>589</v>
      </c>
      <c r="K32" s="162">
        <v>0</v>
      </c>
      <c r="L32" s="163">
        <v>0</v>
      </c>
      <c r="M32" s="158">
        <v>620</v>
      </c>
      <c r="N32" s="158">
        <v>92</v>
      </c>
      <c r="O32" s="158">
        <v>528</v>
      </c>
      <c r="P32" s="158">
        <v>528</v>
      </c>
      <c r="Q32" s="159">
        <v>0</v>
      </c>
      <c r="R32" s="160">
        <v>661</v>
      </c>
      <c r="S32" s="156">
        <v>94</v>
      </c>
      <c r="T32" s="158">
        <v>567</v>
      </c>
      <c r="U32" s="158">
        <v>567</v>
      </c>
      <c r="V32" s="162">
        <v>0</v>
      </c>
      <c r="W32" s="215" t="s">
        <v>305</v>
      </c>
      <c r="Y32" s="317"/>
      <c r="Z32" s="317"/>
      <c r="AA32" s="317"/>
      <c r="AB32" s="317"/>
      <c r="AC32" s="317"/>
      <c r="AD32" s="255"/>
      <c r="AE32" s="255"/>
      <c r="AF32" s="255"/>
      <c r="AG32" s="255"/>
      <c r="AH32" s="255"/>
    </row>
    <row r="33" spans="1:34" ht="18.75" customHeight="1" x14ac:dyDescent="0.25">
      <c r="A33" s="205" t="s">
        <v>178</v>
      </c>
      <c r="B33" s="160">
        <v>5220</v>
      </c>
      <c r="C33" s="158">
        <v>241</v>
      </c>
      <c r="D33" s="158">
        <v>4980</v>
      </c>
      <c r="E33" s="158">
        <v>4980</v>
      </c>
      <c r="F33" s="159">
        <v>0</v>
      </c>
      <c r="G33" s="158">
        <v>5400</v>
      </c>
      <c r="H33" s="158">
        <v>286</v>
      </c>
      <c r="I33" s="158">
        <v>5114</v>
      </c>
      <c r="J33" s="158">
        <v>5114</v>
      </c>
      <c r="K33" s="159">
        <v>0</v>
      </c>
      <c r="L33" s="160">
        <v>0</v>
      </c>
      <c r="M33" s="158">
        <v>4483</v>
      </c>
      <c r="N33" s="158">
        <v>243</v>
      </c>
      <c r="O33" s="158">
        <v>4240</v>
      </c>
      <c r="P33" s="158">
        <v>4240</v>
      </c>
      <c r="Q33" s="159">
        <v>0</v>
      </c>
      <c r="R33" s="160">
        <v>4532</v>
      </c>
      <c r="S33" s="156">
        <v>256</v>
      </c>
      <c r="T33" s="158">
        <v>4276</v>
      </c>
      <c r="U33" s="158">
        <v>4276</v>
      </c>
      <c r="V33" s="162">
        <v>0</v>
      </c>
      <c r="W33" s="215" t="s">
        <v>179</v>
      </c>
      <c r="Y33" s="317"/>
      <c r="Z33" s="317"/>
      <c r="AA33" s="317"/>
      <c r="AB33" s="317"/>
      <c r="AC33" s="317"/>
      <c r="AD33" s="255"/>
      <c r="AE33" s="255"/>
      <c r="AF33" s="255"/>
      <c r="AG33" s="255"/>
      <c r="AH33" s="255"/>
    </row>
    <row r="34" spans="1:34" ht="18.75" customHeight="1" x14ac:dyDescent="0.25">
      <c r="A34" s="205" t="s">
        <v>180</v>
      </c>
      <c r="B34" s="163">
        <v>333</v>
      </c>
      <c r="C34" s="158">
        <v>146</v>
      </c>
      <c r="D34" s="158">
        <v>187</v>
      </c>
      <c r="E34" s="158">
        <v>187</v>
      </c>
      <c r="F34" s="159">
        <v>0</v>
      </c>
      <c r="G34" s="156">
        <v>314</v>
      </c>
      <c r="H34" s="158">
        <v>145</v>
      </c>
      <c r="I34" s="158">
        <v>169</v>
      </c>
      <c r="J34" s="156">
        <v>169</v>
      </c>
      <c r="K34" s="159">
        <v>0</v>
      </c>
      <c r="L34" s="160">
        <v>0</v>
      </c>
      <c r="M34" s="158">
        <v>286</v>
      </c>
      <c r="N34" s="158">
        <v>131</v>
      </c>
      <c r="O34" s="158">
        <v>155</v>
      </c>
      <c r="P34" s="158">
        <v>155</v>
      </c>
      <c r="Q34" s="159">
        <v>0</v>
      </c>
      <c r="R34" s="160">
        <v>249</v>
      </c>
      <c r="S34" s="158">
        <v>114</v>
      </c>
      <c r="T34" s="158">
        <v>135</v>
      </c>
      <c r="U34" s="158">
        <v>135</v>
      </c>
      <c r="V34" s="159">
        <v>0</v>
      </c>
      <c r="W34" s="215" t="s">
        <v>181</v>
      </c>
      <c r="Y34" s="317"/>
      <c r="Z34" s="317"/>
      <c r="AA34" s="317"/>
      <c r="AB34" s="317"/>
      <c r="AC34" s="317"/>
      <c r="AD34" s="255"/>
      <c r="AE34" s="255"/>
      <c r="AF34" s="255"/>
      <c r="AG34" s="255"/>
      <c r="AH34" s="255"/>
    </row>
    <row r="35" spans="1:34" ht="18.75" customHeight="1" x14ac:dyDescent="0.25">
      <c r="A35" s="205" t="s">
        <v>182</v>
      </c>
      <c r="B35" s="160">
        <v>4483</v>
      </c>
      <c r="C35" s="158">
        <v>275</v>
      </c>
      <c r="D35" s="158">
        <v>4208</v>
      </c>
      <c r="E35" s="158">
        <v>1465</v>
      </c>
      <c r="F35" s="159">
        <v>2743</v>
      </c>
      <c r="G35" s="158">
        <v>4532</v>
      </c>
      <c r="H35" s="158">
        <v>281</v>
      </c>
      <c r="I35" s="158">
        <v>4252</v>
      </c>
      <c r="J35" s="158">
        <v>1465</v>
      </c>
      <c r="K35" s="159">
        <v>2787</v>
      </c>
      <c r="L35" s="160">
        <v>0</v>
      </c>
      <c r="M35" s="158">
        <v>3797</v>
      </c>
      <c r="N35" s="158">
        <v>291</v>
      </c>
      <c r="O35" s="158">
        <v>3506</v>
      </c>
      <c r="P35" s="158">
        <v>935</v>
      </c>
      <c r="Q35" s="159">
        <v>2571</v>
      </c>
      <c r="R35" s="160">
        <v>3848</v>
      </c>
      <c r="S35" s="156">
        <v>299</v>
      </c>
      <c r="T35" s="158">
        <v>3549</v>
      </c>
      <c r="U35" s="158">
        <v>934</v>
      </c>
      <c r="V35" s="162">
        <v>2615</v>
      </c>
      <c r="W35" s="215" t="s">
        <v>183</v>
      </c>
      <c r="Y35" s="317"/>
      <c r="Z35" s="317"/>
      <c r="AA35" s="317"/>
      <c r="AB35" s="317"/>
      <c r="AC35" s="317"/>
      <c r="AD35" s="255"/>
      <c r="AE35" s="255"/>
      <c r="AF35" s="255"/>
      <c r="AG35" s="255"/>
      <c r="AH35" s="255"/>
    </row>
    <row r="36" spans="1:34" ht="18.75" customHeight="1" x14ac:dyDescent="0.25">
      <c r="A36" s="205" t="s">
        <v>184</v>
      </c>
      <c r="B36" s="160">
        <v>3090</v>
      </c>
      <c r="C36" s="158">
        <v>2765</v>
      </c>
      <c r="D36" s="158">
        <v>325</v>
      </c>
      <c r="E36" s="158">
        <v>325</v>
      </c>
      <c r="F36" s="159">
        <v>0</v>
      </c>
      <c r="G36" s="158">
        <v>3176</v>
      </c>
      <c r="H36" s="158">
        <v>2825</v>
      </c>
      <c r="I36" s="158">
        <v>351</v>
      </c>
      <c r="J36" s="158">
        <v>351</v>
      </c>
      <c r="K36" s="159">
        <v>0</v>
      </c>
      <c r="L36" s="160">
        <v>0</v>
      </c>
      <c r="M36" s="158">
        <v>2695</v>
      </c>
      <c r="N36" s="158">
        <v>2377</v>
      </c>
      <c r="O36" s="158">
        <v>319</v>
      </c>
      <c r="P36" s="158">
        <v>319</v>
      </c>
      <c r="Q36" s="159">
        <v>0</v>
      </c>
      <c r="R36" s="160">
        <v>2722</v>
      </c>
      <c r="S36" s="156">
        <v>2387</v>
      </c>
      <c r="T36" s="158">
        <v>336</v>
      </c>
      <c r="U36" s="158">
        <v>336</v>
      </c>
      <c r="V36" s="162">
        <v>0</v>
      </c>
      <c r="W36" s="215" t="s">
        <v>185</v>
      </c>
      <c r="Y36" s="317"/>
      <c r="Z36" s="317"/>
      <c r="AA36" s="317"/>
      <c r="AB36" s="317"/>
      <c r="AC36" s="317"/>
      <c r="AD36" s="255"/>
      <c r="AE36" s="255"/>
      <c r="AF36" s="255"/>
      <c r="AG36" s="255"/>
      <c r="AH36" s="255"/>
    </row>
    <row r="37" spans="1:34" ht="18.75" customHeight="1" x14ac:dyDescent="0.25">
      <c r="A37" s="205" t="s">
        <v>186</v>
      </c>
      <c r="B37" s="160">
        <v>7813</v>
      </c>
      <c r="C37" s="158">
        <v>7813</v>
      </c>
      <c r="D37" s="158">
        <v>0</v>
      </c>
      <c r="E37" s="158">
        <v>0</v>
      </c>
      <c r="F37" s="159">
        <v>0</v>
      </c>
      <c r="G37" s="158">
        <v>7732</v>
      </c>
      <c r="H37" s="158">
        <v>7732</v>
      </c>
      <c r="I37" s="158">
        <v>0</v>
      </c>
      <c r="J37" s="158">
        <v>0</v>
      </c>
      <c r="K37" s="159">
        <v>0</v>
      </c>
      <c r="L37" s="160">
        <v>0</v>
      </c>
      <c r="M37" s="158">
        <v>6440</v>
      </c>
      <c r="N37" s="158">
        <v>6440</v>
      </c>
      <c r="O37" s="158">
        <v>0</v>
      </c>
      <c r="P37" s="158">
        <v>0</v>
      </c>
      <c r="Q37" s="159">
        <v>0</v>
      </c>
      <c r="R37" s="160">
        <v>6370</v>
      </c>
      <c r="S37" s="158">
        <v>6370</v>
      </c>
      <c r="T37" s="158">
        <v>0</v>
      </c>
      <c r="U37" s="158">
        <v>0</v>
      </c>
      <c r="V37" s="159">
        <v>0</v>
      </c>
      <c r="W37" s="215" t="s">
        <v>187</v>
      </c>
      <c r="Y37" s="317"/>
      <c r="Z37" s="317"/>
      <c r="AA37" s="317"/>
      <c r="AB37" s="317"/>
      <c r="AC37" s="317"/>
      <c r="AD37" s="255"/>
      <c r="AE37" s="255"/>
      <c r="AF37" s="255"/>
      <c r="AG37" s="255"/>
      <c r="AH37" s="255"/>
    </row>
    <row r="38" spans="1:34" ht="18.75" customHeight="1" x14ac:dyDescent="0.25">
      <c r="A38" s="205" t="s">
        <v>188</v>
      </c>
      <c r="B38" s="160">
        <v>621</v>
      </c>
      <c r="C38" s="158">
        <v>88</v>
      </c>
      <c r="D38" s="158">
        <v>533</v>
      </c>
      <c r="E38" s="158">
        <v>530</v>
      </c>
      <c r="F38" s="159">
        <v>3</v>
      </c>
      <c r="G38" s="158">
        <v>633</v>
      </c>
      <c r="H38" s="158">
        <v>84</v>
      </c>
      <c r="I38" s="158">
        <v>550</v>
      </c>
      <c r="J38" s="158">
        <v>546</v>
      </c>
      <c r="K38" s="159">
        <v>3</v>
      </c>
      <c r="L38" s="160">
        <v>0</v>
      </c>
      <c r="M38" s="158">
        <v>561</v>
      </c>
      <c r="N38" s="158">
        <v>76</v>
      </c>
      <c r="O38" s="158">
        <v>485</v>
      </c>
      <c r="P38" s="158">
        <v>482</v>
      </c>
      <c r="Q38" s="159">
        <v>3</v>
      </c>
      <c r="R38" s="160">
        <v>564</v>
      </c>
      <c r="S38" s="156">
        <v>79</v>
      </c>
      <c r="T38" s="158">
        <v>485</v>
      </c>
      <c r="U38" s="158">
        <v>481</v>
      </c>
      <c r="V38" s="162">
        <v>4</v>
      </c>
      <c r="W38" s="215" t="s">
        <v>189</v>
      </c>
      <c r="Y38" s="317"/>
      <c r="Z38" s="317"/>
      <c r="AA38" s="317"/>
      <c r="AB38" s="317"/>
      <c r="AC38" s="317"/>
      <c r="AD38" s="255"/>
      <c r="AE38" s="255"/>
      <c r="AF38" s="255"/>
      <c r="AG38" s="255"/>
      <c r="AH38" s="255"/>
    </row>
    <row r="39" spans="1:34" ht="18.75" customHeight="1" x14ac:dyDescent="0.25">
      <c r="A39" s="205" t="s">
        <v>190</v>
      </c>
      <c r="B39" s="160">
        <v>1268</v>
      </c>
      <c r="C39" s="158">
        <v>1223</v>
      </c>
      <c r="D39" s="158">
        <v>44</v>
      </c>
      <c r="E39" s="158">
        <v>44</v>
      </c>
      <c r="F39" s="159">
        <v>0</v>
      </c>
      <c r="G39" s="158">
        <v>1274</v>
      </c>
      <c r="H39" s="158">
        <v>1226</v>
      </c>
      <c r="I39" s="158">
        <v>48</v>
      </c>
      <c r="J39" s="158">
        <v>48</v>
      </c>
      <c r="K39" s="159">
        <v>0</v>
      </c>
      <c r="L39" s="160">
        <v>0</v>
      </c>
      <c r="M39" s="158">
        <v>1105</v>
      </c>
      <c r="N39" s="158">
        <v>1063</v>
      </c>
      <c r="O39" s="158">
        <v>41</v>
      </c>
      <c r="P39" s="158">
        <v>41</v>
      </c>
      <c r="Q39" s="159">
        <v>0</v>
      </c>
      <c r="R39" s="160">
        <v>1155</v>
      </c>
      <c r="S39" s="158">
        <v>1110</v>
      </c>
      <c r="T39" s="158">
        <v>44</v>
      </c>
      <c r="U39" s="158">
        <v>44</v>
      </c>
      <c r="V39" s="159">
        <v>0</v>
      </c>
      <c r="W39" s="215" t="s">
        <v>191</v>
      </c>
      <c r="Y39" s="317"/>
      <c r="Z39" s="317"/>
      <c r="AA39" s="317"/>
      <c r="AB39" s="317"/>
      <c r="AC39" s="317"/>
      <c r="AD39" s="255"/>
      <c r="AE39" s="255"/>
      <c r="AF39" s="255"/>
      <c r="AG39" s="255"/>
      <c r="AH39" s="255"/>
    </row>
    <row r="40" spans="1:34" ht="18.75" customHeight="1" x14ac:dyDescent="0.25">
      <c r="A40" s="205" t="s">
        <v>498</v>
      </c>
      <c r="B40" s="160">
        <v>996</v>
      </c>
      <c r="C40" s="158">
        <v>774</v>
      </c>
      <c r="D40" s="158">
        <v>104</v>
      </c>
      <c r="E40" s="158">
        <v>104</v>
      </c>
      <c r="F40" s="159">
        <v>0</v>
      </c>
      <c r="G40" s="160">
        <v>1129</v>
      </c>
      <c r="H40" s="158">
        <v>879</v>
      </c>
      <c r="I40" s="158">
        <v>127</v>
      </c>
      <c r="J40" s="158">
        <v>127</v>
      </c>
      <c r="K40" s="159">
        <v>0</v>
      </c>
      <c r="L40" s="160">
        <v>0</v>
      </c>
      <c r="M40" s="158">
        <v>1216</v>
      </c>
      <c r="N40" s="158">
        <v>951</v>
      </c>
      <c r="O40" s="158">
        <v>146</v>
      </c>
      <c r="P40" s="158">
        <v>146</v>
      </c>
      <c r="Q40" s="159">
        <v>0</v>
      </c>
      <c r="R40" s="160">
        <v>1310</v>
      </c>
      <c r="S40" s="158">
        <v>998</v>
      </c>
      <c r="T40" s="158">
        <v>192</v>
      </c>
      <c r="U40" s="158">
        <v>192</v>
      </c>
      <c r="V40" s="159">
        <v>0</v>
      </c>
      <c r="W40" s="215" t="s">
        <v>499</v>
      </c>
    </row>
    <row r="41" spans="1:34" ht="18.75" customHeight="1" x14ac:dyDescent="0.25">
      <c r="A41" s="205" t="s">
        <v>192</v>
      </c>
      <c r="B41" s="160">
        <v>1016</v>
      </c>
      <c r="C41" s="158">
        <v>91</v>
      </c>
      <c r="D41" s="158">
        <v>925</v>
      </c>
      <c r="E41" s="158" t="s">
        <v>57</v>
      </c>
      <c r="F41" s="159" t="s">
        <v>57</v>
      </c>
      <c r="G41" s="158">
        <v>1034</v>
      </c>
      <c r="H41" s="158">
        <v>52</v>
      </c>
      <c r="I41" s="158">
        <v>982</v>
      </c>
      <c r="J41" s="158" t="s">
        <v>57</v>
      </c>
      <c r="K41" s="159" t="s">
        <v>57</v>
      </c>
      <c r="L41" s="160">
        <v>0</v>
      </c>
      <c r="M41" s="158">
        <v>884</v>
      </c>
      <c r="N41" s="158">
        <v>48</v>
      </c>
      <c r="O41" s="158">
        <v>836</v>
      </c>
      <c r="P41" s="158" t="s">
        <v>57</v>
      </c>
      <c r="Q41" s="159" t="s">
        <v>57</v>
      </c>
      <c r="R41" s="160">
        <v>928</v>
      </c>
      <c r="S41" s="156">
        <v>31</v>
      </c>
      <c r="T41" s="158">
        <v>897</v>
      </c>
      <c r="U41" s="158">
        <v>897</v>
      </c>
      <c r="V41" s="162">
        <v>0</v>
      </c>
      <c r="W41" s="215" t="s">
        <v>193</v>
      </c>
      <c r="AD41" s="255"/>
      <c r="AE41" s="255"/>
      <c r="AF41" s="255"/>
      <c r="AG41" s="255"/>
      <c r="AH41" s="255"/>
    </row>
    <row r="42" spans="1:34" ht="18.75" customHeight="1" x14ac:dyDescent="0.25">
      <c r="A42" s="205" t="s">
        <v>194</v>
      </c>
      <c r="B42" s="163">
        <v>1466</v>
      </c>
      <c r="C42" s="156">
        <v>90</v>
      </c>
      <c r="D42" s="156">
        <v>1376</v>
      </c>
      <c r="E42" s="156" t="s">
        <v>57</v>
      </c>
      <c r="F42" s="159" t="s">
        <v>57</v>
      </c>
      <c r="G42" s="156">
        <v>1466</v>
      </c>
      <c r="H42" s="156">
        <v>77</v>
      </c>
      <c r="I42" s="158">
        <v>1389</v>
      </c>
      <c r="J42" s="156" t="s">
        <v>57</v>
      </c>
      <c r="K42" s="162" t="s">
        <v>57</v>
      </c>
      <c r="L42" s="163">
        <v>0</v>
      </c>
      <c r="M42" s="158">
        <v>1278</v>
      </c>
      <c r="N42" s="158">
        <v>60</v>
      </c>
      <c r="O42" s="158">
        <v>1217</v>
      </c>
      <c r="P42" s="158" t="s">
        <v>57</v>
      </c>
      <c r="Q42" s="159" t="s">
        <v>57</v>
      </c>
      <c r="R42" s="160">
        <v>1337</v>
      </c>
      <c r="S42" s="156">
        <v>73</v>
      </c>
      <c r="T42" s="158">
        <v>1264</v>
      </c>
      <c r="U42" s="158" t="s">
        <v>57</v>
      </c>
      <c r="V42" s="162" t="s">
        <v>57</v>
      </c>
      <c r="W42" s="215" t="s">
        <v>195</v>
      </c>
      <c r="AD42" s="255"/>
      <c r="AE42" s="255"/>
      <c r="AF42" s="255"/>
      <c r="AG42" s="255"/>
      <c r="AH42" s="255"/>
    </row>
    <row r="43" spans="1:34" ht="18.75" customHeight="1" x14ac:dyDescent="0.25">
      <c r="A43" s="205" t="s">
        <v>196</v>
      </c>
      <c r="B43" s="160">
        <v>1873</v>
      </c>
      <c r="C43" s="158">
        <v>1757</v>
      </c>
      <c r="D43" s="158">
        <v>115</v>
      </c>
      <c r="E43" s="158">
        <v>115</v>
      </c>
      <c r="F43" s="159">
        <v>0</v>
      </c>
      <c r="G43" s="158">
        <v>1885</v>
      </c>
      <c r="H43" s="158">
        <v>1768</v>
      </c>
      <c r="I43" s="158">
        <v>118</v>
      </c>
      <c r="J43" s="158">
        <v>118</v>
      </c>
      <c r="K43" s="159">
        <v>0</v>
      </c>
      <c r="L43" s="160">
        <v>0</v>
      </c>
      <c r="M43" s="158">
        <v>1677</v>
      </c>
      <c r="N43" s="158">
        <v>1576</v>
      </c>
      <c r="O43" s="158">
        <v>101</v>
      </c>
      <c r="P43" s="158">
        <v>101</v>
      </c>
      <c r="Q43" s="159">
        <v>0</v>
      </c>
      <c r="R43" s="160">
        <v>1700</v>
      </c>
      <c r="S43" s="158">
        <v>1598</v>
      </c>
      <c r="T43" s="158">
        <v>102</v>
      </c>
      <c r="U43" s="158">
        <v>102</v>
      </c>
      <c r="V43" s="159">
        <v>0</v>
      </c>
      <c r="W43" s="215" t="s">
        <v>197</v>
      </c>
      <c r="AD43" s="255"/>
      <c r="AE43" s="255"/>
      <c r="AF43" s="255"/>
      <c r="AG43" s="255"/>
      <c r="AH43" s="255"/>
    </row>
    <row r="44" spans="1:34" ht="18.75" customHeight="1" x14ac:dyDescent="0.25">
      <c r="A44" s="205" t="s">
        <v>198</v>
      </c>
      <c r="B44" s="160">
        <v>5617</v>
      </c>
      <c r="C44" s="158">
        <v>5617</v>
      </c>
      <c r="D44" s="158">
        <v>0</v>
      </c>
      <c r="E44" s="158">
        <v>0</v>
      </c>
      <c r="F44" s="159">
        <v>0</v>
      </c>
      <c r="G44" s="158">
        <v>5542</v>
      </c>
      <c r="H44" s="158">
        <v>5542</v>
      </c>
      <c r="I44" s="158">
        <v>0</v>
      </c>
      <c r="J44" s="158">
        <v>0</v>
      </c>
      <c r="K44" s="159">
        <v>0</v>
      </c>
      <c r="L44" s="160">
        <v>0</v>
      </c>
      <c r="M44" s="158">
        <v>4690</v>
      </c>
      <c r="N44" s="158">
        <v>4690</v>
      </c>
      <c r="O44" s="158">
        <v>0</v>
      </c>
      <c r="P44" s="158">
        <v>0</v>
      </c>
      <c r="Q44" s="159">
        <v>0</v>
      </c>
      <c r="R44" s="160">
        <v>4774</v>
      </c>
      <c r="S44" s="158">
        <v>4774</v>
      </c>
      <c r="T44" s="158">
        <v>0</v>
      </c>
      <c r="U44" s="158">
        <v>0</v>
      </c>
      <c r="V44" s="159">
        <v>0</v>
      </c>
      <c r="W44" s="215" t="s">
        <v>199</v>
      </c>
      <c r="AD44" s="255"/>
      <c r="AE44" s="255"/>
      <c r="AF44" s="255"/>
      <c r="AG44" s="255"/>
      <c r="AH44" s="255"/>
    </row>
    <row r="45" spans="1:34" ht="18.75" customHeight="1" x14ac:dyDescent="0.25">
      <c r="A45" s="205" t="s">
        <v>200</v>
      </c>
      <c r="B45" s="160">
        <v>6209</v>
      </c>
      <c r="C45" s="158">
        <v>2257</v>
      </c>
      <c r="D45" s="158">
        <v>3952</v>
      </c>
      <c r="E45" s="158">
        <v>286</v>
      </c>
      <c r="F45" s="159">
        <v>3666</v>
      </c>
      <c r="G45" s="158">
        <v>6344</v>
      </c>
      <c r="H45" s="158">
        <v>2308</v>
      </c>
      <c r="I45" s="158">
        <v>4035</v>
      </c>
      <c r="J45" s="158">
        <v>290</v>
      </c>
      <c r="K45" s="159">
        <v>3746</v>
      </c>
      <c r="L45" s="160">
        <v>0</v>
      </c>
      <c r="M45" s="158">
        <v>6221</v>
      </c>
      <c r="N45" s="158">
        <v>2223</v>
      </c>
      <c r="O45" s="158">
        <v>3998</v>
      </c>
      <c r="P45" s="158">
        <v>284</v>
      </c>
      <c r="Q45" s="159">
        <v>3714</v>
      </c>
      <c r="R45" s="160">
        <v>6266</v>
      </c>
      <c r="S45" s="156">
        <v>2227</v>
      </c>
      <c r="T45" s="158">
        <v>4040</v>
      </c>
      <c r="U45" s="158">
        <v>280</v>
      </c>
      <c r="V45" s="162">
        <v>3760</v>
      </c>
      <c r="W45" s="215" t="s">
        <v>201</v>
      </c>
      <c r="AD45" s="255"/>
      <c r="AE45" s="255"/>
      <c r="AF45" s="255"/>
      <c r="AG45" s="255"/>
      <c r="AH45" s="255"/>
    </row>
    <row r="46" spans="1:34" ht="18.75" customHeight="1" x14ac:dyDescent="0.25">
      <c r="A46" s="205" t="s">
        <v>202</v>
      </c>
      <c r="B46" s="160">
        <v>431</v>
      </c>
      <c r="C46" s="158">
        <v>113</v>
      </c>
      <c r="D46" s="158">
        <v>318</v>
      </c>
      <c r="E46" s="158">
        <v>318</v>
      </c>
      <c r="F46" s="159">
        <v>0</v>
      </c>
      <c r="G46" s="158">
        <v>408</v>
      </c>
      <c r="H46" s="158">
        <v>112</v>
      </c>
      <c r="I46" s="158">
        <v>296</v>
      </c>
      <c r="J46" s="158">
        <v>296</v>
      </c>
      <c r="K46" s="159">
        <v>0</v>
      </c>
      <c r="L46" s="160">
        <v>0</v>
      </c>
      <c r="M46" s="158">
        <v>355</v>
      </c>
      <c r="N46" s="158">
        <v>99</v>
      </c>
      <c r="O46" s="158">
        <v>256</v>
      </c>
      <c r="P46" s="158">
        <v>256</v>
      </c>
      <c r="Q46" s="159">
        <v>0</v>
      </c>
      <c r="R46" s="160">
        <v>369</v>
      </c>
      <c r="S46" s="156">
        <v>106</v>
      </c>
      <c r="T46" s="158">
        <v>263</v>
      </c>
      <c r="U46" s="158">
        <v>263</v>
      </c>
      <c r="V46" s="162">
        <v>0</v>
      </c>
      <c r="W46" s="215" t="s">
        <v>401</v>
      </c>
      <c r="AD46" s="255"/>
      <c r="AE46" s="255"/>
      <c r="AF46" s="255"/>
      <c r="AG46" s="255"/>
      <c r="AH46" s="255"/>
    </row>
    <row r="47" spans="1:34" ht="18.75" customHeight="1" x14ac:dyDescent="0.25">
      <c r="A47" s="205" t="s">
        <v>203</v>
      </c>
      <c r="B47" s="160">
        <v>3423</v>
      </c>
      <c r="C47" s="158">
        <v>3423</v>
      </c>
      <c r="D47" s="158">
        <v>0</v>
      </c>
      <c r="E47" s="158">
        <v>0</v>
      </c>
      <c r="F47" s="159">
        <v>0</v>
      </c>
      <c r="G47" s="158">
        <v>3739</v>
      </c>
      <c r="H47" s="158">
        <v>3739</v>
      </c>
      <c r="I47" s="158">
        <v>0</v>
      </c>
      <c r="J47" s="158">
        <v>0</v>
      </c>
      <c r="K47" s="159">
        <v>0</v>
      </c>
      <c r="L47" s="160">
        <v>0</v>
      </c>
      <c r="M47" s="158">
        <v>3529</v>
      </c>
      <c r="N47" s="158">
        <v>3529</v>
      </c>
      <c r="O47" s="158">
        <v>0</v>
      </c>
      <c r="P47" s="158">
        <v>0</v>
      </c>
      <c r="Q47" s="159">
        <v>0</v>
      </c>
      <c r="R47" s="160">
        <v>3214</v>
      </c>
      <c r="S47" s="158">
        <v>3214</v>
      </c>
      <c r="T47" s="158">
        <v>0</v>
      </c>
      <c r="U47" s="158">
        <v>0</v>
      </c>
      <c r="V47" s="159">
        <v>0</v>
      </c>
      <c r="W47" s="215" t="s">
        <v>204</v>
      </c>
      <c r="AD47" s="255"/>
      <c r="AE47" s="255"/>
      <c r="AF47" s="255"/>
      <c r="AG47" s="255"/>
      <c r="AH47" s="255"/>
    </row>
    <row r="48" spans="1:34" ht="18.75" customHeight="1" x14ac:dyDescent="0.25">
      <c r="A48" s="206" t="s">
        <v>205</v>
      </c>
      <c r="B48" s="157">
        <v>4212</v>
      </c>
      <c r="C48" s="157">
        <v>2202</v>
      </c>
      <c r="D48" s="157">
        <v>2010</v>
      </c>
      <c r="E48" s="157">
        <v>2010</v>
      </c>
      <c r="F48" s="214">
        <v>0</v>
      </c>
      <c r="G48" s="157">
        <v>7372</v>
      </c>
      <c r="H48" s="157">
        <v>2382</v>
      </c>
      <c r="I48" s="157">
        <v>4990</v>
      </c>
      <c r="J48" s="157">
        <v>2092</v>
      </c>
      <c r="K48" s="214">
        <v>2898</v>
      </c>
      <c r="L48" s="163">
        <v>0</v>
      </c>
      <c r="M48" s="157">
        <v>7757</v>
      </c>
      <c r="N48" s="157">
        <v>2539</v>
      </c>
      <c r="O48" s="157">
        <v>5217</v>
      </c>
      <c r="P48" s="157">
        <v>2173</v>
      </c>
      <c r="Q48" s="214">
        <v>3044</v>
      </c>
      <c r="R48" s="161">
        <v>8049</v>
      </c>
      <c r="S48" s="157">
        <v>2619</v>
      </c>
      <c r="T48" s="157">
        <v>5429</v>
      </c>
      <c r="U48" s="157">
        <v>2246</v>
      </c>
      <c r="V48" s="214">
        <v>3183</v>
      </c>
      <c r="W48" s="216" t="s">
        <v>206</v>
      </c>
      <c r="AD48" s="255"/>
      <c r="AE48" s="255"/>
      <c r="AF48" s="255"/>
      <c r="AG48" s="255"/>
      <c r="AH48" s="255"/>
    </row>
    <row r="49" spans="1:34" s="227" customFormat="1" x14ac:dyDescent="0.25">
      <c r="A49" s="744" t="s">
        <v>624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614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  <c r="AD49" s="255"/>
      <c r="AE49" s="255"/>
      <c r="AF49" s="255"/>
      <c r="AG49" s="255"/>
      <c r="AH49" s="255"/>
    </row>
    <row r="50" spans="1:34" s="151" customFormat="1" ht="14.1" customHeight="1" x14ac:dyDescent="0.25">
      <c r="A50" s="738" t="s">
        <v>609</v>
      </c>
      <c r="B50" s="738"/>
      <c r="C50" s="738"/>
      <c r="D50" s="738"/>
      <c r="E50" s="738"/>
      <c r="F50" s="738"/>
      <c r="G50" s="738"/>
      <c r="H50" s="738"/>
      <c r="I50" s="738"/>
      <c r="J50" s="738"/>
      <c r="K50" s="274"/>
      <c r="L50" s="274"/>
      <c r="M50" s="739" t="s">
        <v>610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34" s="203" customFormat="1" ht="12" x14ac:dyDescent="0.2">
      <c r="A51" s="203" t="s">
        <v>619</v>
      </c>
      <c r="M51" s="203" t="s">
        <v>611</v>
      </c>
    </row>
    <row r="52" spans="1:34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</row>
  </sheetData>
  <mergeCells count="33">
    <mergeCell ref="A50:J50"/>
    <mergeCell ref="A3:A8"/>
    <mergeCell ref="B3:F3"/>
    <mergeCell ref="O6:O7"/>
    <mergeCell ref="M50:W50"/>
    <mergeCell ref="A49:K49"/>
    <mergeCell ref="M49:W49"/>
    <mergeCell ref="T2:W2"/>
    <mergeCell ref="B4:F4"/>
    <mergeCell ref="C5:F5"/>
    <mergeCell ref="W3:W8"/>
    <mergeCell ref="G3:K3"/>
    <mergeCell ref="G4:K4"/>
    <mergeCell ref="G5:G7"/>
    <mergeCell ref="H5:K5"/>
    <mergeCell ref="H6:H7"/>
    <mergeCell ref="I6:I7"/>
    <mergeCell ref="A1:K1"/>
    <mergeCell ref="M1:W1"/>
    <mergeCell ref="R3:V3"/>
    <mergeCell ref="R4:V4"/>
    <mergeCell ref="R5:R7"/>
    <mergeCell ref="S5:V5"/>
    <mergeCell ref="S6:S7"/>
    <mergeCell ref="T6:T7"/>
    <mergeCell ref="M3:Q3"/>
    <mergeCell ref="M4:Q4"/>
    <mergeCell ref="M5:M7"/>
    <mergeCell ref="N5:Q5"/>
    <mergeCell ref="N6:N7"/>
    <mergeCell ref="C6:C7"/>
    <mergeCell ref="D6:D7"/>
    <mergeCell ref="B5:B7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D8CC-A69C-462E-AF8E-2B30EFC4FF7A}">
  <sheetPr>
    <tabColor theme="9"/>
  </sheetPr>
  <dimension ref="A1:AH52"/>
  <sheetViews>
    <sheetView view="pageBreakPreview" zoomScale="70" zoomScaleNormal="70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T11" sqref="T11"/>
    </sheetView>
  </sheetViews>
  <sheetFormatPr defaultColWidth="9" defaultRowHeight="15.75" x14ac:dyDescent="0.25"/>
  <cols>
    <col min="1" max="1" width="12" style="21" customWidth="1"/>
    <col min="2" max="2" width="10.75" style="21" customWidth="1"/>
    <col min="3" max="3" width="9.875" style="21" customWidth="1"/>
    <col min="4" max="5" width="10.75" style="21" customWidth="1"/>
    <col min="6" max="6" width="9.75" style="21" customWidth="1"/>
    <col min="7" max="7" width="10.75" style="21" customWidth="1"/>
    <col min="8" max="8" width="10.25" style="21" customWidth="1"/>
    <col min="9" max="11" width="10.75" style="21" customWidth="1"/>
    <col min="12" max="12" width="0.625" style="21" customWidth="1"/>
    <col min="13" max="13" width="10.75" style="21" customWidth="1"/>
    <col min="14" max="14" width="10" style="21" customWidth="1"/>
    <col min="15" max="22" width="10.75" style="21" customWidth="1"/>
    <col min="23" max="23" width="11.875" style="21" customWidth="1"/>
    <col min="24" max="16384" width="9" style="21"/>
  </cols>
  <sheetData>
    <row r="1" spans="1:34" ht="23.45" customHeight="1" x14ac:dyDescent="0.25">
      <c r="A1" s="759" t="s">
        <v>652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280"/>
      <c r="M1" s="761" t="s">
        <v>639</v>
      </c>
      <c r="N1" s="761"/>
      <c r="O1" s="761"/>
      <c r="P1" s="761"/>
      <c r="Q1" s="761"/>
      <c r="R1" s="761"/>
      <c r="S1" s="761"/>
      <c r="T1" s="761"/>
      <c r="U1" s="761"/>
      <c r="V1" s="761"/>
      <c r="W1" s="761"/>
    </row>
    <row r="2" spans="1:34" ht="16.149999999999999" customHeight="1" x14ac:dyDescent="0.25">
      <c r="A2" s="275" t="s">
        <v>616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278" t="s">
        <v>617</v>
      </c>
    </row>
    <row r="3" spans="1:34" s="22" customFormat="1" ht="15.6" customHeight="1" x14ac:dyDescent="0.25">
      <c r="A3" s="762" t="s">
        <v>469</v>
      </c>
      <c r="B3" s="765" t="s">
        <v>490</v>
      </c>
      <c r="C3" s="766"/>
      <c r="D3" s="766"/>
      <c r="E3" s="766"/>
      <c r="F3" s="767"/>
      <c r="G3" s="765" t="s">
        <v>491</v>
      </c>
      <c r="H3" s="766"/>
      <c r="I3" s="766"/>
      <c r="J3" s="766"/>
      <c r="K3" s="767"/>
      <c r="L3" s="290"/>
      <c r="M3" s="766" t="s">
        <v>492</v>
      </c>
      <c r="N3" s="766"/>
      <c r="O3" s="766"/>
      <c r="P3" s="766"/>
      <c r="Q3" s="767"/>
      <c r="R3" s="765" t="s">
        <v>493</v>
      </c>
      <c r="S3" s="766"/>
      <c r="T3" s="766"/>
      <c r="U3" s="766"/>
      <c r="V3" s="767"/>
      <c r="W3" s="768" t="s">
        <v>470</v>
      </c>
    </row>
    <row r="4" spans="1:34" ht="14.45" customHeight="1" x14ac:dyDescent="0.25">
      <c r="A4" s="763"/>
      <c r="B4" s="756">
        <v>2017</v>
      </c>
      <c r="C4" s="757"/>
      <c r="D4" s="757"/>
      <c r="E4" s="757"/>
      <c r="F4" s="758"/>
      <c r="G4" s="756">
        <v>2018</v>
      </c>
      <c r="H4" s="757"/>
      <c r="I4" s="757"/>
      <c r="J4" s="757"/>
      <c r="K4" s="758"/>
      <c r="L4" s="290"/>
      <c r="M4" s="757">
        <v>2019</v>
      </c>
      <c r="N4" s="757"/>
      <c r="O4" s="757"/>
      <c r="P4" s="757"/>
      <c r="Q4" s="758"/>
      <c r="R4" s="756">
        <v>2020</v>
      </c>
      <c r="S4" s="757"/>
      <c r="T4" s="757"/>
      <c r="U4" s="757"/>
      <c r="V4" s="758"/>
      <c r="W4" s="769"/>
    </row>
    <row r="5" spans="1:34" ht="15" customHeight="1" x14ac:dyDescent="0.25">
      <c r="A5" s="763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69"/>
    </row>
    <row r="6" spans="1:34" ht="26.25" customHeight="1" x14ac:dyDescent="0.25">
      <c r="A6" s="763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69"/>
    </row>
    <row r="7" spans="1:34" ht="35.25" customHeight="1" x14ac:dyDescent="0.25">
      <c r="A7" s="763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69"/>
    </row>
    <row r="8" spans="1:34" ht="41.25" customHeight="1" x14ac:dyDescent="0.25">
      <c r="A8" s="764"/>
      <c r="B8" s="260" t="s">
        <v>583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583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583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583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70"/>
    </row>
    <row r="9" spans="1:34" ht="18.75" customHeight="1" x14ac:dyDescent="0.25">
      <c r="A9" s="204" t="s">
        <v>136</v>
      </c>
      <c r="B9" s="222">
        <v>978</v>
      </c>
      <c r="C9" s="223">
        <v>134</v>
      </c>
      <c r="D9" s="223">
        <v>844</v>
      </c>
      <c r="E9" s="223">
        <v>844</v>
      </c>
      <c r="F9" s="224">
        <v>0</v>
      </c>
      <c r="G9" s="223">
        <v>1046</v>
      </c>
      <c r="H9" s="223">
        <v>148</v>
      </c>
      <c r="I9" s="262">
        <v>898</v>
      </c>
      <c r="J9" s="263">
        <v>898</v>
      </c>
      <c r="K9" s="264">
        <v>0</v>
      </c>
      <c r="L9" s="222">
        <v>0</v>
      </c>
      <c r="M9" s="262">
        <v>1067</v>
      </c>
      <c r="N9" s="263">
        <v>160</v>
      </c>
      <c r="O9" s="263">
        <v>907</v>
      </c>
      <c r="P9" s="262">
        <v>907</v>
      </c>
      <c r="Q9" s="264">
        <v>0</v>
      </c>
      <c r="R9" s="265">
        <v>1222</v>
      </c>
      <c r="S9" s="262">
        <v>217</v>
      </c>
      <c r="T9" s="263">
        <v>1005</v>
      </c>
      <c r="U9" s="263">
        <v>1005</v>
      </c>
      <c r="V9" s="266">
        <v>0</v>
      </c>
      <c r="W9" s="215" t="s">
        <v>137</v>
      </c>
    </row>
    <row r="10" spans="1:34" ht="18.75" customHeight="1" x14ac:dyDescent="0.25">
      <c r="A10" s="205" t="s">
        <v>138</v>
      </c>
      <c r="B10" s="160">
        <v>4021</v>
      </c>
      <c r="C10" s="158">
        <v>3968</v>
      </c>
      <c r="D10" s="158">
        <v>54</v>
      </c>
      <c r="E10" s="158">
        <v>0</v>
      </c>
      <c r="F10" s="159">
        <v>54</v>
      </c>
      <c r="G10" s="158">
        <v>4078</v>
      </c>
      <c r="H10" s="158">
        <v>4014</v>
      </c>
      <c r="I10" s="158">
        <v>64</v>
      </c>
      <c r="J10" s="158">
        <v>0</v>
      </c>
      <c r="K10" s="159">
        <v>64</v>
      </c>
      <c r="L10" s="160">
        <v>0</v>
      </c>
      <c r="M10" s="158">
        <v>3996</v>
      </c>
      <c r="N10" s="158">
        <v>3932</v>
      </c>
      <c r="O10" s="158">
        <v>64</v>
      </c>
      <c r="P10" s="158">
        <v>0</v>
      </c>
      <c r="Q10" s="159">
        <v>64</v>
      </c>
      <c r="R10" s="160">
        <v>4292</v>
      </c>
      <c r="S10" s="158">
        <v>4228</v>
      </c>
      <c r="T10" s="158">
        <v>64</v>
      </c>
      <c r="U10" s="158">
        <v>0</v>
      </c>
      <c r="V10" s="159">
        <v>64</v>
      </c>
      <c r="W10" s="215" t="s">
        <v>139</v>
      </c>
      <c r="AD10" s="255"/>
      <c r="AE10" s="255"/>
      <c r="AF10" s="255"/>
      <c r="AG10" s="255"/>
      <c r="AH10" s="255"/>
    </row>
    <row r="11" spans="1:34" ht="18.75" customHeight="1" x14ac:dyDescent="0.25">
      <c r="A11" s="205" t="s">
        <v>140</v>
      </c>
      <c r="B11" s="160">
        <v>3649</v>
      </c>
      <c r="C11" s="158">
        <v>1467</v>
      </c>
      <c r="D11" s="158">
        <v>2182</v>
      </c>
      <c r="E11" s="158">
        <v>2182</v>
      </c>
      <c r="F11" s="159">
        <v>0</v>
      </c>
      <c r="G11" s="158">
        <v>3981</v>
      </c>
      <c r="H11" s="158">
        <v>1610</v>
      </c>
      <c r="I11" s="158">
        <v>2371</v>
      </c>
      <c r="J11" s="158">
        <v>2371</v>
      </c>
      <c r="K11" s="159">
        <v>0</v>
      </c>
      <c r="L11" s="160">
        <v>0</v>
      </c>
      <c r="M11" s="158">
        <v>3944</v>
      </c>
      <c r="N11" s="158">
        <v>1594</v>
      </c>
      <c r="O11" s="158">
        <v>2350</v>
      </c>
      <c r="P11" s="158">
        <v>2350</v>
      </c>
      <c r="Q11" s="159">
        <v>0</v>
      </c>
      <c r="R11" s="160">
        <v>4248</v>
      </c>
      <c r="S11" s="158">
        <v>1839</v>
      </c>
      <c r="T11" s="158">
        <v>2409</v>
      </c>
      <c r="U11" s="158">
        <v>2409</v>
      </c>
      <c r="V11" s="159">
        <v>0</v>
      </c>
      <c r="W11" s="215" t="s">
        <v>141</v>
      </c>
      <c r="AD11" s="255"/>
      <c r="AE11" s="255"/>
      <c r="AF11" s="255"/>
      <c r="AG11" s="255"/>
      <c r="AH11" s="255"/>
    </row>
    <row r="12" spans="1:34" ht="18.75" customHeight="1" x14ac:dyDescent="0.25">
      <c r="A12" s="205" t="s">
        <v>142</v>
      </c>
      <c r="B12" s="160">
        <v>3659</v>
      </c>
      <c r="C12" s="158">
        <v>1092</v>
      </c>
      <c r="D12" s="158">
        <v>2567</v>
      </c>
      <c r="E12" s="158">
        <v>2565</v>
      </c>
      <c r="F12" s="159">
        <v>2</v>
      </c>
      <c r="G12" s="158">
        <v>3951</v>
      </c>
      <c r="H12" s="158">
        <v>1194</v>
      </c>
      <c r="I12" s="158">
        <v>2757</v>
      </c>
      <c r="J12" s="158">
        <v>2755</v>
      </c>
      <c r="K12" s="159">
        <v>2</v>
      </c>
      <c r="L12" s="160">
        <v>0</v>
      </c>
      <c r="M12" s="158">
        <v>3773</v>
      </c>
      <c r="N12" s="158">
        <v>1065</v>
      </c>
      <c r="O12" s="158">
        <v>2708</v>
      </c>
      <c r="P12" s="158">
        <v>2706</v>
      </c>
      <c r="Q12" s="159">
        <v>2</v>
      </c>
      <c r="R12" s="160">
        <v>4001</v>
      </c>
      <c r="S12" s="156">
        <v>1222</v>
      </c>
      <c r="T12" s="158">
        <v>2780</v>
      </c>
      <c r="U12" s="158">
        <v>2778</v>
      </c>
      <c r="V12" s="162">
        <v>2</v>
      </c>
      <c r="W12" s="215" t="s">
        <v>143</v>
      </c>
      <c r="AD12" s="255"/>
      <c r="AE12" s="255"/>
      <c r="AF12" s="255"/>
      <c r="AG12" s="255"/>
      <c r="AH12" s="255"/>
    </row>
    <row r="13" spans="1:34" ht="18.75" customHeight="1" x14ac:dyDescent="0.25">
      <c r="A13" s="205" t="s">
        <v>144</v>
      </c>
      <c r="B13" s="160">
        <v>3434</v>
      </c>
      <c r="C13" s="158">
        <v>3364</v>
      </c>
      <c r="D13" s="158">
        <v>70</v>
      </c>
      <c r="E13" s="158">
        <v>70</v>
      </c>
      <c r="F13" s="159">
        <v>0</v>
      </c>
      <c r="G13" s="158">
        <v>3539</v>
      </c>
      <c r="H13" s="158">
        <v>3465</v>
      </c>
      <c r="I13" s="158">
        <v>74</v>
      </c>
      <c r="J13" s="158">
        <v>74</v>
      </c>
      <c r="K13" s="159">
        <v>0</v>
      </c>
      <c r="L13" s="160">
        <v>0</v>
      </c>
      <c r="M13" s="158">
        <v>3561</v>
      </c>
      <c r="N13" s="158">
        <v>3486</v>
      </c>
      <c r="O13" s="158">
        <v>75</v>
      </c>
      <c r="P13" s="158">
        <v>75</v>
      </c>
      <c r="Q13" s="159">
        <v>0</v>
      </c>
      <c r="R13" s="160">
        <v>4186</v>
      </c>
      <c r="S13" s="158">
        <v>4116</v>
      </c>
      <c r="T13" s="158">
        <v>70</v>
      </c>
      <c r="U13" s="158">
        <v>70</v>
      </c>
      <c r="V13" s="159">
        <v>0</v>
      </c>
      <c r="W13" s="215" t="s">
        <v>145</v>
      </c>
      <c r="AD13" s="255"/>
      <c r="AE13" s="255"/>
      <c r="AF13" s="255"/>
      <c r="AG13" s="255"/>
      <c r="AH13" s="255"/>
    </row>
    <row r="14" spans="1:34" ht="18.75" customHeight="1" x14ac:dyDescent="0.25">
      <c r="A14" s="205" t="s">
        <v>146</v>
      </c>
      <c r="B14" s="163">
        <v>820</v>
      </c>
      <c r="C14" s="156">
        <v>28</v>
      </c>
      <c r="D14" s="156">
        <v>793</v>
      </c>
      <c r="E14" s="156">
        <v>660</v>
      </c>
      <c r="F14" s="159">
        <v>133</v>
      </c>
      <c r="G14" s="156">
        <v>877</v>
      </c>
      <c r="H14" s="156">
        <v>29</v>
      </c>
      <c r="I14" s="158">
        <v>847</v>
      </c>
      <c r="J14" s="156">
        <v>709</v>
      </c>
      <c r="K14" s="162">
        <v>138</v>
      </c>
      <c r="L14" s="163">
        <v>0</v>
      </c>
      <c r="M14" s="158">
        <v>827</v>
      </c>
      <c r="N14" s="158">
        <v>23</v>
      </c>
      <c r="O14" s="158">
        <v>804</v>
      </c>
      <c r="P14" s="158">
        <v>672</v>
      </c>
      <c r="Q14" s="159">
        <v>132</v>
      </c>
      <c r="R14" s="160">
        <v>826</v>
      </c>
      <c r="S14" s="156">
        <v>43</v>
      </c>
      <c r="T14" s="158">
        <v>783</v>
      </c>
      <c r="U14" s="158">
        <v>672</v>
      </c>
      <c r="V14" s="162">
        <v>111</v>
      </c>
      <c r="W14" s="215" t="s">
        <v>147</v>
      </c>
      <c r="AD14" s="255"/>
      <c r="AE14" s="255"/>
      <c r="AF14" s="255"/>
      <c r="AG14" s="255"/>
      <c r="AH14" s="255"/>
    </row>
    <row r="15" spans="1:34" ht="18.75" customHeight="1" x14ac:dyDescent="0.25">
      <c r="A15" s="225" t="s">
        <v>383</v>
      </c>
      <c r="B15" s="163">
        <v>387</v>
      </c>
      <c r="C15" s="156">
        <v>18</v>
      </c>
      <c r="D15" s="156">
        <v>369</v>
      </c>
      <c r="E15" s="156">
        <v>341</v>
      </c>
      <c r="F15" s="159">
        <v>28</v>
      </c>
      <c r="G15" s="156">
        <v>409</v>
      </c>
      <c r="H15" s="156">
        <v>23</v>
      </c>
      <c r="I15" s="158">
        <v>386</v>
      </c>
      <c r="J15" s="156">
        <v>350</v>
      </c>
      <c r="K15" s="162">
        <v>36</v>
      </c>
      <c r="L15" s="163">
        <v>0</v>
      </c>
      <c r="M15" s="158">
        <v>392</v>
      </c>
      <c r="N15" s="158">
        <v>22</v>
      </c>
      <c r="O15" s="158">
        <v>370</v>
      </c>
      <c r="P15" s="158">
        <v>336</v>
      </c>
      <c r="Q15" s="159">
        <v>34</v>
      </c>
      <c r="R15" s="160">
        <v>361</v>
      </c>
      <c r="S15" s="156">
        <v>27</v>
      </c>
      <c r="T15" s="158">
        <v>334</v>
      </c>
      <c r="U15" s="158">
        <v>305</v>
      </c>
      <c r="V15" s="162">
        <v>29</v>
      </c>
      <c r="W15" s="226" t="s">
        <v>384</v>
      </c>
      <c r="AD15" s="255"/>
      <c r="AE15" s="255"/>
      <c r="AF15" s="255"/>
      <c r="AG15" s="255"/>
      <c r="AH15" s="255"/>
    </row>
    <row r="16" spans="1:34" ht="18.75" customHeight="1" x14ac:dyDescent="0.25">
      <c r="A16" s="225" t="s">
        <v>392</v>
      </c>
      <c r="B16" s="163">
        <v>642</v>
      </c>
      <c r="C16" s="156">
        <v>26</v>
      </c>
      <c r="D16" s="156">
        <v>616</v>
      </c>
      <c r="E16" s="156">
        <v>601</v>
      </c>
      <c r="F16" s="159">
        <v>15</v>
      </c>
      <c r="G16" s="156">
        <v>668</v>
      </c>
      <c r="H16" s="156">
        <v>32</v>
      </c>
      <c r="I16" s="158">
        <v>636</v>
      </c>
      <c r="J16" s="156">
        <v>620</v>
      </c>
      <c r="K16" s="162">
        <v>16</v>
      </c>
      <c r="L16" s="163">
        <v>0</v>
      </c>
      <c r="M16" s="158">
        <v>678</v>
      </c>
      <c r="N16" s="158">
        <v>32</v>
      </c>
      <c r="O16" s="158">
        <v>646</v>
      </c>
      <c r="P16" s="158">
        <v>630</v>
      </c>
      <c r="Q16" s="159">
        <v>16</v>
      </c>
      <c r="R16" s="160">
        <v>725</v>
      </c>
      <c r="S16" s="158">
        <v>43</v>
      </c>
      <c r="T16" s="158">
        <v>683</v>
      </c>
      <c r="U16" s="158">
        <v>669</v>
      </c>
      <c r="V16" s="159">
        <v>13</v>
      </c>
      <c r="W16" s="226" t="s">
        <v>391</v>
      </c>
      <c r="AD16" s="255"/>
      <c r="AE16" s="255"/>
      <c r="AF16" s="255"/>
      <c r="AG16" s="255"/>
      <c r="AH16" s="255"/>
    </row>
    <row r="17" spans="1:34" ht="18.75" customHeight="1" x14ac:dyDescent="0.25">
      <c r="A17" s="205" t="s">
        <v>148</v>
      </c>
      <c r="B17" s="160">
        <v>1285</v>
      </c>
      <c r="C17" s="158">
        <v>184</v>
      </c>
      <c r="D17" s="158">
        <v>1101</v>
      </c>
      <c r="E17" s="158">
        <v>1101</v>
      </c>
      <c r="F17" s="159">
        <v>0</v>
      </c>
      <c r="G17" s="158">
        <v>1485</v>
      </c>
      <c r="H17" s="158">
        <v>222</v>
      </c>
      <c r="I17" s="158">
        <v>1263</v>
      </c>
      <c r="J17" s="158">
        <v>1263</v>
      </c>
      <c r="K17" s="159">
        <v>0</v>
      </c>
      <c r="L17" s="160">
        <v>0</v>
      </c>
      <c r="M17" s="158">
        <v>1529</v>
      </c>
      <c r="N17" s="158">
        <v>232</v>
      </c>
      <c r="O17" s="158">
        <v>1297</v>
      </c>
      <c r="P17" s="158">
        <v>1297</v>
      </c>
      <c r="Q17" s="159">
        <v>0</v>
      </c>
      <c r="R17" s="160">
        <v>1858</v>
      </c>
      <c r="S17" s="158">
        <v>370</v>
      </c>
      <c r="T17" s="158">
        <v>1488</v>
      </c>
      <c r="U17" s="158">
        <v>1488</v>
      </c>
      <c r="V17" s="159">
        <v>0</v>
      </c>
      <c r="W17" s="215" t="s">
        <v>149</v>
      </c>
      <c r="AD17" s="255"/>
      <c r="AE17" s="255"/>
      <c r="AF17" s="255"/>
      <c r="AG17" s="255"/>
      <c r="AH17" s="255"/>
    </row>
    <row r="18" spans="1:34" ht="18.75" customHeight="1" x14ac:dyDescent="0.25">
      <c r="A18" s="205" t="s">
        <v>150</v>
      </c>
      <c r="B18" s="160">
        <v>4884</v>
      </c>
      <c r="C18" s="158">
        <v>4884</v>
      </c>
      <c r="D18" s="158">
        <v>0</v>
      </c>
      <c r="E18" s="158">
        <v>0</v>
      </c>
      <c r="F18" s="159">
        <v>0</v>
      </c>
      <c r="G18" s="158">
        <v>5209</v>
      </c>
      <c r="H18" s="158">
        <v>5209</v>
      </c>
      <c r="I18" s="158">
        <v>0</v>
      </c>
      <c r="J18" s="158">
        <v>0</v>
      </c>
      <c r="K18" s="159">
        <v>0</v>
      </c>
      <c r="L18" s="160">
        <v>0</v>
      </c>
      <c r="M18" s="158">
        <v>5065</v>
      </c>
      <c r="N18" s="158">
        <v>5065</v>
      </c>
      <c r="O18" s="158">
        <v>0</v>
      </c>
      <c r="P18" s="158">
        <v>0</v>
      </c>
      <c r="Q18" s="159">
        <v>0</v>
      </c>
      <c r="R18" s="160">
        <v>5500</v>
      </c>
      <c r="S18" s="158">
        <v>5500</v>
      </c>
      <c r="T18" s="158">
        <v>0</v>
      </c>
      <c r="U18" s="158">
        <v>0</v>
      </c>
      <c r="V18" s="159">
        <v>0</v>
      </c>
      <c r="W18" s="215" t="s">
        <v>151</v>
      </c>
      <c r="AD18" s="255"/>
      <c r="AE18" s="255"/>
      <c r="AF18" s="255"/>
      <c r="AG18" s="255"/>
      <c r="AH18" s="255"/>
    </row>
    <row r="19" spans="1:34" ht="18.75" customHeight="1" x14ac:dyDescent="0.25">
      <c r="A19" s="205" t="s">
        <v>152</v>
      </c>
      <c r="B19" s="163">
        <v>992</v>
      </c>
      <c r="C19" s="158">
        <v>154</v>
      </c>
      <c r="D19" s="158">
        <v>838</v>
      </c>
      <c r="E19" s="158">
        <v>838</v>
      </c>
      <c r="F19" s="159">
        <v>0</v>
      </c>
      <c r="G19" s="156">
        <v>1142</v>
      </c>
      <c r="H19" s="158">
        <v>141</v>
      </c>
      <c r="I19" s="158">
        <v>1001</v>
      </c>
      <c r="J19" s="156">
        <v>1001</v>
      </c>
      <c r="K19" s="159">
        <v>0</v>
      </c>
      <c r="L19" s="160">
        <v>0</v>
      </c>
      <c r="M19" s="158">
        <v>1189</v>
      </c>
      <c r="N19" s="158">
        <v>129</v>
      </c>
      <c r="O19" s="158">
        <v>1060</v>
      </c>
      <c r="P19" s="158">
        <v>1060</v>
      </c>
      <c r="Q19" s="159">
        <v>0</v>
      </c>
      <c r="R19" s="160">
        <v>1379</v>
      </c>
      <c r="S19" s="158">
        <v>162</v>
      </c>
      <c r="T19" s="158">
        <v>1216</v>
      </c>
      <c r="U19" s="158">
        <v>1216</v>
      </c>
      <c r="V19" s="159">
        <v>0</v>
      </c>
      <c r="W19" s="215" t="s">
        <v>153</v>
      </c>
      <c r="AD19" s="255"/>
      <c r="AE19" s="255"/>
      <c r="AF19" s="255"/>
      <c r="AG19" s="255"/>
      <c r="AH19" s="255"/>
    </row>
    <row r="20" spans="1:34" ht="18.75" customHeight="1" x14ac:dyDescent="0.25">
      <c r="A20" s="205" t="s">
        <v>154</v>
      </c>
      <c r="B20" s="160">
        <v>3237</v>
      </c>
      <c r="C20" s="158">
        <v>2654</v>
      </c>
      <c r="D20" s="158">
        <v>583</v>
      </c>
      <c r="E20" s="158">
        <v>536</v>
      </c>
      <c r="F20" s="159">
        <v>46</v>
      </c>
      <c r="G20" s="158">
        <v>3479</v>
      </c>
      <c r="H20" s="158">
        <v>2847</v>
      </c>
      <c r="I20" s="158">
        <v>632</v>
      </c>
      <c r="J20" s="158">
        <v>613</v>
      </c>
      <c r="K20" s="159">
        <v>19</v>
      </c>
      <c r="L20" s="160">
        <v>0</v>
      </c>
      <c r="M20" s="158">
        <v>3473</v>
      </c>
      <c r="N20" s="158">
        <v>2853</v>
      </c>
      <c r="O20" s="158">
        <v>620</v>
      </c>
      <c r="P20" s="158">
        <v>603</v>
      </c>
      <c r="Q20" s="159">
        <v>17</v>
      </c>
      <c r="R20" s="160">
        <v>3744</v>
      </c>
      <c r="S20" s="158">
        <v>3100</v>
      </c>
      <c r="T20" s="158">
        <v>644</v>
      </c>
      <c r="U20" s="158">
        <v>627</v>
      </c>
      <c r="V20" s="159">
        <v>18</v>
      </c>
      <c r="W20" s="215" t="s">
        <v>155</v>
      </c>
      <c r="AD20" s="255"/>
      <c r="AE20" s="255"/>
      <c r="AF20" s="255"/>
      <c r="AG20" s="255"/>
      <c r="AH20" s="255"/>
    </row>
    <row r="21" spans="1:34" ht="18.75" customHeight="1" x14ac:dyDescent="0.25">
      <c r="A21" s="205" t="s">
        <v>156</v>
      </c>
      <c r="B21" s="160">
        <v>3650</v>
      </c>
      <c r="C21" s="158">
        <v>238</v>
      </c>
      <c r="D21" s="158">
        <v>3412</v>
      </c>
      <c r="E21" s="158">
        <v>3140</v>
      </c>
      <c r="F21" s="159">
        <v>272</v>
      </c>
      <c r="G21" s="158">
        <v>3869</v>
      </c>
      <c r="H21" s="158">
        <v>255</v>
      </c>
      <c r="I21" s="158">
        <v>3614</v>
      </c>
      <c r="J21" s="158">
        <v>3310</v>
      </c>
      <c r="K21" s="159">
        <v>304</v>
      </c>
      <c r="L21" s="160">
        <v>0</v>
      </c>
      <c r="M21" s="158">
        <v>3740</v>
      </c>
      <c r="N21" s="158">
        <v>247</v>
      </c>
      <c r="O21" s="158">
        <v>3493</v>
      </c>
      <c r="P21" s="158">
        <v>3193</v>
      </c>
      <c r="Q21" s="159">
        <v>301</v>
      </c>
      <c r="R21" s="160">
        <v>4004</v>
      </c>
      <c r="S21" s="156">
        <v>302</v>
      </c>
      <c r="T21" s="158">
        <v>3702</v>
      </c>
      <c r="U21" s="158">
        <v>3413</v>
      </c>
      <c r="V21" s="162">
        <v>289</v>
      </c>
      <c r="W21" s="215" t="s">
        <v>157</v>
      </c>
      <c r="AD21" s="255"/>
      <c r="AE21" s="255"/>
      <c r="AF21" s="255"/>
      <c r="AG21" s="255"/>
      <c r="AH21" s="255"/>
    </row>
    <row r="22" spans="1:34" ht="18.75" customHeight="1" x14ac:dyDescent="0.25">
      <c r="A22" s="205" t="s">
        <v>158</v>
      </c>
      <c r="B22" s="160">
        <v>4271</v>
      </c>
      <c r="C22" s="158">
        <v>338</v>
      </c>
      <c r="D22" s="158">
        <v>3934</v>
      </c>
      <c r="E22" s="158">
        <v>3573</v>
      </c>
      <c r="F22" s="159">
        <v>361</v>
      </c>
      <c r="G22" s="158">
        <v>4631</v>
      </c>
      <c r="H22" s="158">
        <v>362</v>
      </c>
      <c r="I22" s="158">
        <v>4268</v>
      </c>
      <c r="J22" s="158">
        <v>3874</v>
      </c>
      <c r="K22" s="159">
        <v>394</v>
      </c>
      <c r="L22" s="160">
        <v>0</v>
      </c>
      <c r="M22" s="158">
        <v>4607</v>
      </c>
      <c r="N22" s="158">
        <v>363</v>
      </c>
      <c r="O22" s="158">
        <v>4243</v>
      </c>
      <c r="P22" s="158">
        <v>3853</v>
      </c>
      <c r="Q22" s="159">
        <v>391</v>
      </c>
      <c r="R22" s="160">
        <v>5065</v>
      </c>
      <c r="S22" s="156">
        <v>551</v>
      </c>
      <c r="T22" s="158">
        <v>4515</v>
      </c>
      <c r="U22" s="158">
        <v>4106</v>
      </c>
      <c r="V22" s="162">
        <v>409</v>
      </c>
      <c r="W22" s="215" t="s">
        <v>159</v>
      </c>
      <c r="AD22" s="255"/>
      <c r="AE22" s="255"/>
      <c r="AF22" s="255"/>
      <c r="AG22" s="255"/>
      <c r="AH22" s="255"/>
    </row>
    <row r="23" spans="1:34" ht="18.75" customHeight="1" x14ac:dyDescent="0.25">
      <c r="A23" s="205" t="s">
        <v>160</v>
      </c>
      <c r="B23" s="160">
        <v>915</v>
      </c>
      <c r="C23" s="158">
        <v>419</v>
      </c>
      <c r="D23" s="158">
        <v>497</v>
      </c>
      <c r="E23" s="158">
        <v>497</v>
      </c>
      <c r="F23" s="159">
        <v>0</v>
      </c>
      <c r="G23" s="158">
        <v>950</v>
      </c>
      <c r="H23" s="158">
        <v>431</v>
      </c>
      <c r="I23" s="158">
        <v>519</v>
      </c>
      <c r="J23" s="158">
        <v>519</v>
      </c>
      <c r="K23" s="159">
        <v>0</v>
      </c>
      <c r="L23" s="160">
        <v>0</v>
      </c>
      <c r="M23" s="158">
        <v>965</v>
      </c>
      <c r="N23" s="158">
        <v>429</v>
      </c>
      <c r="O23" s="158">
        <v>536</v>
      </c>
      <c r="P23" s="158">
        <v>536</v>
      </c>
      <c r="Q23" s="159">
        <v>0</v>
      </c>
      <c r="R23" s="160">
        <v>1037</v>
      </c>
      <c r="S23" s="158">
        <v>473</v>
      </c>
      <c r="T23" s="158">
        <v>565</v>
      </c>
      <c r="U23" s="158">
        <v>565</v>
      </c>
      <c r="V23" s="159">
        <v>0</v>
      </c>
      <c r="W23" s="215" t="s">
        <v>161</v>
      </c>
      <c r="AD23" s="255"/>
      <c r="AE23" s="255"/>
      <c r="AF23" s="255"/>
      <c r="AG23" s="255"/>
      <c r="AH23" s="255"/>
    </row>
    <row r="24" spans="1:34" ht="18.75" customHeight="1" x14ac:dyDescent="0.25">
      <c r="A24" s="205" t="s">
        <v>162</v>
      </c>
      <c r="B24" s="160">
        <v>684</v>
      </c>
      <c r="C24" s="158">
        <v>81</v>
      </c>
      <c r="D24" s="158">
        <v>603</v>
      </c>
      <c r="E24" s="158">
        <v>603</v>
      </c>
      <c r="F24" s="159">
        <v>0</v>
      </c>
      <c r="G24" s="158">
        <v>757</v>
      </c>
      <c r="H24" s="158">
        <v>93</v>
      </c>
      <c r="I24" s="158">
        <v>664</v>
      </c>
      <c r="J24" s="158">
        <v>664</v>
      </c>
      <c r="K24" s="159">
        <v>0</v>
      </c>
      <c r="L24" s="160">
        <v>0</v>
      </c>
      <c r="M24" s="158">
        <v>730</v>
      </c>
      <c r="N24" s="158">
        <v>92</v>
      </c>
      <c r="O24" s="158">
        <v>638</v>
      </c>
      <c r="P24" s="158">
        <v>638</v>
      </c>
      <c r="Q24" s="159">
        <v>0</v>
      </c>
      <c r="R24" s="160">
        <v>839</v>
      </c>
      <c r="S24" s="158">
        <v>137</v>
      </c>
      <c r="T24" s="158">
        <v>701</v>
      </c>
      <c r="U24" s="158">
        <v>701</v>
      </c>
      <c r="V24" s="159">
        <v>0</v>
      </c>
      <c r="W24" s="215" t="s">
        <v>163</v>
      </c>
      <c r="AD24" s="255"/>
      <c r="AE24" s="255"/>
      <c r="AF24" s="255"/>
      <c r="AG24" s="255"/>
      <c r="AH24" s="255"/>
    </row>
    <row r="25" spans="1:34" ht="18.75" customHeight="1" x14ac:dyDescent="0.25">
      <c r="A25" s="205" t="s">
        <v>164</v>
      </c>
      <c r="B25" s="160">
        <v>4915</v>
      </c>
      <c r="C25" s="158">
        <v>4915</v>
      </c>
      <c r="D25" s="158">
        <v>0</v>
      </c>
      <c r="E25" s="158">
        <v>0</v>
      </c>
      <c r="F25" s="159">
        <v>0</v>
      </c>
      <c r="G25" s="158">
        <v>5183</v>
      </c>
      <c r="H25" s="158">
        <v>5183</v>
      </c>
      <c r="I25" s="158">
        <v>0</v>
      </c>
      <c r="J25" s="158">
        <v>0</v>
      </c>
      <c r="K25" s="159">
        <v>0</v>
      </c>
      <c r="L25" s="160">
        <v>0</v>
      </c>
      <c r="M25" s="158">
        <v>4905</v>
      </c>
      <c r="N25" s="158">
        <v>4905</v>
      </c>
      <c r="O25" s="158">
        <v>0</v>
      </c>
      <c r="P25" s="158">
        <v>0</v>
      </c>
      <c r="Q25" s="159">
        <v>0</v>
      </c>
      <c r="R25" s="160">
        <v>4752</v>
      </c>
      <c r="S25" s="158">
        <v>4752</v>
      </c>
      <c r="T25" s="158">
        <v>0</v>
      </c>
      <c r="U25" s="158">
        <v>0</v>
      </c>
      <c r="V25" s="159">
        <v>0</v>
      </c>
      <c r="W25" s="215" t="s">
        <v>165</v>
      </c>
      <c r="AD25" s="255"/>
      <c r="AE25" s="255"/>
      <c r="AF25" s="255"/>
      <c r="AG25" s="255"/>
      <c r="AH25" s="255"/>
    </row>
    <row r="26" spans="1:34" ht="18.75" customHeight="1" x14ac:dyDescent="0.25">
      <c r="A26" s="205" t="s">
        <v>166</v>
      </c>
      <c r="B26" s="160">
        <v>3624</v>
      </c>
      <c r="C26" s="158">
        <v>3606</v>
      </c>
      <c r="D26" s="158">
        <v>18</v>
      </c>
      <c r="E26" s="158">
        <v>18</v>
      </c>
      <c r="F26" s="159">
        <v>0</v>
      </c>
      <c r="G26" s="158">
        <v>4009</v>
      </c>
      <c r="H26" s="158">
        <v>3976</v>
      </c>
      <c r="I26" s="158">
        <v>33</v>
      </c>
      <c r="J26" s="158">
        <v>33</v>
      </c>
      <c r="K26" s="159">
        <v>0</v>
      </c>
      <c r="L26" s="160">
        <v>0</v>
      </c>
      <c r="M26" s="158">
        <v>3997</v>
      </c>
      <c r="N26" s="158">
        <v>3965</v>
      </c>
      <c r="O26" s="158">
        <v>33</v>
      </c>
      <c r="P26" s="158">
        <v>33</v>
      </c>
      <c r="Q26" s="159">
        <v>0</v>
      </c>
      <c r="R26" s="160">
        <v>4688</v>
      </c>
      <c r="S26" s="158">
        <v>4656</v>
      </c>
      <c r="T26" s="158">
        <v>32</v>
      </c>
      <c r="U26" s="158">
        <v>32</v>
      </c>
      <c r="V26" s="159">
        <v>0</v>
      </c>
      <c r="W26" s="215" t="s">
        <v>167</v>
      </c>
      <c r="AD26" s="255"/>
      <c r="AE26" s="255"/>
      <c r="AF26" s="255"/>
      <c r="AG26" s="255"/>
      <c r="AH26" s="255"/>
    </row>
    <row r="27" spans="1:34" ht="18.75" customHeight="1" x14ac:dyDescent="0.25">
      <c r="A27" s="205" t="s">
        <v>168</v>
      </c>
      <c r="B27" s="160">
        <v>1885</v>
      </c>
      <c r="C27" s="158">
        <v>463</v>
      </c>
      <c r="D27" s="158">
        <v>1422</v>
      </c>
      <c r="E27" s="158">
        <v>1422</v>
      </c>
      <c r="F27" s="159">
        <v>0</v>
      </c>
      <c r="G27" s="158">
        <v>1982</v>
      </c>
      <c r="H27" s="158">
        <v>475</v>
      </c>
      <c r="I27" s="158">
        <v>1507</v>
      </c>
      <c r="J27" s="158">
        <v>1507</v>
      </c>
      <c r="K27" s="159">
        <v>0</v>
      </c>
      <c r="L27" s="160">
        <v>0</v>
      </c>
      <c r="M27" s="158">
        <v>2067</v>
      </c>
      <c r="N27" s="158">
        <v>499</v>
      </c>
      <c r="O27" s="158">
        <v>1568</v>
      </c>
      <c r="P27" s="158">
        <v>1568</v>
      </c>
      <c r="Q27" s="159">
        <v>0</v>
      </c>
      <c r="R27" s="160">
        <v>2345</v>
      </c>
      <c r="S27" s="158">
        <v>642</v>
      </c>
      <c r="T27" s="158">
        <v>1703</v>
      </c>
      <c r="U27" s="158">
        <v>1703</v>
      </c>
      <c r="V27" s="159">
        <v>0</v>
      </c>
      <c r="W27" s="215" t="s">
        <v>169</v>
      </c>
      <c r="AD27" s="255"/>
      <c r="AE27" s="255"/>
      <c r="AF27" s="255"/>
      <c r="AG27" s="255"/>
      <c r="AH27" s="255"/>
    </row>
    <row r="28" spans="1:34" ht="18.75" customHeight="1" x14ac:dyDescent="0.25">
      <c r="A28" s="205" t="s">
        <v>170</v>
      </c>
      <c r="B28" s="160">
        <v>2093</v>
      </c>
      <c r="C28" s="158">
        <v>2088</v>
      </c>
      <c r="D28" s="158">
        <v>5</v>
      </c>
      <c r="E28" s="158">
        <v>5</v>
      </c>
      <c r="F28" s="159">
        <v>0</v>
      </c>
      <c r="G28" s="158">
        <v>2216</v>
      </c>
      <c r="H28" s="158">
        <v>2212</v>
      </c>
      <c r="I28" s="158">
        <v>5</v>
      </c>
      <c r="J28" s="158">
        <v>5</v>
      </c>
      <c r="K28" s="159">
        <v>0</v>
      </c>
      <c r="L28" s="160">
        <v>0</v>
      </c>
      <c r="M28" s="158">
        <v>2134</v>
      </c>
      <c r="N28" s="158">
        <v>2129</v>
      </c>
      <c r="O28" s="158">
        <v>5</v>
      </c>
      <c r="P28" s="158">
        <v>5</v>
      </c>
      <c r="Q28" s="159">
        <v>0</v>
      </c>
      <c r="R28" s="160">
        <v>2327</v>
      </c>
      <c r="S28" s="156">
        <v>2323</v>
      </c>
      <c r="T28" s="158">
        <v>5</v>
      </c>
      <c r="U28" s="158">
        <v>5</v>
      </c>
      <c r="V28" s="162">
        <v>0</v>
      </c>
      <c r="W28" s="215" t="s">
        <v>171</v>
      </c>
      <c r="AD28" s="255"/>
      <c r="AE28" s="255"/>
      <c r="AF28" s="255"/>
      <c r="AG28" s="255"/>
      <c r="AH28" s="255"/>
    </row>
    <row r="29" spans="1:34" ht="18.75" customHeight="1" x14ac:dyDescent="0.25">
      <c r="A29" s="205" t="s">
        <v>172</v>
      </c>
      <c r="B29" s="160">
        <v>3486</v>
      </c>
      <c r="C29" s="158">
        <v>349</v>
      </c>
      <c r="D29" s="158">
        <v>3137</v>
      </c>
      <c r="E29" s="158">
        <v>3137</v>
      </c>
      <c r="F29" s="159">
        <v>0</v>
      </c>
      <c r="G29" s="158">
        <v>3578</v>
      </c>
      <c r="H29" s="158">
        <v>346</v>
      </c>
      <c r="I29" s="158">
        <v>3232</v>
      </c>
      <c r="J29" s="158" t="s">
        <v>57</v>
      </c>
      <c r="K29" s="159" t="s">
        <v>57</v>
      </c>
      <c r="L29" s="160">
        <v>0</v>
      </c>
      <c r="M29" s="158">
        <v>3725</v>
      </c>
      <c r="N29" s="158">
        <v>360</v>
      </c>
      <c r="O29" s="158">
        <v>3365</v>
      </c>
      <c r="P29" s="158">
        <v>3365</v>
      </c>
      <c r="Q29" s="159">
        <v>0</v>
      </c>
      <c r="R29" s="160">
        <v>3917</v>
      </c>
      <c r="S29" s="156">
        <v>541</v>
      </c>
      <c r="T29" s="158">
        <v>3376</v>
      </c>
      <c r="U29" s="158">
        <v>3376</v>
      </c>
      <c r="V29" s="162">
        <v>0</v>
      </c>
      <c r="W29" s="215" t="s">
        <v>173</v>
      </c>
      <c r="AD29" s="255"/>
      <c r="AE29" s="255"/>
      <c r="AF29" s="255"/>
      <c r="AG29" s="255"/>
      <c r="AH29" s="255"/>
    </row>
    <row r="30" spans="1:34" ht="18.75" customHeight="1" x14ac:dyDescent="0.25">
      <c r="A30" s="205" t="s">
        <v>174</v>
      </c>
      <c r="B30" s="160">
        <v>1294</v>
      </c>
      <c r="C30" s="158">
        <v>228</v>
      </c>
      <c r="D30" s="158">
        <v>1066</v>
      </c>
      <c r="E30" s="158">
        <v>1032</v>
      </c>
      <c r="F30" s="159">
        <v>34</v>
      </c>
      <c r="G30" s="158">
        <v>1464</v>
      </c>
      <c r="H30" s="158">
        <v>246</v>
      </c>
      <c r="I30" s="158">
        <v>1218</v>
      </c>
      <c r="J30" s="158">
        <v>1181</v>
      </c>
      <c r="K30" s="159">
        <v>38</v>
      </c>
      <c r="L30" s="160">
        <v>0</v>
      </c>
      <c r="M30" s="158">
        <v>1538</v>
      </c>
      <c r="N30" s="158">
        <v>258</v>
      </c>
      <c r="O30" s="158">
        <v>1280</v>
      </c>
      <c r="P30" s="158">
        <v>1241</v>
      </c>
      <c r="Q30" s="159">
        <v>39</v>
      </c>
      <c r="R30" s="160">
        <v>1611</v>
      </c>
      <c r="S30" s="158">
        <v>318</v>
      </c>
      <c r="T30" s="158">
        <v>1293</v>
      </c>
      <c r="U30" s="158">
        <v>1253</v>
      </c>
      <c r="V30" s="159">
        <v>41</v>
      </c>
      <c r="W30" s="215" t="s">
        <v>175</v>
      </c>
      <c r="AD30" s="255"/>
      <c r="AE30" s="255"/>
      <c r="AF30" s="255"/>
      <c r="AG30" s="255"/>
      <c r="AH30" s="255"/>
    </row>
    <row r="31" spans="1:34" ht="18.75" customHeight="1" x14ac:dyDescent="0.25">
      <c r="A31" s="205" t="s">
        <v>176</v>
      </c>
      <c r="B31" s="163">
        <v>537</v>
      </c>
      <c r="C31" s="156">
        <v>537</v>
      </c>
      <c r="D31" s="156">
        <v>0</v>
      </c>
      <c r="E31" s="156">
        <v>0</v>
      </c>
      <c r="F31" s="159">
        <v>0</v>
      </c>
      <c r="G31" s="156">
        <v>662</v>
      </c>
      <c r="H31" s="156">
        <v>662</v>
      </c>
      <c r="I31" s="158">
        <v>0</v>
      </c>
      <c r="J31" s="156">
        <v>0</v>
      </c>
      <c r="K31" s="162">
        <v>0</v>
      </c>
      <c r="L31" s="163">
        <v>0</v>
      </c>
      <c r="M31" s="158">
        <v>714</v>
      </c>
      <c r="N31" s="158">
        <v>714</v>
      </c>
      <c r="O31" s="158">
        <v>0</v>
      </c>
      <c r="P31" s="158">
        <v>0</v>
      </c>
      <c r="Q31" s="159">
        <v>0</v>
      </c>
      <c r="R31" s="160">
        <v>839</v>
      </c>
      <c r="S31" s="158">
        <v>839</v>
      </c>
      <c r="T31" s="158">
        <v>0</v>
      </c>
      <c r="U31" s="158">
        <v>0</v>
      </c>
      <c r="V31" s="159">
        <v>0</v>
      </c>
      <c r="W31" s="215" t="s">
        <v>177</v>
      </c>
      <c r="AD31" s="255"/>
      <c r="AE31" s="255"/>
      <c r="AF31" s="255"/>
      <c r="AG31" s="255"/>
      <c r="AH31" s="255"/>
    </row>
    <row r="32" spans="1:34" ht="18.75" customHeight="1" x14ac:dyDescent="0.25">
      <c r="A32" s="205" t="s">
        <v>306</v>
      </c>
      <c r="B32" s="163">
        <v>718</v>
      </c>
      <c r="C32" s="156">
        <v>97</v>
      </c>
      <c r="D32" s="156">
        <v>621</v>
      </c>
      <c r="E32" s="156">
        <v>621</v>
      </c>
      <c r="F32" s="159">
        <v>0</v>
      </c>
      <c r="G32" s="156">
        <v>836</v>
      </c>
      <c r="H32" s="156">
        <v>107</v>
      </c>
      <c r="I32" s="158">
        <v>730</v>
      </c>
      <c r="J32" s="156">
        <v>730</v>
      </c>
      <c r="K32" s="162">
        <v>0</v>
      </c>
      <c r="L32" s="163">
        <v>0</v>
      </c>
      <c r="M32" s="158">
        <v>904</v>
      </c>
      <c r="N32" s="158">
        <v>112</v>
      </c>
      <c r="O32" s="158">
        <v>792</v>
      </c>
      <c r="P32" s="158">
        <v>792</v>
      </c>
      <c r="Q32" s="159">
        <v>0</v>
      </c>
      <c r="R32" s="160">
        <v>1063</v>
      </c>
      <c r="S32" s="156">
        <v>157</v>
      </c>
      <c r="T32" s="158">
        <v>906</v>
      </c>
      <c r="U32" s="158">
        <v>906</v>
      </c>
      <c r="V32" s="162">
        <v>0</v>
      </c>
      <c r="W32" s="215" t="s">
        <v>305</v>
      </c>
      <c r="AD32" s="255"/>
      <c r="AE32" s="255"/>
      <c r="AF32" s="255"/>
      <c r="AG32" s="255"/>
      <c r="AH32" s="255"/>
    </row>
    <row r="33" spans="1:34" ht="18.75" customHeight="1" x14ac:dyDescent="0.25">
      <c r="A33" s="205" t="s">
        <v>178</v>
      </c>
      <c r="B33" s="160">
        <v>4751</v>
      </c>
      <c r="C33" s="158">
        <v>268</v>
      </c>
      <c r="D33" s="158">
        <v>4482</v>
      </c>
      <c r="E33" s="158">
        <v>4482</v>
      </c>
      <c r="F33" s="159">
        <v>0</v>
      </c>
      <c r="G33" s="158">
        <v>5184</v>
      </c>
      <c r="H33" s="158">
        <v>269</v>
      </c>
      <c r="I33" s="158">
        <v>4916</v>
      </c>
      <c r="J33" s="158">
        <v>4916</v>
      </c>
      <c r="K33" s="159">
        <v>0</v>
      </c>
      <c r="L33" s="160">
        <v>0</v>
      </c>
      <c r="M33" s="158">
        <v>5234</v>
      </c>
      <c r="N33" s="158">
        <v>288</v>
      </c>
      <c r="O33" s="158">
        <v>4946</v>
      </c>
      <c r="P33" s="158">
        <v>4946</v>
      </c>
      <c r="Q33" s="159">
        <v>0</v>
      </c>
      <c r="R33" s="160">
        <v>5829</v>
      </c>
      <c r="S33" s="156">
        <v>507</v>
      </c>
      <c r="T33" s="158">
        <v>5322</v>
      </c>
      <c r="U33" s="158">
        <v>5322</v>
      </c>
      <c r="V33" s="162">
        <v>0</v>
      </c>
      <c r="W33" s="215" t="s">
        <v>179</v>
      </c>
      <c r="AD33" s="255"/>
      <c r="AE33" s="255"/>
      <c r="AF33" s="255"/>
      <c r="AG33" s="255"/>
      <c r="AH33" s="255"/>
    </row>
    <row r="34" spans="1:34" ht="18.75" customHeight="1" x14ac:dyDescent="0.25">
      <c r="A34" s="205" t="s">
        <v>180</v>
      </c>
      <c r="B34" s="163">
        <v>256</v>
      </c>
      <c r="C34" s="158">
        <v>118</v>
      </c>
      <c r="D34" s="158">
        <v>138</v>
      </c>
      <c r="E34" s="158">
        <v>138</v>
      </c>
      <c r="F34" s="159">
        <v>0</v>
      </c>
      <c r="G34" s="156">
        <v>259</v>
      </c>
      <c r="H34" s="158">
        <v>119</v>
      </c>
      <c r="I34" s="158">
        <v>140</v>
      </c>
      <c r="J34" s="156">
        <v>140</v>
      </c>
      <c r="K34" s="159">
        <v>0</v>
      </c>
      <c r="L34" s="160">
        <v>0</v>
      </c>
      <c r="M34" s="158">
        <v>267</v>
      </c>
      <c r="N34" s="158">
        <v>121</v>
      </c>
      <c r="O34" s="158">
        <v>146</v>
      </c>
      <c r="P34" s="158">
        <v>146</v>
      </c>
      <c r="Q34" s="159">
        <v>0</v>
      </c>
      <c r="R34" s="160">
        <v>280</v>
      </c>
      <c r="S34" s="158">
        <v>132</v>
      </c>
      <c r="T34" s="158">
        <v>148</v>
      </c>
      <c r="U34" s="158">
        <v>148</v>
      </c>
      <c r="V34" s="159">
        <v>0</v>
      </c>
      <c r="W34" s="215" t="s">
        <v>181</v>
      </c>
      <c r="AD34" s="255"/>
      <c r="AE34" s="255"/>
      <c r="AF34" s="255"/>
      <c r="AG34" s="255"/>
      <c r="AH34" s="255"/>
    </row>
    <row r="35" spans="1:34" ht="18.75" customHeight="1" x14ac:dyDescent="0.25">
      <c r="A35" s="205" t="s">
        <v>182</v>
      </c>
      <c r="B35" s="160">
        <v>4019</v>
      </c>
      <c r="C35" s="158">
        <v>303</v>
      </c>
      <c r="D35" s="158">
        <v>3716</v>
      </c>
      <c r="E35" s="158">
        <v>988</v>
      </c>
      <c r="F35" s="159">
        <v>2728</v>
      </c>
      <c r="G35" s="158">
        <v>4364</v>
      </c>
      <c r="H35" s="158">
        <v>339</v>
      </c>
      <c r="I35" s="158">
        <v>4025</v>
      </c>
      <c r="J35" s="158">
        <v>1083</v>
      </c>
      <c r="K35" s="159">
        <v>2942</v>
      </c>
      <c r="L35" s="160">
        <v>0</v>
      </c>
      <c r="M35" s="158">
        <v>4406</v>
      </c>
      <c r="N35" s="158">
        <v>348</v>
      </c>
      <c r="O35" s="158">
        <v>4058</v>
      </c>
      <c r="P35" s="158">
        <v>1145</v>
      </c>
      <c r="Q35" s="159">
        <v>2913</v>
      </c>
      <c r="R35" s="160">
        <v>4974</v>
      </c>
      <c r="S35" s="156">
        <v>645</v>
      </c>
      <c r="T35" s="158">
        <v>4330</v>
      </c>
      <c r="U35" s="158">
        <v>1281</v>
      </c>
      <c r="V35" s="162">
        <v>3048</v>
      </c>
      <c r="W35" s="215" t="s">
        <v>183</v>
      </c>
      <c r="AD35" s="255"/>
      <c r="AE35" s="255"/>
      <c r="AF35" s="255"/>
      <c r="AG35" s="255"/>
      <c r="AH35" s="255"/>
    </row>
    <row r="36" spans="1:34" ht="18.75" customHeight="1" x14ac:dyDescent="0.25">
      <c r="A36" s="205" t="s">
        <v>184</v>
      </c>
      <c r="B36" s="160">
        <v>2870</v>
      </c>
      <c r="C36" s="158">
        <v>2516</v>
      </c>
      <c r="D36" s="158">
        <v>354</v>
      </c>
      <c r="E36" s="158">
        <v>354</v>
      </c>
      <c r="F36" s="159">
        <v>0</v>
      </c>
      <c r="G36" s="158">
        <v>2866</v>
      </c>
      <c r="H36" s="158">
        <v>2500</v>
      </c>
      <c r="I36" s="158">
        <v>366</v>
      </c>
      <c r="J36" s="158">
        <v>366</v>
      </c>
      <c r="K36" s="159">
        <v>0</v>
      </c>
      <c r="L36" s="160">
        <v>0</v>
      </c>
      <c r="M36" s="158">
        <v>2862</v>
      </c>
      <c r="N36" s="158">
        <v>2492</v>
      </c>
      <c r="O36" s="158">
        <v>370</v>
      </c>
      <c r="P36" s="158">
        <v>370</v>
      </c>
      <c r="Q36" s="159">
        <v>0</v>
      </c>
      <c r="R36" s="160">
        <v>3044</v>
      </c>
      <c r="S36" s="156">
        <v>2674</v>
      </c>
      <c r="T36" s="158">
        <v>371</v>
      </c>
      <c r="U36" s="158">
        <v>371</v>
      </c>
      <c r="V36" s="162">
        <v>0</v>
      </c>
      <c r="W36" s="215" t="s">
        <v>185</v>
      </c>
      <c r="AD36" s="255"/>
      <c r="AE36" s="255"/>
      <c r="AF36" s="255"/>
      <c r="AG36" s="255"/>
      <c r="AH36" s="255"/>
    </row>
    <row r="37" spans="1:34" ht="18.75" customHeight="1" x14ac:dyDescent="0.25">
      <c r="A37" s="205" t="s">
        <v>186</v>
      </c>
      <c r="B37" s="160">
        <v>6629</v>
      </c>
      <c r="C37" s="158">
        <v>6629</v>
      </c>
      <c r="D37" s="158">
        <v>0</v>
      </c>
      <c r="E37" s="158">
        <v>0</v>
      </c>
      <c r="F37" s="159">
        <v>0</v>
      </c>
      <c r="G37" s="158">
        <v>7068</v>
      </c>
      <c r="H37" s="158">
        <v>7068</v>
      </c>
      <c r="I37" s="158">
        <v>0</v>
      </c>
      <c r="J37" s="158">
        <v>0</v>
      </c>
      <c r="K37" s="159">
        <v>0</v>
      </c>
      <c r="L37" s="160">
        <v>0</v>
      </c>
      <c r="M37" s="158">
        <v>6838</v>
      </c>
      <c r="N37" s="158">
        <v>6838</v>
      </c>
      <c r="O37" s="158">
        <v>0</v>
      </c>
      <c r="P37" s="158">
        <v>0</v>
      </c>
      <c r="Q37" s="159">
        <v>0</v>
      </c>
      <c r="R37" s="160">
        <v>6712</v>
      </c>
      <c r="S37" s="158">
        <v>6712</v>
      </c>
      <c r="T37" s="158">
        <v>0</v>
      </c>
      <c r="U37" s="158">
        <v>0</v>
      </c>
      <c r="V37" s="159">
        <v>0</v>
      </c>
      <c r="W37" s="215" t="s">
        <v>187</v>
      </c>
      <c r="AD37" s="255"/>
      <c r="AE37" s="255"/>
      <c r="AF37" s="255"/>
      <c r="AG37" s="255"/>
      <c r="AH37" s="255"/>
    </row>
    <row r="38" spans="1:34" ht="18.75" customHeight="1" x14ac:dyDescent="0.25">
      <c r="A38" s="205" t="s">
        <v>188</v>
      </c>
      <c r="B38" s="160">
        <v>630</v>
      </c>
      <c r="C38" s="158">
        <v>94</v>
      </c>
      <c r="D38" s="158">
        <v>536</v>
      </c>
      <c r="E38" s="158">
        <v>532</v>
      </c>
      <c r="F38" s="159">
        <v>4</v>
      </c>
      <c r="G38" s="158">
        <v>700</v>
      </c>
      <c r="H38" s="158">
        <v>98</v>
      </c>
      <c r="I38" s="158">
        <v>602</v>
      </c>
      <c r="J38" s="158">
        <v>598</v>
      </c>
      <c r="K38" s="159">
        <v>4</v>
      </c>
      <c r="L38" s="160">
        <v>0</v>
      </c>
      <c r="M38" s="158">
        <v>728</v>
      </c>
      <c r="N38" s="158">
        <v>101</v>
      </c>
      <c r="O38" s="158">
        <v>627</v>
      </c>
      <c r="P38" s="158">
        <v>623</v>
      </c>
      <c r="Q38" s="159">
        <v>4</v>
      </c>
      <c r="R38" s="160">
        <v>750</v>
      </c>
      <c r="S38" s="156">
        <v>102</v>
      </c>
      <c r="T38" s="158">
        <v>648</v>
      </c>
      <c r="U38" s="158">
        <v>644</v>
      </c>
      <c r="V38" s="162">
        <v>4</v>
      </c>
      <c r="W38" s="215" t="s">
        <v>189</v>
      </c>
      <c r="AD38" s="255"/>
      <c r="AE38" s="255"/>
      <c r="AF38" s="255"/>
      <c r="AG38" s="255"/>
      <c r="AH38" s="255"/>
    </row>
    <row r="39" spans="1:34" ht="18.75" customHeight="1" x14ac:dyDescent="0.25">
      <c r="A39" s="205" t="s">
        <v>190</v>
      </c>
      <c r="B39" s="160">
        <v>1220</v>
      </c>
      <c r="C39" s="158">
        <v>1172</v>
      </c>
      <c r="D39" s="158">
        <v>48</v>
      </c>
      <c r="E39" s="158">
        <v>48</v>
      </c>
      <c r="F39" s="159">
        <v>0</v>
      </c>
      <c r="G39" s="158">
        <v>1351</v>
      </c>
      <c r="H39" s="158">
        <v>1299</v>
      </c>
      <c r="I39" s="158">
        <v>53</v>
      </c>
      <c r="J39" s="158">
        <v>53</v>
      </c>
      <c r="K39" s="159">
        <v>0</v>
      </c>
      <c r="L39" s="160">
        <v>0</v>
      </c>
      <c r="M39" s="158">
        <v>1342</v>
      </c>
      <c r="N39" s="158">
        <v>1290</v>
      </c>
      <c r="O39" s="158">
        <v>52</v>
      </c>
      <c r="P39" s="158">
        <v>52</v>
      </c>
      <c r="Q39" s="159">
        <v>0</v>
      </c>
      <c r="R39" s="160">
        <v>1496</v>
      </c>
      <c r="S39" s="158">
        <v>1440</v>
      </c>
      <c r="T39" s="158">
        <v>56</v>
      </c>
      <c r="U39" s="158">
        <v>56</v>
      </c>
      <c r="V39" s="159">
        <v>0</v>
      </c>
      <c r="W39" s="215" t="s">
        <v>191</v>
      </c>
      <c r="AD39" s="255"/>
      <c r="AE39" s="255"/>
      <c r="AF39" s="255"/>
      <c r="AG39" s="255"/>
      <c r="AH39" s="255"/>
    </row>
    <row r="40" spans="1:34" ht="18.75" customHeight="1" x14ac:dyDescent="0.25">
      <c r="A40" s="205" t="s">
        <v>498</v>
      </c>
      <c r="B40" s="160">
        <v>1418</v>
      </c>
      <c r="C40" s="158">
        <v>1075</v>
      </c>
      <c r="D40" s="158">
        <v>218</v>
      </c>
      <c r="E40" s="158">
        <v>218</v>
      </c>
      <c r="F40" s="159">
        <v>0</v>
      </c>
      <c r="G40" s="160">
        <v>1502</v>
      </c>
      <c r="H40" s="158">
        <v>1136</v>
      </c>
      <c r="I40" s="158">
        <v>230</v>
      </c>
      <c r="J40" s="158">
        <v>230</v>
      </c>
      <c r="K40" s="159">
        <v>0</v>
      </c>
      <c r="L40" s="160">
        <v>0</v>
      </c>
      <c r="M40" s="158">
        <v>1657</v>
      </c>
      <c r="N40" s="158">
        <v>1260</v>
      </c>
      <c r="O40" s="158">
        <v>256</v>
      </c>
      <c r="P40" s="158">
        <v>256</v>
      </c>
      <c r="Q40" s="159">
        <v>0</v>
      </c>
      <c r="R40" s="160">
        <v>2253</v>
      </c>
      <c r="S40" s="158">
        <v>1838</v>
      </c>
      <c r="T40" s="158">
        <v>284</v>
      </c>
      <c r="U40" s="158">
        <v>284</v>
      </c>
      <c r="V40" s="159">
        <v>0</v>
      </c>
      <c r="W40" s="215" t="s">
        <v>499</v>
      </c>
    </row>
    <row r="41" spans="1:34" ht="18.75" customHeight="1" x14ac:dyDescent="0.25">
      <c r="A41" s="205" t="s">
        <v>192</v>
      </c>
      <c r="B41" s="160">
        <v>950</v>
      </c>
      <c r="C41" s="158">
        <v>29</v>
      </c>
      <c r="D41" s="158">
        <v>921</v>
      </c>
      <c r="E41" s="158">
        <v>921</v>
      </c>
      <c r="F41" s="159">
        <v>0</v>
      </c>
      <c r="G41" s="158">
        <v>1041</v>
      </c>
      <c r="H41" s="158">
        <v>30</v>
      </c>
      <c r="I41" s="158">
        <v>1011</v>
      </c>
      <c r="J41" s="158">
        <v>1011</v>
      </c>
      <c r="K41" s="159">
        <v>0</v>
      </c>
      <c r="L41" s="160">
        <v>0</v>
      </c>
      <c r="M41" s="158">
        <v>1070</v>
      </c>
      <c r="N41" s="158">
        <v>33</v>
      </c>
      <c r="O41" s="158">
        <v>1038</v>
      </c>
      <c r="P41" s="158">
        <v>1038</v>
      </c>
      <c r="Q41" s="159">
        <v>0</v>
      </c>
      <c r="R41" s="160">
        <v>1118</v>
      </c>
      <c r="S41" s="156">
        <v>63</v>
      </c>
      <c r="T41" s="158">
        <v>1055</v>
      </c>
      <c r="U41" s="158">
        <v>1055</v>
      </c>
      <c r="V41" s="162">
        <v>0</v>
      </c>
      <c r="W41" s="215" t="s">
        <v>193</v>
      </c>
      <c r="AD41" s="255"/>
      <c r="AE41" s="255"/>
      <c r="AF41" s="255"/>
      <c r="AG41" s="255"/>
      <c r="AH41" s="255"/>
    </row>
    <row r="42" spans="1:34" ht="18.75" customHeight="1" x14ac:dyDescent="0.25">
      <c r="A42" s="205" t="s">
        <v>194</v>
      </c>
      <c r="B42" s="163">
        <v>1389</v>
      </c>
      <c r="C42" s="156">
        <v>65</v>
      </c>
      <c r="D42" s="156">
        <v>1324</v>
      </c>
      <c r="E42" s="156" t="s">
        <v>57</v>
      </c>
      <c r="F42" s="159" t="s">
        <v>57</v>
      </c>
      <c r="G42" s="156">
        <v>1575</v>
      </c>
      <c r="H42" s="156">
        <v>73</v>
      </c>
      <c r="I42" s="158">
        <v>1501</v>
      </c>
      <c r="J42" s="156">
        <v>1501</v>
      </c>
      <c r="K42" s="162">
        <v>0</v>
      </c>
      <c r="L42" s="163">
        <v>0</v>
      </c>
      <c r="M42" s="158">
        <v>1609</v>
      </c>
      <c r="N42" s="158">
        <v>93</v>
      </c>
      <c r="O42" s="158">
        <v>1516</v>
      </c>
      <c r="P42" s="158">
        <v>1516</v>
      </c>
      <c r="Q42" s="159">
        <v>0</v>
      </c>
      <c r="R42" s="160">
        <v>1763</v>
      </c>
      <c r="S42" s="156">
        <v>219</v>
      </c>
      <c r="T42" s="158">
        <v>1544</v>
      </c>
      <c r="U42" s="158">
        <v>1544</v>
      </c>
      <c r="V42" s="162">
        <v>0</v>
      </c>
      <c r="W42" s="215" t="s">
        <v>195</v>
      </c>
      <c r="AD42" s="255"/>
      <c r="AE42" s="255"/>
      <c r="AF42" s="255"/>
      <c r="AG42" s="255"/>
      <c r="AH42" s="255"/>
    </row>
    <row r="43" spans="1:34" ht="18.75" customHeight="1" x14ac:dyDescent="0.25">
      <c r="A43" s="205" t="s">
        <v>196</v>
      </c>
      <c r="B43" s="160">
        <v>1779</v>
      </c>
      <c r="C43" s="158">
        <v>1676</v>
      </c>
      <c r="D43" s="158">
        <v>103</v>
      </c>
      <c r="E43" s="158">
        <v>103</v>
      </c>
      <c r="F43" s="159">
        <v>0</v>
      </c>
      <c r="G43" s="158">
        <v>1921</v>
      </c>
      <c r="H43" s="158">
        <v>1807</v>
      </c>
      <c r="I43" s="158">
        <v>114</v>
      </c>
      <c r="J43" s="158">
        <v>114</v>
      </c>
      <c r="K43" s="159">
        <v>0</v>
      </c>
      <c r="L43" s="160">
        <v>0</v>
      </c>
      <c r="M43" s="158">
        <v>1906</v>
      </c>
      <c r="N43" s="158">
        <v>1797</v>
      </c>
      <c r="O43" s="158">
        <v>109</v>
      </c>
      <c r="P43" s="158">
        <v>109</v>
      </c>
      <c r="Q43" s="159">
        <v>0</v>
      </c>
      <c r="R43" s="160">
        <v>2119</v>
      </c>
      <c r="S43" s="158">
        <v>2011</v>
      </c>
      <c r="T43" s="158">
        <v>108</v>
      </c>
      <c r="U43" s="158">
        <v>108</v>
      </c>
      <c r="V43" s="159">
        <v>0</v>
      </c>
      <c r="W43" s="215" t="s">
        <v>197</v>
      </c>
      <c r="AD43" s="255"/>
      <c r="AE43" s="255"/>
      <c r="AF43" s="255"/>
      <c r="AG43" s="255"/>
      <c r="AH43" s="255"/>
    </row>
    <row r="44" spans="1:34" ht="18.75" customHeight="1" x14ac:dyDescent="0.25">
      <c r="A44" s="205" t="s">
        <v>198</v>
      </c>
      <c r="B44" s="160">
        <v>4933</v>
      </c>
      <c r="C44" s="158">
        <v>4933</v>
      </c>
      <c r="D44" s="158">
        <v>0</v>
      </c>
      <c r="E44" s="158">
        <v>0</v>
      </c>
      <c r="F44" s="159">
        <v>0</v>
      </c>
      <c r="G44" s="158">
        <v>5077</v>
      </c>
      <c r="H44" s="158">
        <v>5077</v>
      </c>
      <c r="I44" s="158">
        <v>0</v>
      </c>
      <c r="J44" s="158">
        <v>0</v>
      </c>
      <c r="K44" s="159">
        <v>0</v>
      </c>
      <c r="L44" s="160">
        <v>0</v>
      </c>
      <c r="M44" s="158">
        <v>4805</v>
      </c>
      <c r="N44" s="158">
        <v>4805</v>
      </c>
      <c r="O44" s="158">
        <v>0</v>
      </c>
      <c r="P44" s="158">
        <v>0</v>
      </c>
      <c r="Q44" s="159">
        <v>0</v>
      </c>
      <c r="R44" s="160">
        <v>5177</v>
      </c>
      <c r="S44" s="158">
        <v>5177</v>
      </c>
      <c r="T44" s="158">
        <v>0</v>
      </c>
      <c r="U44" s="158">
        <v>0</v>
      </c>
      <c r="V44" s="159">
        <v>0</v>
      </c>
      <c r="W44" s="215" t="s">
        <v>199</v>
      </c>
      <c r="AD44" s="255"/>
      <c r="AE44" s="255"/>
      <c r="AF44" s="255"/>
      <c r="AG44" s="255"/>
      <c r="AH44" s="255"/>
    </row>
    <row r="45" spans="1:34" ht="18.75" customHeight="1" x14ac:dyDescent="0.25">
      <c r="A45" s="205" t="s">
        <v>200</v>
      </c>
      <c r="B45" s="160">
        <v>6379</v>
      </c>
      <c r="C45" s="158">
        <v>2270</v>
      </c>
      <c r="D45" s="158">
        <v>4109</v>
      </c>
      <c r="E45" s="158">
        <v>284</v>
      </c>
      <c r="F45" s="159">
        <v>3825</v>
      </c>
      <c r="G45" s="158">
        <v>6392</v>
      </c>
      <c r="H45" s="158">
        <v>2270</v>
      </c>
      <c r="I45" s="158">
        <v>4122</v>
      </c>
      <c r="J45" s="158">
        <v>289</v>
      </c>
      <c r="K45" s="159">
        <v>3833</v>
      </c>
      <c r="L45" s="160">
        <v>0</v>
      </c>
      <c r="M45" s="158">
        <v>6502</v>
      </c>
      <c r="N45" s="158">
        <v>2274</v>
      </c>
      <c r="O45" s="158">
        <v>4228</v>
      </c>
      <c r="P45" s="158">
        <v>304</v>
      </c>
      <c r="Q45" s="159">
        <v>3924</v>
      </c>
      <c r="R45" s="160">
        <v>7156</v>
      </c>
      <c r="S45" s="156">
        <v>2658</v>
      </c>
      <c r="T45" s="158">
        <v>4498</v>
      </c>
      <c r="U45" s="158">
        <v>327</v>
      </c>
      <c r="V45" s="162">
        <v>4171</v>
      </c>
      <c r="W45" s="215" t="s">
        <v>201</v>
      </c>
      <c r="AD45" s="255"/>
      <c r="AE45" s="255"/>
      <c r="AF45" s="255"/>
      <c r="AG45" s="255"/>
      <c r="AH45" s="255"/>
    </row>
    <row r="46" spans="1:34" ht="18.75" customHeight="1" x14ac:dyDescent="0.25">
      <c r="A46" s="205" t="s">
        <v>202</v>
      </c>
      <c r="B46" s="160">
        <v>347</v>
      </c>
      <c r="C46" s="158">
        <v>99</v>
      </c>
      <c r="D46" s="158">
        <v>249</v>
      </c>
      <c r="E46" s="158">
        <v>249</v>
      </c>
      <c r="F46" s="159">
        <v>0</v>
      </c>
      <c r="G46" s="158">
        <v>305</v>
      </c>
      <c r="H46" s="158">
        <v>90</v>
      </c>
      <c r="I46" s="158">
        <v>215</v>
      </c>
      <c r="J46" s="158">
        <v>215</v>
      </c>
      <c r="K46" s="159">
        <v>0</v>
      </c>
      <c r="L46" s="160">
        <v>0</v>
      </c>
      <c r="M46" s="158">
        <v>312</v>
      </c>
      <c r="N46" s="158">
        <v>94</v>
      </c>
      <c r="O46" s="158">
        <v>218</v>
      </c>
      <c r="P46" s="158">
        <v>218</v>
      </c>
      <c r="Q46" s="159">
        <v>0</v>
      </c>
      <c r="R46" s="160">
        <v>314</v>
      </c>
      <c r="S46" s="156">
        <v>99</v>
      </c>
      <c r="T46" s="158">
        <v>215</v>
      </c>
      <c r="U46" s="158">
        <v>215</v>
      </c>
      <c r="V46" s="162">
        <v>0</v>
      </c>
      <c r="W46" s="215" t="s">
        <v>401</v>
      </c>
      <c r="AD46" s="255"/>
      <c r="AE46" s="255"/>
      <c r="AF46" s="255"/>
      <c r="AG46" s="255"/>
      <c r="AH46" s="255"/>
    </row>
    <row r="47" spans="1:34" ht="18.75" customHeight="1" x14ac:dyDescent="0.25">
      <c r="A47" s="205" t="s">
        <v>203</v>
      </c>
      <c r="B47" s="160">
        <v>3111</v>
      </c>
      <c r="C47" s="158">
        <v>3111</v>
      </c>
      <c r="D47" s="158">
        <v>0</v>
      </c>
      <c r="E47" s="158">
        <v>0</v>
      </c>
      <c r="F47" s="159">
        <v>0</v>
      </c>
      <c r="G47" s="158">
        <v>3340</v>
      </c>
      <c r="H47" s="158">
        <v>3340</v>
      </c>
      <c r="I47" s="158">
        <v>0</v>
      </c>
      <c r="J47" s="158">
        <v>0</v>
      </c>
      <c r="K47" s="159">
        <v>0</v>
      </c>
      <c r="L47" s="160">
        <v>0</v>
      </c>
      <c r="M47" s="158">
        <v>3375</v>
      </c>
      <c r="N47" s="158">
        <v>3375</v>
      </c>
      <c r="O47" s="158">
        <v>0</v>
      </c>
      <c r="P47" s="158">
        <v>0</v>
      </c>
      <c r="Q47" s="159">
        <v>0</v>
      </c>
      <c r="R47" s="160">
        <v>4084</v>
      </c>
      <c r="S47" s="158">
        <v>4084</v>
      </c>
      <c r="T47" s="158">
        <v>0</v>
      </c>
      <c r="U47" s="158">
        <v>0</v>
      </c>
      <c r="V47" s="159">
        <v>0</v>
      </c>
      <c r="W47" s="215" t="s">
        <v>204</v>
      </c>
      <c r="AD47" s="255"/>
      <c r="AE47" s="255"/>
      <c r="AF47" s="255"/>
      <c r="AG47" s="255"/>
      <c r="AH47" s="255"/>
    </row>
    <row r="48" spans="1:34" ht="18.75" customHeight="1" x14ac:dyDescent="0.25">
      <c r="A48" s="206" t="s">
        <v>205</v>
      </c>
      <c r="B48" s="157">
        <v>8321</v>
      </c>
      <c r="C48" s="157">
        <v>2685</v>
      </c>
      <c r="D48" s="157">
        <v>5636</v>
      </c>
      <c r="E48" s="157">
        <v>2321</v>
      </c>
      <c r="F48" s="214">
        <v>3315</v>
      </c>
      <c r="G48" s="157">
        <v>8653</v>
      </c>
      <c r="H48" s="157">
        <v>2760</v>
      </c>
      <c r="I48" s="157">
        <v>5893</v>
      </c>
      <c r="J48" s="157">
        <v>2453</v>
      </c>
      <c r="K48" s="214">
        <v>3440</v>
      </c>
      <c r="L48" s="163">
        <v>0</v>
      </c>
      <c r="M48" s="157">
        <v>8979</v>
      </c>
      <c r="N48" s="157">
        <v>2868</v>
      </c>
      <c r="O48" s="157">
        <v>6111</v>
      </c>
      <c r="P48" s="157">
        <v>2600</v>
      </c>
      <c r="Q48" s="214">
        <v>3511</v>
      </c>
      <c r="R48" s="161">
        <v>10071</v>
      </c>
      <c r="S48" s="157">
        <v>3961</v>
      </c>
      <c r="T48" s="157">
        <v>6110</v>
      </c>
      <c r="U48" s="157">
        <v>2647</v>
      </c>
      <c r="V48" s="214">
        <v>3463</v>
      </c>
      <c r="W48" s="216" t="s">
        <v>206</v>
      </c>
      <c r="AD48" s="255"/>
      <c r="AE48" s="255"/>
      <c r="AF48" s="255"/>
      <c r="AG48" s="255"/>
      <c r="AH48" s="255"/>
    </row>
    <row r="49" spans="1:23" s="227" customFormat="1" ht="14.1" customHeight="1" x14ac:dyDescent="0.2">
      <c r="A49" s="744" t="s">
        <v>624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614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</row>
    <row r="50" spans="1:23" s="151" customFormat="1" ht="14.1" customHeight="1" x14ac:dyDescent="0.25">
      <c r="A50" s="738" t="s">
        <v>609</v>
      </c>
      <c r="B50" s="738"/>
      <c r="C50" s="738"/>
      <c r="D50" s="738"/>
      <c r="E50" s="738"/>
      <c r="F50" s="738"/>
      <c r="G50" s="738"/>
      <c r="H50" s="738"/>
      <c r="I50" s="738"/>
      <c r="J50" s="738"/>
      <c r="K50" s="274"/>
      <c r="L50" s="274"/>
      <c r="M50" s="739" t="s">
        <v>610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23" s="203" customFormat="1" ht="12" x14ac:dyDescent="0.2">
      <c r="A51" s="203" t="s">
        <v>618</v>
      </c>
      <c r="M51" s="203" t="s">
        <v>611</v>
      </c>
    </row>
    <row r="52" spans="1:23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</row>
  </sheetData>
  <mergeCells count="32">
    <mergeCell ref="R5:R7"/>
    <mergeCell ref="G5:G7"/>
    <mergeCell ref="N5:Q5"/>
    <mergeCell ref="M5:M7"/>
    <mergeCell ref="A1:K1"/>
    <mergeCell ref="M1:W1"/>
    <mergeCell ref="A3:A8"/>
    <mergeCell ref="B3:F3"/>
    <mergeCell ref="G3:K3"/>
    <mergeCell ref="M3:Q3"/>
    <mergeCell ref="R3:V3"/>
    <mergeCell ref="W3:W8"/>
    <mergeCell ref="B4:F4"/>
    <mergeCell ref="G4:K4"/>
    <mergeCell ref="M4:Q4"/>
    <mergeCell ref="B5:B7"/>
    <mergeCell ref="M49:W49"/>
    <mergeCell ref="R4:V4"/>
    <mergeCell ref="H5:K5"/>
    <mergeCell ref="A49:K49"/>
    <mergeCell ref="M50:W50"/>
    <mergeCell ref="C5:F5"/>
    <mergeCell ref="A50:J50"/>
    <mergeCell ref="S5:V5"/>
    <mergeCell ref="C6:C7"/>
    <mergeCell ref="D6:D7"/>
    <mergeCell ref="H6:H7"/>
    <mergeCell ref="I6:I7"/>
    <mergeCell ref="N6:N7"/>
    <mergeCell ref="O6:O7"/>
    <mergeCell ref="S6:S7"/>
    <mergeCell ref="T6:T7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528F-852C-4766-837F-8821D67953F2}">
  <sheetPr>
    <tabColor theme="9"/>
  </sheetPr>
  <dimension ref="A1:AH52"/>
  <sheetViews>
    <sheetView view="pageBreakPreview" zoomScale="70" zoomScaleNormal="70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R9" sqref="R9"/>
    </sheetView>
  </sheetViews>
  <sheetFormatPr defaultColWidth="9" defaultRowHeight="15.75" x14ac:dyDescent="0.25"/>
  <cols>
    <col min="1" max="1" width="12" style="21" customWidth="1"/>
    <col min="2" max="2" width="10.75" style="21" customWidth="1"/>
    <col min="3" max="3" width="9.875" style="21" customWidth="1"/>
    <col min="4" max="5" width="10.75" style="21" customWidth="1"/>
    <col min="6" max="6" width="9.75" style="21" customWidth="1"/>
    <col min="7" max="7" width="10.75" style="21" customWidth="1"/>
    <col min="8" max="8" width="10.25" style="21" customWidth="1"/>
    <col min="9" max="11" width="10.75" style="21" customWidth="1"/>
    <col min="12" max="12" width="0.375" style="21" customWidth="1"/>
    <col min="13" max="13" width="10.75" style="21" customWidth="1"/>
    <col min="14" max="14" width="10" style="21" customWidth="1"/>
    <col min="15" max="22" width="10.75" style="21" customWidth="1"/>
    <col min="23" max="23" width="11.875" style="21" customWidth="1"/>
    <col min="24" max="16384" width="9" style="21"/>
  </cols>
  <sheetData>
    <row r="1" spans="1:34" ht="23.45" customHeight="1" x14ac:dyDescent="0.25">
      <c r="A1" s="759" t="s">
        <v>651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280"/>
      <c r="M1" s="761" t="s">
        <v>640</v>
      </c>
      <c r="N1" s="761"/>
      <c r="O1" s="761"/>
      <c r="P1" s="761"/>
      <c r="Q1" s="761"/>
      <c r="R1" s="761"/>
      <c r="S1" s="761"/>
      <c r="T1" s="761"/>
      <c r="U1" s="761"/>
      <c r="V1" s="761"/>
      <c r="W1" s="761"/>
    </row>
    <row r="2" spans="1:34" ht="16.149999999999999" customHeight="1" x14ac:dyDescent="0.25">
      <c r="A2" s="275" t="s">
        <v>616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9"/>
      <c r="O2" s="49"/>
      <c r="P2" s="49"/>
      <c r="Q2" s="49"/>
      <c r="R2" s="49"/>
      <c r="S2" s="49"/>
      <c r="T2" s="771" t="s">
        <v>617</v>
      </c>
      <c r="U2" s="771"/>
      <c r="V2" s="771"/>
      <c r="W2" s="771"/>
    </row>
    <row r="3" spans="1:34" s="22" customFormat="1" ht="15.6" customHeight="1" x14ac:dyDescent="0.25">
      <c r="A3" s="762" t="s">
        <v>469</v>
      </c>
      <c r="B3" s="765" t="s">
        <v>494</v>
      </c>
      <c r="C3" s="766"/>
      <c r="D3" s="766"/>
      <c r="E3" s="766"/>
      <c r="F3" s="767"/>
      <c r="G3" s="765" t="s">
        <v>495</v>
      </c>
      <c r="H3" s="766"/>
      <c r="I3" s="766"/>
      <c r="J3" s="766"/>
      <c r="K3" s="767"/>
      <c r="L3" s="290"/>
      <c r="M3" s="766" t="s">
        <v>549</v>
      </c>
      <c r="N3" s="766"/>
      <c r="O3" s="766"/>
      <c r="P3" s="766"/>
      <c r="Q3" s="767"/>
      <c r="R3" s="765" t="s">
        <v>578</v>
      </c>
      <c r="S3" s="766"/>
      <c r="T3" s="766"/>
      <c r="U3" s="766"/>
      <c r="V3" s="767"/>
      <c r="W3" s="768" t="s">
        <v>470</v>
      </c>
    </row>
    <row r="4" spans="1:34" ht="14.45" customHeight="1" x14ac:dyDescent="0.25">
      <c r="A4" s="763"/>
      <c r="B4" s="756">
        <v>2021</v>
      </c>
      <c r="C4" s="757"/>
      <c r="D4" s="757"/>
      <c r="E4" s="757"/>
      <c r="F4" s="758"/>
      <c r="G4" s="756">
        <v>2022</v>
      </c>
      <c r="H4" s="757"/>
      <c r="I4" s="757"/>
      <c r="J4" s="757"/>
      <c r="K4" s="758"/>
      <c r="L4" s="290"/>
      <c r="M4" s="757">
        <v>2023</v>
      </c>
      <c r="N4" s="757"/>
      <c r="O4" s="757"/>
      <c r="P4" s="757"/>
      <c r="Q4" s="758"/>
      <c r="R4" s="756">
        <v>2024</v>
      </c>
      <c r="S4" s="757"/>
      <c r="T4" s="757"/>
      <c r="U4" s="757"/>
      <c r="V4" s="758"/>
      <c r="W4" s="769"/>
    </row>
    <row r="5" spans="1:34" ht="15" customHeight="1" x14ac:dyDescent="0.25">
      <c r="A5" s="763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69"/>
    </row>
    <row r="6" spans="1:34" ht="26.25" customHeight="1" x14ac:dyDescent="0.25">
      <c r="A6" s="763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69"/>
    </row>
    <row r="7" spans="1:34" ht="35.25" customHeight="1" x14ac:dyDescent="0.25">
      <c r="A7" s="763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69"/>
    </row>
    <row r="8" spans="1:34" ht="41.25" customHeight="1" x14ac:dyDescent="0.25">
      <c r="A8" s="764"/>
      <c r="B8" s="260" t="s">
        <v>583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583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583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583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70"/>
    </row>
    <row r="9" spans="1:34" ht="18.75" customHeight="1" x14ac:dyDescent="0.25">
      <c r="A9" s="204" t="s">
        <v>136</v>
      </c>
      <c r="B9" s="222">
        <v>1459</v>
      </c>
      <c r="C9" s="223">
        <v>345</v>
      </c>
      <c r="D9" s="223">
        <v>1114</v>
      </c>
      <c r="E9" s="223">
        <v>1114</v>
      </c>
      <c r="F9" s="224">
        <v>0</v>
      </c>
      <c r="G9" s="223">
        <v>1489</v>
      </c>
      <c r="H9" s="223">
        <v>404</v>
      </c>
      <c r="I9" s="262">
        <v>1085</v>
      </c>
      <c r="J9" s="262">
        <v>1085</v>
      </c>
      <c r="K9" s="264">
        <v>0</v>
      </c>
      <c r="L9" s="222"/>
      <c r="M9" s="262">
        <v>1418</v>
      </c>
      <c r="N9" s="263">
        <v>342</v>
      </c>
      <c r="O9" s="263">
        <v>1076</v>
      </c>
      <c r="P9" s="263">
        <v>1076</v>
      </c>
      <c r="Q9" s="264">
        <v>0</v>
      </c>
      <c r="R9" s="305">
        <v>1388</v>
      </c>
      <c r="S9" s="306">
        <v>301</v>
      </c>
      <c r="T9" s="307">
        <v>1087</v>
      </c>
      <c r="U9" s="307">
        <v>1087</v>
      </c>
      <c r="V9" s="308">
        <v>0</v>
      </c>
      <c r="W9" s="215" t="s">
        <v>137</v>
      </c>
    </row>
    <row r="10" spans="1:34" ht="18.75" customHeight="1" x14ac:dyDescent="0.25">
      <c r="A10" s="205" t="s">
        <v>138</v>
      </c>
      <c r="B10" s="160">
        <v>5300</v>
      </c>
      <c r="C10" s="158">
        <v>5227</v>
      </c>
      <c r="D10" s="158">
        <v>73</v>
      </c>
      <c r="E10" s="158">
        <v>0</v>
      </c>
      <c r="F10" s="159">
        <v>73</v>
      </c>
      <c r="G10" s="158">
        <v>4930</v>
      </c>
      <c r="H10" s="158">
        <v>4858</v>
      </c>
      <c r="I10" s="158">
        <v>72</v>
      </c>
      <c r="J10" s="158">
        <v>0</v>
      </c>
      <c r="K10" s="159">
        <v>72</v>
      </c>
      <c r="L10" s="160"/>
      <c r="M10" s="158">
        <v>4732</v>
      </c>
      <c r="N10" s="158" t="s">
        <v>57</v>
      </c>
      <c r="O10" s="158" t="s">
        <v>57</v>
      </c>
      <c r="P10" s="158" t="s">
        <v>57</v>
      </c>
      <c r="Q10" s="159" t="s">
        <v>57</v>
      </c>
      <c r="R10" s="160">
        <v>5029</v>
      </c>
      <c r="S10" s="158" t="s">
        <v>57</v>
      </c>
      <c r="T10" s="158" t="s">
        <v>57</v>
      </c>
      <c r="U10" s="158" t="s">
        <v>57</v>
      </c>
      <c r="V10" s="159" t="s">
        <v>57</v>
      </c>
      <c r="W10" s="215" t="s">
        <v>139</v>
      </c>
      <c r="AD10" s="255"/>
      <c r="AE10" s="255"/>
      <c r="AF10" s="255"/>
      <c r="AG10" s="255"/>
      <c r="AH10" s="255"/>
    </row>
    <row r="11" spans="1:34" ht="18.75" customHeight="1" x14ac:dyDescent="0.25">
      <c r="A11" s="205" t="s">
        <v>140</v>
      </c>
      <c r="B11" s="160">
        <v>5082</v>
      </c>
      <c r="C11" s="158">
        <v>2449</v>
      </c>
      <c r="D11" s="158">
        <v>2633</v>
      </c>
      <c r="E11" s="158">
        <v>2633</v>
      </c>
      <c r="F11" s="159">
        <v>0</v>
      </c>
      <c r="G11" s="158">
        <v>4522</v>
      </c>
      <c r="H11" s="158">
        <v>2033</v>
      </c>
      <c r="I11" s="158">
        <v>2488</v>
      </c>
      <c r="J11" s="158">
        <v>2488</v>
      </c>
      <c r="K11" s="159">
        <v>0</v>
      </c>
      <c r="L11" s="160"/>
      <c r="M11" s="158">
        <v>4791</v>
      </c>
      <c r="N11" s="158">
        <v>2070</v>
      </c>
      <c r="O11" s="158">
        <v>2721</v>
      </c>
      <c r="P11" s="158">
        <v>2721</v>
      </c>
      <c r="Q11" s="159">
        <v>0</v>
      </c>
      <c r="R11" s="160">
        <v>5140</v>
      </c>
      <c r="S11" s="158" t="s">
        <v>57</v>
      </c>
      <c r="T11" s="158" t="s">
        <v>57</v>
      </c>
      <c r="U11" s="158" t="s">
        <v>57</v>
      </c>
      <c r="V11" s="159" t="s">
        <v>57</v>
      </c>
      <c r="W11" s="215" t="s">
        <v>141</v>
      </c>
      <c r="AD11" s="255"/>
      <c r="AE11" s="255"/>
      <c r="AF11" s="255"/>
      <c r="AG11" s="255"/>
      <c r="AH11" s="255"/>
    </row>
    <row r="12" spans="1:34" ht="18.75" customHeight="1" x14ac:dyDescent="0.25">
      <c r="A12" s="205" t="s">
        <v>142</v>
      </c>
      <c r="B12" s="160">
        <v>4381</v>
      </c>
      <c r="C12" s="158">
        <v>1275</v>
      </c>
      <c r="D12" s="158">
        <v>3107</v>
      </c>
      <c r="E12" s="158">
        <v>3104</v>
      </c>
      <c r="F12" s="159">
        <v>2</v>
      </c>
      <c r="G12" s="158">
        <v>4030</v>
      </c>
      <c r="H12" s="158">
        <v>1121</v>
      </c>
      <c r="I12" s="158">
        <v>2909</v>
      </c>
      <c r="J12" s="158">
        <v>2907</v>
      </c>
      <c r="K12" s="159">
        <v>2</v>
      </c>
      <c r="L12" s="160"/>
      <c r="M12" s="158">
        <v>4351</v>
      </c>
      <c r="N12" s="158">
        <v>1089</v>
      </c>
      <c r="O12" s="158">
        <v>3262</v>
      </c>
      <c r="P12" s="158">
        <v>3260</v>
      </c>
      <c r="Q12" s="159">
        <v>2</v>
      </c>
      <c r="R12" s="160">
        <v>4555</v>
      </c>
      <c r="S12" s="158" t="s">
        <v>57</v>
      </c>
      <c r="T12" s="158" t="s">
        <v>57</v>
      </c>
      <c r="U12" s="158" t="s">
        <v>57</v>
      </c>
      <c r="V12" s="159" t="s">
        <v>57</v>
      </c>
      <c r="W12" s="215" t="s">
        <v>143</v>
      </c>
      <c r="AD12" s="255"/>
      <c r="AE12" s="255"/>
      <c r="AF12" s="255"/>
      <c r="AG12" s="255"/>
      <c r="AH12" s="255"/>
    </row>
    <row r="13" spans="1:34" ht="18.75" customHeight="1" x14ac:dyDescent="0.25">
      <c r="A13" s="205" t="s">
        <v>144</v>
      </c>
      <c r="B13" s="160">
        <v>4761</v>
      </c>
      <c r="C13" s="158">
        <v>4675</v>
      </c>
      <c r="D13" s="158">
        <v>86</v>
      </c>
      <c r="E13" s="158">
        <v>86</v>
      </c>
      <c r="F13" s="159">
        <v>0</v>
      </c>
      <c r="G13" s="158">
        <v>4426</v>
      </c>
      <c r="H13" s="158">
        <v>4342</v>
      </c>
      <c r="I13" s="158">
        <v>84</v>
      </c>
      <c r="J13" s="158">
        <v>84</v>
      </c>
      <c r="K13" s="159">
        <v>0</v>
      </c>
      <c r="L13" s="160"/>
      <c r="M13" s="158">
        <v>4265</v>
      </c>
      <c r="N13" s="158">
        <v>4181</v>
      </c>
      <c r="O13" s="158">
        <v>84</v>
      </c>
      <c r="P13" s="158">
        <v>84</v>
      </c>
      <c r="Q13" s="159">
        <v>0</v>
      </c>
      <c r="R13" s="160">
        <v>4309</v>
      </c>
      <c r="S13" s="158">
        <v>4227</v>
      </c>
      <c r="T13" s="158">
        <v>82</v>
      </c>
      <c r="U13" s="158">
        <v>82</v>
      </c>
      <c r="V13" s="159">
        <v>0</v>
      </c>
      <c r="W13" s="215" t="s">
        <v>145</v>
      </c>
      <c r="AD13" s="255"/>
      <c r="AE13" s="255"/>
      <c r="AF13" s="255"/>
      <c r="AG13" s="255"/>
      <c r="AH13" s="255"/>
    </row>
    <row r="14" spans="1:34" ht="18.75" customHeight="1" x14ac:dyDescent="0.25">
      <c r="A14" s="205" t="s">
        <v>146</v>
      </c>
      <c r="B14" s="163">
        <v>943</v>
      </c>
      <c r="C14" s="156">
        <v>61</v>
      </c>
      <c r="D14" s="156">
        <v>882</v>
      </c>
      <c r="E14" s="156">
        <v>775</v>
      </c>
      <c r="F14" s="159">
        <v>107</v>
      </c>
      <c r="G14" s="156">
        <v>881</v>
      </c>
      <c r="H14" s="156">
        <v>51</v>
      </c>
      <c r="I14" s="158">
        <v>830</v>
      </c>
      <c r="J14" s="156">
        <v>722</v>
      </c>
      <c r="K14" s="162">
        <v>108</v>
      </c>
      <c r="L14" s="163"/>
      <c r="M14" s="158">
        <v>1014</v>
      </c>
      <c r="N14" s="158">
        <v>34</v>
      </c>
      <c r="O14" s="158">
        <v>980</v>
      </c>
      <c r="P14" s="158">
        <v>848</v>
      </c>
      <c r="Q14" s="159">
        <v>131</v>
      </c>
      <c r="R14" s="160">
        <v>954</v>
      </c>
      <c r="S14" s="156">
        <v>29</v>
      </c>
      <c r="T14" s="158">
        <v>924</v>
      </c>
      <c r="U14" s="158">
        <v>811</v>
      </c>
      <c r="V14" s="162">
        <v>114</v>
      </c>
      <c r="W14" s="215" t="s">
        <v>147</v>
      </c>
      <c r="AD14" s="255"/>
      <c r="AE14" s="255"/>
      <c r="AF14" s="255"/>
      <c r="AG14" s="255"/>
      <c r="AH14" s="255"/>
    </row>
    <row r="15" spans="1:34" ht="18.75" customHeight="1" x14ac:dyDescent="0.25">
      <c r="A15" s="225" t="s">
        <v>383</v>
      </c>
      <c r="B15" s="163">
        <v>447</v>
      </c>
      <c r="C15" s="156">
        <v>62</v>
      </c>
      <c r="D15" s="156">
        <v>385</v>
      </c>
      <c r="E15" s="156">
        <v>352</v>
      </c>
      <c r="F15" s="159">
        <v>33</v>
      </c>
      <c r="G15" s="156">
        <v>391</v>
      </c>
      <c r="H15" s="156">
        <v>31</v>
      </c>
      <c r="I15" s="158">
        <v>360</v>
      </c>
      <c r="J15" s="156">
        <v>327</v>
      </c>
      <c r="K15" s="162">
        <v>33</v>
      </c>
      <c r="L15" s="163"/>
      <c r="M15" s="158">
        <v>439</v>
      </c>
      <c r="N15" s="158">
        <v>19</v>
      </c>
      <c r="O15" s="158">
        <v>420</v>
      </c>
      <c r="P15" s="158">
        <v>384</v>
      </c>
      <c r="Q15" s="159">
        <v>36</v>
      </c>
      <c r="R15" s="160">
        <v>492</v>
      </c>
      <c r="S15" s="156">
        <v>20</v>
      </c>
      <c r="T15" s="158">
        <v>472</v>
      </c>
      <c r="U15" s="158">
        <v>431</v>
      </c>
      <c r="V15" s="162">
        <v>40</v>
      </c>
      <c r="W15" s="226" t="s">
        <v>384</v>
      </c>
      <c r="AD15" s="255"/>
      <c r="AE15" s="255"/>
      <c r="AF15" s="255"/>
      <c r="AG15" s="255"/>
      <c r="AH15" s="255"/>
    </row>
    <row r="16" spans="1:34" ht="18.75" customHeight="1" x14ac:dyDescent="0.25">
      <c r="A16" s="225" t="s">
        <v>392</v>
      </c>
      <c r="B16" s="163">
        <v>720</v>
      </c>
      <c r="C16" s="156">
        <v>40</v>
      </c>
      <c r="D16" s="156">
        <v>681</v>
      </c>
      <c r="E16" s="156">
        <v>664</v>
      </c>
      <c r="F16" s="159">
        <v>17</v>
      </c>
      <c r="G16" s="156">
        <v>699</v>
      </c>
      <c r="H16" s="156">
        <v>41</v>
      </c>
      <c r="I16" s="158">
        <v>659</v>
      </c>
      <c r="J16" s="156">
        <v>643</v>
      </c>
      <c r="K16" s="162">
        <v>15</v>
      </c>
      <c r="L16" s="163"/>
      <c r="M16" s="158">
        <v>810</v>
      </c>
      <c r="N16" s="158">
        <v>32</v>
      </c>
      <c r="O16" s="158">
        <v>778</v>
      </c>
      <c r="P16" s="158">
        <v>760</v>
      </c>
      <c r="Q16" s="159">
        <v>19</v>
      </c>
      <c r="R16" s="160">
        <v>876</v>
      </c>
      <c r="S16" s="158" t="s">
        <v>57</v>
      </c>
      <c r="T16" s="158" t="s">
        <v>57</v>
      </c>
      <c r="U16" s="158" t="s">
        <v>57</v>
      </c>
      <c r="V16" s="159" t="s">
        <v>57</v>
      </c>
      <c r="W16" s="226" t="s">
        <v>391</v>
      </c>
      <c r="AD16" s="255"/>
      <c r="AE16" s="255"/>
      <c r="AF16" s="255"/>
      <c r="AG16" s="255"/>
      <c r="AH16" s="255"/>
    </row>
    <row r="17" spans="1:34" ht="18.75" customHeight="1" x14ac:dyDescent="0.25">
      <c r="A17" s="205" t="s">
        <v>148</v>
      </c>
      <c r="B17" s="160">
        <v>2199</v>
      </c>
      <c r="C17" s="158">
        <v>393</v>
      </c>
      <c r="D17" s="158">
        <v>1806</v>
      </c>
      <c r="E17" s="158">
        <v>1806</v>
      </c>
      <c r="F17" s="159">
        <v>0</v>
      </c>
      <c r="G17" s="158">
        <v>2036</v>
      </c>
      <c r="H17" s="158">
        <v>324</v>
      </c>
      <c r="I17" s="158">
        <v>1712</v>
      </c>
      <c r="J17" s="158">
        <v>1712</v>
      </c>
      <c r="K17" s="159">
        <v>0</v>
      </c>
      <c r="L17" s="160"/>
      <c r="M17" s="158">
        <v>2250</v>
      </c>
      <c r="N17" s="158">
        <v>315</v>
      </c>
      <c r="O17" s="158">
        <v>1935</v>
      </c>
      <c r="P17" s="158">
        <v>1935</v>
      </c>
      <c r="Q17" s="159">
        <v>0</v>
      </c>
      <c r="R17" s="160">
        <v>2290</v>
      </c>
      <c r="S17" s="158">
        <v>281</v>
      </c>
      <c r="T17" s="158">
        <v>2009</v>
      </c>
      <c r="U17" s="158">
        <v>2009</v>
      </c>
      <c r="V17" s="159">
        <v>0</v>
      </c>
      <c r="W17" s="215" t="s">
        <v>149</v>
      </c>
      <c r="AD17" s="255"/>
      <c r="AE17" s="255"/>
      <c r="AF17" s="255"/>
      <c r="AG17" s="255"/>
      <c r="AH17" s="255"/>
    </row>
    <row r="18" spans="1:34" ht="18.75" customHeight="1" x14ac:dyDescent="0.25">
      <c r="A18" s="205" t="s">
        <v>150</v>
      </c>
      <c r="B18" s="160">
        <v>6279</v>
      </c>
      <c r="C18" s="158">
        <v>6279</v>
      </c>
      <c r="D18" s="158">
        <v>0</v>
      </c>
      <c r="E18" s="158">
        <v>0</v>
      </c>
      <c r="F18" s="159">
        <v>0</v>
      </c>
      <c r="G18" s="158">
        <v>5447</v>
      </c>
      <c r="H18" s="158">
        <v>5447</v>
      </c>
      <c r="I18" s="158">
        <v>0</v>
      </c>
      <c r="J18" s="158">
        <v>0</v>
      </c>
      <c r="K18" s="159">
        <v>0</v>
      </c>
      <c r="L18" s="160"/>
      <c r="M18" s="158">
        <v>5423</v>
      </c>
      <c r="N18" s="158">
        <v>5423</v>
      </c>
      <c r="O18" s="158">
        <v>0</v>
      </c>
      <c r="P18" s="158">
        <v>0</v>
      </c>
      <c r="Q18" s="159">
        <v>0</v>
      </c>
      <c r="R18" s="160">
        <v>5643</v>
      </c>
      <c r="S18" s="158">
        <v>5643</v>
      </c>
      <c r="T18" s="158">
        <v>0</v>
      </c>
      <c r="U18" s="158">
        <v>0</v>
      </c>
      <c r="V18" s="159">
        <v>0</v>
      </c>
      <c r="W18" s="215" t="s">
        <v>151</v>
      </c>
      <c r="AD18" s="255"/>
      <c r="AE18" s="255"/>
      <c r="AF18" s="255"/>
      <c r="AG18" s="255"/>
      <c r="AH18" s="255"/>
    </row>
    <row r="19" spans="1:34" ht="18.75" customHeight="1" x14ac:dyDescent="0.25">
      <c r="A19" s="205" t="s">
        <v>152</v>
      </c>
      <c r="B19" s="163">
        <v>1591</v>
      </c>
      <c r="C19" s="158">
        <v>266</v>
      </c>
      <c r="D19" s="158">
        <v>1325</v>
      </c>
      <c r="E19" s="158">
        <v>1325</v>
      </c>
      <c r="F19" s="159">
        <v>0</v>
      </c>
      <c r="G19" s="156">
        <v>1477</v>
      </c>
      <c r="H19" s="158">
        <v>196</v>
      </c>
      <c r="I19" s="158">
        <v>1281</v>
      </c>
      <c r="J19" s="156">
        <v>1281</v>
      </c>
      <c r="K19" s="159">
        <v>0</v>
      </c>
      <c r="L19" s="160"/>
      <c r="M19" s="158">
        <v>1707</v>
      </c>
      <c r="N19" s="158">
        <v>202</v>
      </c>
      <c r="O19" s="158">
        <v>1505</v>
      </c>
      <c r="P19" s="158">
        <v>1505</v>
      </c>
      <c r="Q19" s="159">
        <v>0</v>
      </c>
      <c r="R19" s="160">
        <v>1867</v>
      </c>
      <c r="S19" s="158">
        <v>215</v>
      </c>
      <c r="T19" s="158">
        <v>1652</v>
      </c>
      <c r="U19" s="158">
        <v>1652</v>
      </c>
      <c r="V19" s="159">
        <v>0</v>
      </c>
      <c r="W19" s="215" t="s">
        <v>153</v>
      </c>
      <c r="AD19" s="255"/>
      <c r="AE19" s="255"/>
      <c r="AF19" s="255"/>
      <c r="AG19" s="255"/>
      <c r="AH19" s="255"/>
    </row>
    <row r="20" spans="1:34" ht="18.75" customHeight="1" x14ac:dyDescent="0.25">
      <c r="A20" s="205" t="s">
        <v>154</v>
      </c>
      <c r="B20" s="160">
        <v>4165</v>
      </c>
      <c r="C20" s="158">
        <v>3448</v>
      </c>
      <c r="D20" s="158">
        <v>717</v>
      </c>
      <c r="E20" s="158">
        <v>701</v>
      </c>
      <c r="F20" s="159">
        <v>16</v>
      </c>
      <c r="G20" s="158">
        <v>3911</v>
      </c>
      <c r="H20" s="158">
        <v>3253</v>
      </c>
      <c r="I20" s="158">
        <v>657</v>
      </c>
      <c r="J20" s="158">
        <v>644</v>
      </c>
      <c r="K20" s="159">
        <v>14</v>
      </c>
      <c r="L20" s="160"/>
      <c r="M20" s="158">
        <v>4482</v>
      </c>
      <c r="N20" s="158">
        <v>3800</v>
      </c>
      <c r="O20" s="158">
        <v>682</v>
      </c>
      <c r="P20" s="158">
        <v>667</v>
      </c>
      <c r="Q20" s="159">
        <v>15</v>
      </c>
      <c r="R20" s="160">
        <v>4616</v>
      </c>
      <c r="S20" s="158" t="s">
        <v>57</v>
      </c>
      <c r="T20" s="158" t="s">
        <v>57</v>
      </c>
      <c r="U20" s="158" t="s">
        <v>57</v>
      </c>
      <c r="V20" s="159" t="s">
        <v>57</v>
      </c>
      <c r="W20" s="215" t="s">
        <v>155</v>
      </c>
      <c r="AD20" s="255"/>
      <c r="AE20" s="255"/>
      <c r="AF20" s="255"/>
      <c r="AG20" s="255"/>
      <c r="AH20" s="255"/>
    </row>
    <row r="21" spans="1:34" ht="18.75" customHeight="1" x14ac:dyDescent="0.25">
      <c r="A21" s="205" t="s">
        <v>156</v>
      </c>
      <c r="B21" s="160">
        <v>4528</v>
      </c>
      <c r="C21" s="158">
        <v>242</v>
      </c>
      <c r="D21" s="158">
        <v>4287</v>
      </c>
      <c r="E21" s="158">
        <v>3958</v>
      </c>
      <c r="F21" s="159">
        <v>329</v>
      </c>
      <c r="G21" s="158">
        <v>4100</v>
      </c>
      <c r="H21" s="158">
        <v>210</v>
      </c>
      <c r="I21" s="158">
        <v>3890</v>
      </c>
      <c r="J21" s="158">
        <v>3586</v>
      </c>
      <c r="K21" s="159">
        <v>304</v>
      </c>
      <c r="L21" s="160"/>
      <c r="M21" s="158">
        <v>4341</v>
      </c>
      <c r="N21" s="158">
        <v>227</v>
      </c>
      <c r="O21" s="158">
        <v>4113</v>
      </c>
      <c r="P21" s="158">
        <v>3784</v>
      </c>
      <c r="Q21" s="159">
        <v>329</v>
      </c>
      <c r="R21" s="160">
        <v>4497</v>
      </c>
      <c r="S21" s="156">
        <v>239</v>
      </c>
      <c r="T21" s="158">
        <v>4258</v>
      </c>
      <c r="U21" s="158">
        <v>3904</v>
      </c>
      <c r="V21" s="162">
        <v>354</v>
      </c>
      <c r="W21" s="215" t="s">
        <v>157</v>
      </c>
      <c r="AD21" s="255"/>
      <c r="AE21" s="255"/>
      <c r="AF21" s="255"/>
      <c r="AG21" s="255"/>
      <c r="AH21" s="255"/>
    </row>
    <row r="22" spans="1:34" ht="18.75" customHeight="1" x14ac:dyDescent="0.25">
      <c r="A22" s="205" t="s">
        <v>158</v>
      </c>
      <c r="B22" s="160">
        <v>5710</v>
      </c>
      <c r="C22" s="158">
        <v>758</v>
      </c>
      <c r="D22" s="158">
        <v>4952</v>
      </c>
      <c r="E22" s="158">
        <v>4514</v>
      </c>
      <c r="F22" s="159">
        <v>438</v>
      </c>
      <c r="G22" s="158">
        <v>5403</v>
      </c>
      <c r="H22" s="158">
        <v>763</v>
      </c>
      <c r="I22" s="158">
        <v>4640</v>
      </c>
      <c r="J22" s="158">
        <v>4231</v>
      </c>
      <c r="K22" s="159">
        <v>409</v>
      </c>
      <c r="L22" s="160"/>
      <c r="M22" s="158">
        <v>5484</v>
      </c>
      <c r="N22" s="158">
        <v>504</v>
      </c>
      <c r="O22" s="158">
        <v>4980</v>
      </c>
      <c r="P22" s="158">
        <v>4534</v>
      </c>
      <c r="Q22" s="159">
        <v>446</v>
      </c>
      <c r="R22" s="160">
        <v>5909</v>
      </c>
      <c r="S22" s="158" t="s">
        <v>57</v>
      </c>
      <c r="T22" s="158" t="s">
        <v>57</v>
      </c>
      <c r="U22" s="158" t="s">
        <v>57</v>
      </c>
      <c r="V22" s="159" t="s">
        <v>57</v>
      </c>
      <c r="W22" s="215" t="s">
        <v>159</v>
      </c>
      <c r="AD22" s="255"/>
      <c r="AE22" s="255"/>
      <c r="AF22" s="255"/>
      <c r="AG22" s="255"/>
      <c r="AH22" s="255"/>
    </row>
    <row r="23" spans="1:34" ht="18.75" customHeight="1" x14ac:dyDescent="0.25">
      <c r="A23" s="205" t="s">
        <v>160</v>
      </c>
      <c r="B23" s="160">
        <v>1159</v>
      </c>
      <c r="C23" s="158">
        <v>566</v>
      </c>
      <c r="D23" s="158">
        <v>593</v>
      </c>
      <c r="E23" s="158">
        <v>593</v>
      </c>
      <c r="F23" s="159">
        <v>0</v>
      </c>
      <c r="G23" s="158">
        <v>1098</v>
      </c>
      <c r="H23" s="158">
        <v>536</v>
      </c>
      <c r="I23" s="158">
        <v>562</v>
      </c>
      <c r="J23" s="158">
        <v>562</v>
      </c>
      <c r="K23" s="159">
        <v>0</v>
      </c>
      <c r="L23" s="160"/>
      <c r="M23" s="158">
        <v>1195</v>
      </c>
      <c r="N23" s="158">
        <v>562</v>
      </c>
      <c r="O23" s="158">
        <v>634</v>
      </c>
      <c r="P23" s="158">
        <v>634</v>
      </c>
      <c r="Q23" s="159">
        <v>0</v>
      </c>
      <c r="R23" s="160">
        <v>1197</v>
      </c>
      <c r="S23" s="158" t="s">
        <v>57</v>
      </c>
      <c r="T23" s="158" t="s">
        <v>57</v>
      </c>
      <c r="U23" s="158" t="s">
        <v>57</v>
      </c>
      <c r="V23" s="159" t="s">
        <v>57</v>
      </c>
      <c r="W23" s="215" t="s">
        <v>161</v>
      </c>
      <c r="AD23" s="255"/>
      <c r="AE23" s="255"/>
      <c r="AF23" s="255"/>
      <c r="AG23" s="255"/>
      <c r="AH23" s="255"/>
    </row>
    <row r="24" spans="1:34" ht="18.75" customHeight="1" x14ac:dyDescent="0.25">
      <c r="A24" s="205" t="s">
        <v>162</v>
      </c>
      <c r="B24" s="160">
        <v>1011</v>
      </c>
      <c r="C24" s="158">
        <v>203</v>
      </c>
      <c r="D24" s="158">
        <v>809</v>
      </c>
      <c r="E24" s="158">
        <v>809</v>
      </c>
      <c r="F24" s="159">
        <v>0</v>
      </c>
      <c r="G24" s="158">
        <v>897</v>
      </c>
      <c r="H24" s="158">
        <v>139</v>
      </c>
      <c r="I24" s="158">
        <v>758</v>
      </c>
      <c r="J24" s="158">
        <v>758</v>
      </c>
      <c r="K24" s="159">
        <v>0</v>
      </c>
      <c r="L24" s="160"/>
      <c r="M24" s="158">
        <v>1047</v>
      </c>
      <c r="N24" s="158">
        <v>164</v>
      </c>
      <c r="O24" s="158">
        <v>883</v>
      </c>
      <c r="P24" s="158">
        <v>883</v>
      </c>
      <c r="Q24" s="159">
        <v>0</v>
      </c>
      <c r="R24" s="160">
        <v>1106</v>
      </c>
      <c r="S24" s="158">
        <v>152</v>
      </c>
      <c r="T24" s="158">
        <v>954</v>
      </c>
      <c r="U24" s="158">
        <v>954</v>
      </c>
      <c r="V24" s="159">
        <v>0</v>
      </c>
      <c r="W24" s="215" t="s">
        <v>163</v>
      </c>
      <c r="AD24" s="255"/>
      <c r="AE24" s="255"/>
      <c r="AF24" s="255"/>
      <c r="AG24" s="255"/>
      <c r="AH24" s="255"/>
    </row>
    <row r="25" spans="1:34" ht="18.75" customHeight="1" x14ac:dyDescent="0.25">
      <c r="A25" s="205" t="s">
        <v>164</v>
      </c>
      <c r="B25" s="160">
        <v>5634</v>
      </c>
      <c r="C25" s="158">
        <v>5634</v>
      </c>
      <c r="D25" s="158">
        <v>0</v>
      </c>
      <c r="E25" s="158">
        <v>0</v>
      </c>
      <c r="F25" s="159">
        <v>0</v>
      </c>
      <c r="G25" s="158">
        <v>5777</v>
      </c>
      <c r="H25" s="158">
        <v>5777</v>
      </c>
      <c r="I25" s="158">
        <v>0</v>
      </c>
      <c r="J25" s="158">
        <v>0</v>
      </c>
      <c r="K25" s="159">
        <v>0</v>
      </c>
      <c r="L25" s="160"/>
      <c r="M25" s="158">
        <v>5937</v>
      </c>
      <c r="N25" s="158">
        <v>5937</v>
      </c>
      <c r="O25" s="158">
        <v>0</v>
      </c>
      <c r="P25" s="158">
        <v>0</v>
      </c>
      <c r="Q25" s="159">
        <v>0</v>
      </c>
      <c r="R25" s="160">
        <v>6542</v>
      </c>
      <c r="S25" s="158">
        <v>6542</v>
      </c>
      <c r="T25" s="158">
        <v>0</v>
      </c>
      <c r="U25" s="158">
        <v>0</v>
      </c>
      <c r="V25" s="159">
        <v>0</v>
      </c>
      <c r="W25" s="215" t="s">
        <v>165</v>
      </c>
      <c r="AD25" s="255"/>
      <c r="AE25" s="255"/>
      <c r="AF25" s="255"/>
      <c r="AG25" s="255"/>
      <c r="AH25" s="255"/>
    </row>
    <row r="26" spans="1:34" ht="18.75" customHeight="1" x14ac:dyDescent="0.25">
      <c r="A26" s="205" t="s">
        <v>166</v>
      </c>
      <c r="B26" s="160">
        <v>5135</v>
      </c>
      <c r="C26" s="158">
        <v>5097</v>
      </c>
      <c r="D26" s="158">
        <v>38</v>
      </c>
      <c r="E26" s="158">
        <v>38</v>
      </c>
      <c r="F26" s="159">
        <v>0</v>
      </c>
      <c r="G26" s="158">
        <v>4847</v>
      </c>
      <c r="H26" s="158">
        <v>4812</v>
      </c>
      <c r="I26" s="158">
        <v>36</v>
      </c>
      <c r="J26" s="158">
        <v>36</v>
      </c>
      <c r="K26" s="159">
        <v>0</v>
      </c>
      <c r="L26" s="160"/>
      <c r="M26" s="158">
        <v>5228</v>
      </c>
      <c r="N26" s="158">
        <v>5188</v>
      </c>
      <c r="O26" s="158">
        <v>41</v>
      </c>
      <c r="P26" s="158">
        <v>41</v>
      </c>
      <c r="Q26" s="159">
        <v>0</v>
      </c>
      <c r="R26" s="160">
        <v>5743</v>
      </c>
      <c r="S26" s="158" t="s">
        <v>57</v>
      </c>
      <c r="T26" s="158" t="s">
        <v>57</v>
      </c>
      <c r="U26" s="158" t="s">
        <v>57</v>
      </c>
      <c r="V26" s="159" t="s">
        <v>57</v>
      </c>
      <c r="W26" s="215" t="s">
        <v>167</v>
      </c>
      <c r="AD26" s="255"/>
      <c r="AE26" s="255"/>
      <c r="AF26" s="255"/>
      <c r="AG26" s="255"/>
      <c r="AH26" s="255"/>
    </row>
    <row r="27" spans="1:34" ht="18.75" customHeight="1" x14ac:dyDescent="0.25">
      <c r="A27" s="205" t="s">
        <v>168</v>
      </c>
      <c r="B27" s="160">
        <v>2929</v>
      </c>
      <c r="C27" s="158">
        <v>1038</v>
      </c>
      <c r="D27" s="158">
        <v>1891</v>
      </c>
      <c r="E27" s="158">
        <v>1891</v>
      </c>
      <c r="F27" s="159">
        <v>0</v>
      </c>
      <c r="G27" s="158">
        <v>2429</v>
      </c>
      <c r="H27" s="158">
        <v>685</v>
      </c>
      <c r="I27" s="158">
        <v>1744</v>
      </c>
      <c r="J27" s="158">
        <v>1744</v>
      </c>
      <c r="K27" s="159">
        <v>0</v>
      </c>
      <c r="L27" s="160"/>
      <c r="M27" s="158">
        <v>2462</v>
      </c>
      <c r="N27" s="158">
        <v>554</v>
      </c>
      <c r="O27" s="158">
        <v>1908</v>
      </c>
      <c r="P27" s="158">
        <v>1908</v>
      </c>
      <c r="Q27" s="159">
        <v>0</v>
      </c>
      <c r="R27" s="160">
        <v>2900</v>
      </c>
      <c r="S27" s="158" t="s">
        <v>57</v>
      </c>
      <c r="T27" s="158" t="s">
        <v>57</v>
      </c>
      <c r="U27" s="158" t="s">
        <v>57</v>
      </c>
      <c r="V27" s="159" t="s">
        <v>57</v>
      </c>
      <c r="W27" s="215" t="s">
        <v>169</v>
      </c>
      <c r="AD27" s="255"/>
      <c r="AE27" s="255"/>
      <c r="AF27" s="255"/>
      <c r="AG27" s="255"/>
      <c r="AH27" s="255"/>
    </row>
    <row r="28" spans="1:34" ht="18.75" customHeight="1" x14ac:dyDescent="0.25">
      <c r="A28" s="205" t="s">
        <v>170</v>
      </c>
      <c r="B28" s="160">
        <v>2549</v>
      </c>
      <c r="C28" s="158">
        <v>2544</v>
      </c>
      <c r="D28" s="158">
        <v>5</v>
      </c>
      <c r="E28" s="158">
        <v>5</v>
      </c>
      <c r="F28" s="159">
        <v>0</v>
      </c>
      <c r="G28" s="158">
        <v>2326</v>
      </c>
      <c r="H28" s="158">
        <v>2320</v>
      </c>
      <c r="I28" s="158">
        <v>6</v>
      </c>
      <c r="J28" s="158">
        <v>6</v>
      </c>
      <c r="K28" s="159">
        <v>0</v>
      </c>
      <c r="L28" s="160"/>
      <c r="M28" s="158">
        <v>2400</v>
      </c>
      <c r="N28" s="158">
        <v>2394</v>
      </c>
      <c r="O28" s="158">
        <v>6</v>
      </c>
      <c r="P28" s="158">
        <v>6</v>
      </c>
      <c r="Q28" s="159">
        <v>0</v>
      </c>
      <c r="R28" s="160">
        <v>2523</v>
      </c>
      <c r="S28" s="156">
        <v>2516</v>
      </c>
      <c r="T28" s="158">
        <v>7</v>
      </c>
      <c r="U28" s="158">
        <v>7</v>
      </c>
      <c r="V28" s="162">
        <v>0</v>
      </c>
      <c r="W28" s="215" t="s">
        <v>171</v>
      </c>
      <c r="AD28" s="255"/>
      <c r="AE28" s="255"/>
      <c r="AF28" s="255"/>
      <c r="AG28" s="255"/>
      <c r="AH28" s="255"/>
    </row>
    <row r="29" spans="1:34" ht="18.75" customHeight="1" x14ac:dyDescent="0.25">
      <c r="A29" s="205" t="s">
        <v>172</v>
      </c>
      <c r="B29" s="160">
        <v>4184</v>
      </c>
      <c r="C29" s="158">
        <v>725</v>
      </c>
      <c r="D29" s="158">
        <v>3459</v>
      </c>
      <c r="E29" s="158">
        <v>3459</v>
      </c>
      <c r="F29" s="159">
        <v>0</v>
      </c>
      <c r="G29" s="158">
        <v>3616</v>
      </c>
      <c r="H29" s="158">
        <v>628</v>
      </c>
      <c r="I29" s="158">
        <v>2988</v>
      </c>
      <c r="J29" s="158">
        <v>2988</v>
      </c>
      <c r="K29" s="159">
        <v>0</v>
      </c>
      <c r="L29" s="160"/>
      <c r="M29" s="158">
        <v>3087</v>
      </c>
      <c r="N29" s="158">
        <v>275</v>
      </c>
      <c r="O29" s="158">
        <v>2812</v>
      </c>
      <c r="P29" s="158" t="s">
        <v>57</v>
      </c>
      <c r="Q29" s="159" t="s">
        <v>57</v>
      </c>
      <c r="R29" s="160">
        <v>2929</v>
      </c>
      <c r="S29" s="158" t="s">
        <v>57</v>
      </c>
      <c r="T29" s="158" t="s">
        <v>57</v>
      </c>
      <c r="U29" s="158" t="s">
        <v>57</v>
      </c>
      <c r="V29" s="159" t="s">
        <v>57</v>
      </c>
      <c r="W29" s="215" t="s">
        <v>173</v>
      </c>
      <c r="AD29" s="255"/>
      <c r="AE29" s="255"/>
      <c r="AF29" s="255"/>
      <c r="AG29" s="255"/>
      <c r="AH29" s="255"/>
    </row>
    <row r="30" spans="1:34" ht="18.75" customHeight="1" x14ac:dyDescent="0.25">
      <c r="A30" s="205" t="s">
        <v>174</v>
      </c>
      <c r="B30" s="160">
        <v>1942</v>
      </c>
      <c r="C30" s="158">
        <v>498</v>
      </c>
      <c r="D30" s="158">
        <v>1443</v>
      </c>
      <c r="E30" s="158">
        <v>1400</v>
      </c>
      <c r="F30" s="159">
        <v>43</v>
      </c>
      <c r="G30" s="158">
        <v>1958</v>
      </c>
      <c r="H30" s="158">
        <v>540</v>
      </c>
      <c r="I30" s="158">
        <v>1417</v>
      </c>
      <c r="J30" s="158">
        <v>1377</v>
      </c>
      <c r="K30" s="159">
        <v>40</v>
      </c>
      <c r="L30" s="160"/>
      <c r="M30" s="158">
        <v>1820</v>
      </c>
      <c r="N30" s="158">
        <v>345</v>
      </c>
      <c r="O30" s="158">
        <v>1475</v>
      </c>
      <c r="P30" s="158">
        <v>1433</v>
      </c>
      <c r="Q30" s="159">
        <v>42</v>
      </c>
      <c r="R30" s="160">
        <v>1811</v>
      </c>
      <c r="S30" s="158">
        <v>337</v>
      </c>
      <c r="T30" s="158">
        <v>1474</v>
      </c>
      <c r="U30" s="158">
        <v>1432</v>
      </c>
      <c r="V30" s="159">
        <v>42</v>
      </c>
      <c r="W30" s="215" t="s">
        <v>175</v>
      </c>
      <c r="AD30" s="255"/>
      <c r="AE30" s="255"/>
      <c r="AF30" s="255"/>
      <c r="AG30" s="255"/>
      <c r="AH30" s="255"/>
    </row>
    <row r="31" spans="1:34" ht="18.75" customHeight="1" x14ac:dyDescent="0.25">
      <c r="A31" s="205" t="s">
        <v>176</v>
      </c>
      <c r="B31" s="163">
        <v>1325</v>
      </c>
      <c r="C31" s="156">
        <v>1325</v>
      </c>
      <c r="D31" s="158">
        <v>0</v>
      </c>
      <c r="E31" s="158">
        <v>0</v>
      </c>
      <c r="F31" s="159">
        <v>0</v>
      </c>
      <c r="G31" s="156">
        <v>1064</v>
      </c>
      <c r="H31" s="156">
        <v>1064</v>
      </c>
      <c r="I31" s="158">
        <v>0</v>
      </c>
      <c r="J31" s="158">
        <v>0</v>
      </c>
      <c r="K31" s="159">
        <v>0</v>
      </c>
      <c r="L31" s="160"/>
      <c r="M31" s="158">
        <v>984</v>
      </c>
      <c r="N31" s="158">
        <v>984</v>
      </c>
      <c r="O31" s="158">
        <v>0</v>
      </c>
      <c r="P31" s="158">
        <v>0</v>
      </c>
      <c r="Q31" s="159">
        <v>0</v>
      </c>
      <c r="R31" s="160">
        <v>1068</v>
      </c>
      <c r="S31" s="158" t="s">
        <v>57</v>
      </c>
      <c r="T31" s="158" t="s">
        <v>57</v>
      </c>
      <c r="U31" s="158" t="s">
        <v>57</v>
      </c>
      <c r="V31" s="159" t="s">
        <v>57</v>
      </c>
      <c r="W31" s="215" t="s">
        <v>177</v>
      </c>
      <c r="AD31" s="255"/>
      <c r="AE31" s="255"/>
      <c r="AF31" s="255"/>
      <c r="AG31" s="255"/>
      <c r="AH31" s="255"/>
    </row>
    <row r="32" spans="1:34" ht="18.75" customHeight="1" x14ac:dyDescent="0.25">
      <c r="A32" s="205" t="s">
        <v>306</v>
      </c>
      <c r="B32" s="163">
        <v>1269</v>
      </c>
      <c r="C32" s="156">
        <v>224</v>
      </c>
      <c r="D32" s="156">
        <v>1045</v>
      </c>
      <c r="E32" s="156">
        <v>1045</v>
      </c>
      <c r="F32" s="159">
        <v>0</v>
      </c>
      <c r="G32" s="156">
        <v>1209</v>
      </c>
      <c r="H32" s="156">
        <v>166</v>
      </c>
      <c r="I32" s="158">
        <v>1043</v>
      </c>
      <c r="J32" s="156">
        <v>1043</v>
      </c>
      <c r="K32" s="162">
        <v>0</v>
      </c>
      <c r="L32" s="163"/>
      <c r="M32" s="158">
        <v>1369</v>
      </c>
      <c r="N32" s="158">
        <v>144</v>
      </c>
      <c r="O32" s="158">
        <v>1225</v>
      </c>
      <c r="P32" s="158">
        <v>1225</v>
      </c>
      <c r="Q32" s="159">
        <v>0</v>
      </c>
      <c r="R32" s="160">
        <v>1495</v>
      </c>
      <c r="S32" s="158" t="s">
        <v>57</v>
      </c>
      <c r="T32" s="158" t="s">
        <v>57</v>
      </c>
      <c r="U32" s="158" t="s">
        <v>57</v>
      </c>
      <c r="V32" s="159" t="s">
        <v>57</v>
      </c>
      <c r="W32" s="215" t="s">
        <v>305</v>
      </c>
      <c r="AD32" s="255"/>
      <c r="AE32" s="255"/>
      <c r="AF32" s="255"/>
      <c r="AG32" s="255"/>
      <c r="AH32" s="255"/>
    </row>
    <row r="33" spans="1:34" ht="18.75" customHeight="1" x14ac:dyDescent="0.25">
      <c r="A33" s="205" t="s">
        <v>178</v>
      </c>
      <c r="B33" s="160">
        <v>6522</v>
      </c>
      <c r="C33" s="158">
        <v>682</v>
      </c>
      <c r="D33" s="158">
        <v>5840</v>
      </c>
      <c r="E33" s="158">
        <v>5840</v>
      </c>
      <c r="F33" s="159">
        <v>0</v>
      </c>
      <c r="G33" s="158">
        <v>5976</v>
      </c>
      <c r="H33" s="158">
        <v>515</v>
      </c>
      <c r="I33" s="158">
        <v>5460</v>
      </c>
      <c r="J33" s="158">
        <v>5460</v>
      </c>
      <c r="K33" s="159">
        <v>0</v>
      </c>
      <c r="L33" s="160"/>
      <c r="M33" s="158">
        <v>6373</v>
      </c>
      <c r="N33" s="158">
        <v>512</v>
      </c>
      <c r="O33" s="158">
        <v>5861</v>
      </c>
      <c r="P33" s="158">
        <v>5861</v>
      </c>
      <c r="Q33" s="159">
        <v>0</v>
      </c>
      <c r="R33" s="160">
        <v>7009</v>
      </c>
      <c r="S33" s="156">
        <v>519</v>
      </c>
      <c r="T33" s="158">
        <v>6489</v>
      </c>
      <c r="U33" s="158">
        <v>6489</v>
      </c>
      <c r="V33" s="162">
        <v>0</v>
      </c>
      <c r="W33" s="215" t="s">
        <v>179</v>
      </c>
      <c r="AD33" s="255"/>
      <c r="AE33" s="255"/>
      <c r="AF33" s="255"/>
      <c r="AG33" s="255"/>
      <c r="AH33" s="255"/>
    </row>
    <row r="34" spans="1:34" ht="18.75" customHeight="1" x14ac:dyDescent="0.25">
      <c r="A34" s="205" t="s">
        <v>180</v>
      </c>
      <c r="B34" s="163">
        <v>301</v>
      </c>
      <c r="C34" s="158">
        <v>141</v>
      </c>
      <c r="D34" s="158">
        <v>160</v>
      </c>
      <c r="E34" s="158">
        <v>160</v>
      </c>
      <c r="F34" s="159">
        <v>0</v>
      </c>
      <c r="G34" s="156">
        <v>334</v>
      </c>
      <c r="H34" s="158">
        <v>155</v>
      </c>
      <c r="I34" s="158">
        <v>180</v>
      </c>
      <c r="J34" s="156">
        <v>180</v>
      </c>
      <c r="K34" s="159">
        <v>0</v>
      </c>
      <c r="L34" s="160"/>
      <c r="M34" s="158">
        <v>397</v>
      </c>
      <c r="N34" s="158" t="s">
        <v>57</v>
      </c>
      <c r="O34" s="158" t="s">
        <v>57</v>
      </c>
      <c r="P34" s="158" t="s">
        <v>57</v>
      </c>
      <c r="Q34" s="159" t="s">
        <v>57</v>
      </c>
      <c r="R34" s="160">
        <v>424</v>
      </c>
      <c r="S34" s="158" t="s">
        <v>57</v>
      </c>
      <c r="T34" s="158" t="s">
        <v>57</v>
      </c>
      <c r="U34" s="158" t="s">
        <v>57</v>
      </c>
      <c r="V34" s="159" t="s">
        <v>57</v>
      </c>
      <c r="W34" s="215" t="s">
        <v>181</v>
      </c>
      <c r="AD34" s="255"/>
      <c r="AE34" s="255"/>
      <c r="AF34" s="255"/>
      <c r="AG34" s="255"/>
      <c r="AH34" s="255"/>
    </row>
    <row r="35" spans="1:34" ht="18.75" customHeight="1" x14ac:dyDescent="0.25">
      <c r="A35" s="205" t="s">
        <v>182</v>
      </c>
      <c r="B35" s="160">
        <v>5612</v>
      </c>
      <c r="C35" s="158">
        <v>900</v>
      </c>
      <c r="D35" s="158">
        <v>4712</v>
      </c>
      <c r="E35" s="158">
        <v>1477</v>
      </c>
      <c r="F35" s="159">
        <v>3235</v>
      </c>
      <c r="G35" s="158">
        <v>4912</v>
      </c>
      <c r="H35" s="158">
        <v>594</v>
      </c>
      <c r="I35" s="158">
        <v>4318</v>
      </c>
      <c r="J35" s="158">
        <v>1374</v>
      </c>
      <c r="K35" s="159">
        <v>2944</v>
      </c>
      <c r="L35" s="160"/>
      <c r="M35" s="158">
        <v>5250</v>
      </c>
      <c r="N35" s="158">
        <v>514</v>
      </c>
      <c r="O35" s="158">
        <v>4736</v>
      </c>
      <c r="P35" s="158">
        <v>1528</v>
      </c>
      <c r="Q35" s="159">
        <v>3208</v>
      </c>
      <c r="R35" s="160">
        <v>5693</v>
      </c>
      <c r="S35" s="156">
        <v>550</v>
      </c>
      <c r="T35" s="158">
        <v>5144</v>
      </c>
      <c r="U35" s="158">
        <v>1691</v>
      </c>
      <c r="V35" s="162">
        <v>3453</v>
      </c>
      <c r="W35" s="215" t="s">
        <v>183</v>
      </c>
      <c r="AD35" s="255"/>
      <c r="AE35" s="255"/>
      <c r="AF35" s="255"/>
      <c r="AG35" s="255"/>
      <c r="AH35" s="255"/>
    </row>
    <row r="36" spans="1:34" ht="18.75" customHeight="1" x14ac:dyDescent="0.25">
      <c r="A36" s="205" t="s">
        <v>184</v>
      </c>
      <c r="B36" s="160">
        <v>3770</v>
      </c>
      <c r="C36" s="158">
        <v>3317</v>
      </c>
      <c r="D36" s="158">
        <v>453</v>
      </c>
      <c r="E36" s="158">
        <v>453</v>
      </c>
      <c r="F36" s="159">
        <v>0</v>
      </c>
      <c r="G36" s="158">
        <v>4250</v>
      </c>
      <c r="H36" s="158">
        <v>3840</v>
      </c>
      <c r="I36" s="158">
        <v>411</v>
      </c>
      <c r="J36" s="158">
        <v>411</v>
      </c>
      <c r="K36" s="159">
        <v>0</v>
      </c>
      <c r="L36" s="160"/>
      <c r="M36" s="158">
        <v>4004</v>
      </c>
      <c r="N36" s="158">
        <v>3591</v>
      </c>
      <c r="O36" s="158">
        <v>413</v>
      </c>
      <c r="P36" s="158">
        <v>413</v>
      </c>
      <c r="Q36" s="159">
        <v>0</v>
      </c>
      <c r="R36" s="160">
        <v>3949</v>
      </c>
      <c r="S36" s="156">
        <v>3527</v>
      </c>
      <c r="T36" s="158">
        <v>422</v>
      </c>
      <c r="U36" s="158">
        <v>422</v>
      </c>
      <c r="V36" s="162">
        <v>0</v>
      </c>
      <c r="W36" s="215" t="s">
        <v>185</v>
      </c>
      <c r="AD36" s="255"/>
      <c r="AE36" s="255"/>
      <c r="AF36" s="255"/>
      <c r="AG36" s="255"/>
      <c r="AH36" s="255"/>
    </row>
    <row r="37" spans="1:34" ht="18.75" customHeight="1" x14ac:dyDescent="0.25">
      <c r="A37" s="205" t="s">
        <v>186</v>
      </c>
      <c r="B37" s="160">
        <v>7847</v>
      </c>
      <c r="C37" s="158">
        <v>7847</v>
      </c>
      <c r="D37" s="158">
        <v>0</v>
      </c>
      <c r="E37" s="158">
        <v>0</v>
      </c>
      <c r="F37" s="159">
        <v>0</v>
      </c>
      <c r="G37" s="158">
        <v>7404</v>
      </c>
      <c r="H37" s="158">
        <v>7404</v>
      </c>
      <c r="I37" s="158">
        <v>0</v>
      </c>
      <c r="J37" s="158">
        <v>0</v>
      </c>
      <c r="K37" s="159">
        <v>0</v>
      </c>
      <c r="L37" s="160"/>
      <c r="M37" s="158">
        <v>7104</v>
      </c>
      <c r="N37" s="158" t="s">
        <v>57</v>
      </c>
      <c r="O37" s="158" t="s">
        <v>57</v>
      </c>
      <c r="P37" s="158" t="s">
        <v>57</v>
      </c>
      <c r="Q37" s="159" t="s">
        <v>57</v>
      </c>
      <c r="R37" s="160">
        <v>7263</v>
      </c>
      <c r="S37" s="158" t="s">
        <v>57</v>
      </c>
      <c r="T37" s="158" t="s">
        <v>57</v>
      </c>
      <c r="U37" s="158" t="s">
        <v>57</v>
      </c>
      <c r="V37" s="159" t="s">
        <v>57</v>
      </c>
      <c r="W37" s="215" t="s">
        <v>187</v>
      </c>
      <c r="AD37" s="255"/>
      <c r="AE37" s="255"/>
      <c r="AF37" s="255"/>
      <c r="AG37" s="255"/>
      <c r="AH37" s="255"/>
    </row>
    <row r="38" spans="1:34" ht="18.75" customHeight="1" x14ac:dyDescent="0.25">
      <c r="A38" s="205" t="s">
        <v>188</v>
      </c>
      <c r="B38" s="160">
        <v>860</v>
      </c>
      <c r="C38" s="158">
        <v>180</v>
      </c>
      <c r="D38" s="158">
        <v>680</v>
      </c>
      <c r="E38" s="158">
        <v>676</v>
      </c>
      <c r="F38" s="159">
        <v>4</v>
      </c>
      <c r="G38" s="158">
        <v>907</v>
      </c>
      <c r="H38" s="158">
        <v>152</v>
      </c>
      <c r="I38" s="158">
        <v>755</v>
      </c>
      <c r="J38" s="158">
        <v>751</v>
      </c>
      <c r="K38" s="159">
        <v>4</v>
      </c>
      <c r="L38" s="160"/>
      <c r="M38" s="158">
        <v>1226</v>
      </c>
      <c r="N38" s="158">
        <v>173</v>
      </c>
      <c r="O38" s="158">
        <v>1053</v>
      </c>
      <c r="P38" s="158">
        <v>1048</v>
      </c>
      <c r="Q38" s="159">
        <v>4</v>
      </c>
      <c r="R38" s="160">
        <v>1571</v>
      </c>
      <c r="S38" s="156">
        <v>355</v>
      </c>
      <c r="T38" s="158">
        <v>1217</v>
      </c>
      <c r="U38" s="158">
        <v>1211</v>
      </c>
      <c r="V38" s="162">
        <v>5</v>
      </c>
      <c r="W38" s="215" t="s">
        <v>189</v>
      </c>
      <c r="AD38" s="255"/>
      <c r="AE38" s="255"/>
      <c r="AF38" s="255"/>
      <c r="AG38" s="255"/>
      <c r="AH38" s="255"/>
    </row>
    <row r="39" spans="1:34" ht="18.75" customHeight="1" x14ac:dyDescent="0.25">
      <c r="A39" s="205" t="s">
        <v>190</v>
      </c>
      <c r="B39" s="160">
        <v>1726</v>
      </c>
      <c r="C39" s="158">
        <v>1660</v>
      </c>
      <c r="D39" s="158">
        <v>66</v>
      </c>
      <c r="E39" s="158">
        <v>66</v>
      </c>
      <c r="F39" s="159">
        <v>0</v>
      </c>
      <c r="G39" s="158">
        <v>1616</v>
      </c>
      <c r="H39" s="158">
        <v>1548</v>
      </c>
      <c r="I39" s="158">
        <v>67</v>
      </c>
      <c r="J39" s="158">
        <v>67</v>
      </c>
      <c r="K39" s="159">
        <v>0</v>
      </c>
      <c r="L39" s="160"/>
      <c r="M39" s="158">
        <v>1689</v>
      </c>
      <c r="N39" s="158">
        <v>1616</v>
      </c>
      <c r="O39" s="158">
        <v>73</v>
      </c>
      <c r="P39" s="158">
        <v>73</v>
      </c>
      <c r="Q39" s="159">
        <v>0</v>
      </c>
      <c r="R39" s="160">
        <v>1848</v>
      </c>
      <c r="S39" s="158">
        <v>1767</v>
      </c>
      <c r="T39" s="158">
        <v>81</v>
      </c>
      <c r="U39" s="158">
        <v>81</v>
      </c>
      <c r="V39" s="159">
        <v>0</v>
      </c>
      <c r="W39" s="215" t="s">
        <v>191</v>
      </c>
      <c r="AD39" s="255"/>
      <c r="AE39" s="255"/>
      <c r="AF39" s="255"/>
      <c r="AG39" s="255"/>
      <c r="AH39" s="255"/>
    </row>
    <row r="40" spans="1:34" ht="18.75" customHeight="1" x14ac:dyDescent="0.25">
      <c r="A40" s="205" t="s">
        <v>498</v>
      </c>
      <c r="B40" s="160">
        <v>2617</v>
      </c>
      <c r="C40" s="158">
        <v>2129</v>
      </c>
      <c r="D40" s="158">
        <v>336</v>
      </c>
      <c r="E40" s="158">
        <v>336</v>
      </c>
      <c r="F40" s="159">
        <v>0</v>
      </c>
      <c r="G40" s="160">
        <v>2500</v>
      </c>
      <c r="H40" s="158">
        <v>1999</v>
      </c>
      <c r="I40" s="158">
        <v>347</v>
      </c>
      <c r="J40" s="158">
        <v>347</v>
      </c>
      <c r="K40" s="159">
        <v>0</v>
      </c>
      <c r="L40" s="160"/>
      <c r="M40" s="158">
        <v>2447</v>
      </c>
      <c r="N40" s="158">
        <v>1956</v>
      </c>
      <c r="O40" s="158">
        <v>336</v>
      </c>
      <c r="P40" s="158">
        <v>336</v>
      </c>
      <c r="Q40" s="159">
        <v>0</v>
      </c>
      <c r="R40" s="160" t="s">
        <v>57</v>
      </c>
      <c r="S40" s="158" t="s">
        <v>57</v>
      </c>
      <c r="T40" s="158" t="s">
        <v>57</v>
      </c>
      <c r="U40" s="158" t="s">
        <v>57</v>
      </c>
      <c r="V40" s="159" t="s">
        <v>57</v>
      </c>
      <c r="W40" s="215" t="s">
        <v>499</v>
      </c>
    </row>
    <row r="41" spans="1:34" ht="18.75" customHeight="1" x14ac:dyDescent="0.25">
      <c r="A41" s="205" t="s">
        <v>192</v>
      </c>
      <c r="B41" s="160">
        <v>1346</v>
      </c>
      <c r="C41" s="158">
        <v>159</v>
      </c>
      <c r="D41" s="158">
        <v>1187</v>
      </c>
      <c r="E41" s="158">
        <v>1187</v>
      </c>
      <c r="F41" s="159">
        <v>0</v>
      </c>
      <c r="G41" s="158">
        <v>1313</v>
      </c>
      <c r="H41" s="158">
        <v>168</v>
      </c>
      <c r="I41" s="158">
        <v>1145</v>
      </c>
      <c r="J41" s="158">
        <v>1145</v>
      </c>
      <c r="K41" s="159">
        <v>0</v>
      </c>
      <c r="L41" s="160"/>
      <c r="M41" s="158">
        <v>1432</v>
      </c>
      <c r="N41" s="158">
        <v>72</v>
      </c>
      <c r="O41" s="158">
        <v>1360</v>
      </c>
      <c r="P41" s="158">
        <v>1360</v>
      </c>
      <c r="Q41" s="159">
        <v>0</v>
      </c>
      <c r="R41" s="160">
        <v>1776</v>
      </c>
      <c r="S41" s="158" t="s">
        <v>57</v>
      </c>
      <c r="T41" s="158" t="s">
        <v>57</v>
      </c>
      <c r="U41" s="158" t="s">
        <v>57</v>
      </c>
      <c r="V41" s="159" t="s">
        <v>57</v>
      </c>
      <c r="W41" s="215" t="s">
        <v>193</v>
      </c>
      <c r="AD41" s="255"/>
      <c r="AE41" s="255"/>
      <c r="AF41" s="255"/>
      <c r="AG41" s="255"/>
      <c r="AH41" s="255"/>
    </row>
    <row r="42" spans="1:34" ht="18.75" customHeight="1" x14ac:dyDescent="0.25">
      <c r="A42" s="205" t="s">
        <v>194</v>
      </c>
      <c r="B42" s="163">
        <v>2052</v>
      </c>
      <c r="C42" s="156">
        <v>356</v>
      </c>
      <c r="D42" s="156">
        <v>1696</v>
      </c>
      <c r="E42" s="156">
        <v>1696</v>
      </c>
      <c r="F42" s="159">
        <v>0</v>
      </c>
      <c r="G42" s="156">
        <v>2020</v>
      </c>
      <c r="H42" s="156">
        <v>295</v>
      </c>
      <c r="I42" s="158">
        <v>1725</v>
      </c>
      <c r="J42" s="156">
        <v>1725</v>
      </c>
      <c r="K42" s="162">
        <v>0</v>
      </c>
      <c r="L42" s="163"/>
      <c r="M42" s="158">
        <v>2231</v>
      </c>
      <c r="N42" s="158">
        <v>266</v>
      </c>
      <c r="O42" s="158">
        <v>1966</v>
      </c>
      <c r="P42" s="158">
        <v>1966</v>
      </c>
      <c r="Q42" s="159">
        <v>0</v>
      </c>
      <c r="R42" s="160">
        <v>2932</v>
      </c>
      <c r="S42" s="156">
        <v>242</v>
      </c>
      <c r="T42" s="158">
        <v>2689</v>
      </c>
      <c r="U42" s="158">
        <v>2689</v>
      </c>
      <c r="V42" s="162">
        <v>0</v>
      </c>
      <c r="W42" s="215" t="s">
        <v>195</v>
      </c>
      <c r="AD42" s="255"/>
      <c r="AE42" s="255"/>
      <c r="AF42" s="255"/>
      <c r="AG42" s="255"/>
      <c r="AH42" s="255"/>
    </row>
    <row r="43" spans="1:34" ht="18.75" customHeight="1" x14ac:dyDescent="0.25">
      <c r="A43" s="205" t="s">
        <v>196</v>
      </c>
      <c r="B43" s="160">
        <v>2313</v>
      </c>
      <c r="C43" s="158">
        <v>2199</v>
      </c>
      <c r="D43" s="158">
        <v>115</v>
      </c>
      <c r="E43" s="158">
        <v>115</v>
      </c>
      <c r="F43" s="159">
        <v>0</v>
      </c>
      <c r="G43" s="158">
        <v>2137</v>
      </c>
      <c r="H43" s="158">
        <v>2030</v>
      </c>
      <c r="I43" s="158">
        <v>107</v>
      </c>
      <c r="J43" s="158">
        <v>107</v>
      </c>
      <c r="K43" s="159">
        <v>0</v>
      </c>
      <c r="L43" s="160"/>
      <c r="M43" s="158">
        <v>2261</v>
      </c>
      <c r="N43" s="158">
        <v>2147</v>
      </c>
      <c r="O43" s="158">
        <v>114</v>
      </c>
      <c r="P43" s="158">
        <v>114</v>
      </c>
      <c r="Q43" s="159">
        <v>0</v>
      </c>
      <c r="R43" s="160">
        <v>2367</v>
      </c>
      <c r="S43" s="158" t="s">
        <v>57</v>
      </c>
      <c r="T43" s="158" t="s">
        <v>57</v>
      </c>
      <c r="U43" s="158" t="s">
        <v>57</v>
      </c>
      <c r="V43" s="159" t="s">
        <v>57</v>
      </c>
      <c r="W43" s="215" t="s">
        <v>197</v>
      </c>
      <c r="AD43" s="255"/>
      <c r="AE43" s="255"/>
      <c r="AF43" s="255"/>
      <c r="AG43" s="255"/>
      <c r="AH43" s="255"/>
    </row>
    <row r="44" spans="1:34" ht="18.75" customHeight="1" x14ac:dyDescent="0.25">
      <c r="A44" s="205" t="s">
        <v>198</v>
      </c>
      <c r="B44" s="160">
        <v>5893</v>
      </c>
      <c r="C44" s="158">
        <v>5893</v>
      </c>
      <c r="D44" s="158">
        <v>0</v>
      </c>
      <c r="E44" s="158">
        <v>0</v>
      </c>
      <c r="F44" s="159">
        <v>0</v>
      </c>
      <c r="G44" s="158">
        <v>5154</v>
      </c>
      <c r="H44" s="158">
        <v>5154</v>
      </c>
      <c r="I44" s="158">
        <v>0</v>
      </c>
      <c r="J44" s="158">
        <v>0</v>
      </c>
      <c r="K44" s="159">
        <v>0</v>
      </c>
      <c r="L44" s="160"/>
      <c r="M44" s="158">
        <v>5335</v>
      </c>
      <c r="N44" s="158">
        <v>5335</v>
      </c>
      <c r="O44" s="158">
        <v>0</v>
      </c>
      <c r="P44" s="158">
        <v>0</v>
      </c>
      <c r="Q44" s="159">
        <v>0</v>
      </c>
      <c r="R44" s="160">
        <v>5554</v>
      </c>
      <c r="S44" s="158">
        <v>5554</v>
      </c>
      <c r="T44" s="158">
        <v>0</v>
      </c>
      <c r="U44" s="158">
        <v>0</v>
      </c>
      <c r="V44" s="159">
        <v>0</v>
      </c>
      <c r="W44" s="215" t="s">
        <v>199</v>
      </c>
      <c r="AD44" s="255"/>
      <c r="AE44" s="255"/>
      <c r="AF44" s="255"/>
      <c r="AG44" s="255"/>
      <c r="AH44" s="255"/>
    </row>
    <row r="45" spans="1:34" ht="18.75" customHeight="1" x14ac:dyDescent="0.25">
      <c r="A45" s="205" t="s">
        <v>200</v>
      </c>
      <c r="B45" s="160">
        <v>7681</v>
      </c>
      <c r="C45" s="158">
        <v>2874</v>
      </c>
      <c r="D45" s="158">
        <v>4807</v>
      </c>
      <c r="E45" s="158">
        <v>334</v>
      </c>
      <c r="F45" s="159">
        <v>4473</v>
      </c>
      <c r="G45" s="158">
        <v>7481</v>
      </c>
      <c r="H45" s="158">
        <v>2764</v>
      </c>
      <c r="I45" s="158">
        <v>4717</v>
      </c>
      <c r="J45" s="158">
        <v>314</v>
      </c>
      <c r="K45" s="159">
        <v>4403</v>
      </c>
      <c r="L45" s="160"/>
      <c r="M45" s="158">
        <v>7942</v>
      </c>
      <c r="N45" s="158">
        <v>2698</v>
      </c>
      <c r="O45" s="158">
        <v>5244</v>
      </c>
      <c r="P45" s="158">
        <v>348</v>
      </c>
      <c r="Q45" s="159">
        <v>4896</v>
      </c>
      <c r="R45" s="160">
        <v>8361</v>
      </c>
      <c r="S45" s="156">
        <v>2800</v>
      </c>
      <c r="T45" s="158">
        <v>5561</v>
      </c>
      <c r="U45" s="158">
        <v>365</v>
      </c>
      <c r="V45" s="162">
        <v>5196</v>
      </c>
      <c r="W45" s="215" t="s">
        <v>201</v>
      </c>
      <c r="AD45" s="255"/>
      <c r="AE45" s="255"/>
      <c r="AF45" s="255"/>
      <c r="AG45" s="255"/>
      <c r="AH45" s="255"/>
    </row>
    <row r="46" spans="1:34" ht="18.75" customHeight="1" x14ac:dyDescent="0.25">
      <c r="A46" s="205" t="s">
        <v>202</v>
      </c>
      <c r="B46" s="160">
        <v>350</v>
      </c>
      <c r="C46" s="158">
        <v>127</v>
      </c>
      <c r="D46" s="158">
        <v>223</v>
      </c>
      <c r="E46" s="158">
        <v>223</v>
      </c>
      <c r="F46" s="159">
        <v>0</v>
      </c>
      <c r="G46" s="158">
        <v>297</v>
      </c>
      <c r="H46" s="158">
        <v>107</v>
      </c>
      <c r="I46" s="158">
        <v>191</v>
      </c>
      <c r="J46" s="158">
        <v>191</v>
      </c>
      <c r="K46" s="159">
        <v>0</v>
      </c>
      <c r="L46" s="160"/>
      <c r="M46" s="158">
        <v>425</v>
      </c>
      <c r="N46" s="158">
        <v>167</v>
      </c>
      <c r="O46" s="158">
        <v>259</v>
      </c>
      <c r="P46" s="158">
        <v>259</v>
      </c>
      <c r="Q46" s="159">
        <v>0</v>
      </c>
      <c r="R46" s="160">
        <v>566</v>
      </c>
      <c r="S46" s="158" t="s">
        <v>57</v>
      </c>
      <c r="T46" s="158" t="s">
        <v>57</v>
      </c>
      <c r="U46" s="158" t="s">
        <v>57</v>
      </c>
      <c r="V46" s="159" t="s">
        <v>57</v>
      </c>
      <c r="W46" s="215" t="s">
        <v>401</v>
      </c>
      <c r="AD46" s="255"/>
      <c r="AE46" s="255"/>
      <c r="AF46" s="255"/>
      <c r="AG46" s="255"/>
      <c r="AH46" s="255"/>
    </row>
    <row r="47" spans="1:34" ht="18.75" customHeight="1" x14ac:dyDescent="0.25">
      <c r="A47" s="205" t="s">
        <v>203</v>
      </c>
      <c r="B47" s="160">
        <v>4718</v>
      </c>
      <c r="C47" s="158">
        <v>4718</v>
      </c>
      <c r="D47" s="158">
        <v>0</v>
      </c>
      <c r="E47" s="158">
        <v>0</v>
      </c>
      <c r="F47" s="159">
        <v>0</v>
      </c>
      <c r="G47" s="158">
        <v>4167</v>
      </c>
      <c r="H47" s="158">
        <v>4167</v>
      </c>
      <c r="I47" s="158">
        <v>0</v>
      </c>
      <c r="J47" s="158">
        <v>0</v>
      </c>
      <c r="K47" s="159">
        <v>0</v>
      </c>
      <c r="L47" s="160"/>
      <c r="M47" s="158">
        <v>4407</v>
      </c>
      <c r="N47" s="158">
        <v>4407</v>
      </c>
      <c r="O47" s="158">
        <v>0</v>
      </c>
      <c r="P47" s="158">
        <v>0</v>
      </c>
      <c r="Q47" s="159">
        <v>0</v>
      </c>
      <c r="R47" s="160">
        <v>4745</v>
      </c>
      <c r="S47" s="158">
        <v>4745</v>
      </c>
      <c r="T47" s="158">
        <v>0</v>
      </c>
      <c r="U47" s="158">
        <v>0</v>
      </c>
      <c r="V47" s="159">
        <v>0</v>
      </c>
      <c r="W47" s="215" t="s">
        <v>204</v>
      </c>
      <c r="AD47" s="255"/>
      <c r="AE47" s="255"/>
      <c r="AF47" s="255"/>
      <c r="AG47" s="255"/>
      <c r="AH47" s="255"/>
    </row>
    <row r="48" spans="1:34" ht="18.75" customHeight="1" x14ac:dyDescent="0.25">
      <c r="A48" s="206" t="s">
        <v>205</v>
      </c>
      <c r="B48" s="157">
        <v>10354</v>
      </c>
      <c r="C48" s="157">
        <v>3815</v>
      </c>
      <c r="D48" s="157">
        <v>6538</v>
      </c>
      <c r="E48" s="157">
        <v>2833</v>
      </c>
      <c r="F48" s="214">
        <v>3705</v>
      </c>
      <c r="G48" s="157">
        <v>10810</v>
      </c>
      <c r="H48" s="157">
        <v>3867</v>
      </c>
      <c r="I48" s="157">
        <v>6943</v>
      </c>
      <c r="J48" s="157">
        <v>3001</v>
      </c>
      <c r="K48" s="214">
        <v>3942</v>
      </c>
      <c r="L48" s="163"/>
      <c r="M48" s="157">
        <v>11521</v>
      </c>
      <c r="N48" s="157">
        <v>3924</v>
      </c>
      <c r="O48" s="157">
        <v>7598</v>
      </c>
      <c r="P48" s="157">
        <v>3224</v>
      </c>
      <c r="Q48" s="214">
        <v>4373</v>
      </c>
      <c r="R48" s="161">
        <v>12402</v>
      </c>
      <c r="S48" s="158" t="s">
        <v>57</v>
      </c>
      <c r="T48" s="158" t="s">
        <v>57</v>
      </c>
      <c r="U48" s="158" t="s">
        <v>57</v>
      </c>
      <c r="V48" s="159" t="s">
        <v>57</v>
      </c>
      <c r="W48" s="216" t="s">
        <v>206</v>
      </c>
      <c r="AD48" s="255"/>
      <c r="AE48" s="255"/>
      <c r="AF48" s="255"/>
      <c r="AG48" s="255"/>
      <c r="AH48" s="255"/>
    </row>
    <row r="49" spans="1:23" s="227" customFormat="1" ht="14.1" customHeight="1" x14ac:dyDescent="0.2">
      <c r="A49" s="744" t="s">
        <v>624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614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</row>
    <row r="50" spans="1:23" s="151" customFormat="1" ht="14.1" customHeight="1" x14ac:dyDescent="0.25">
      <c r="A50" s="738" t="s">
        <v>609</v>
      </c>
      <c r="B50" s="738"/>
      <c r="C50" s="738"/>
      <c r="D50" s="738"/>
      <c r="E50" s="738"/>
      <c r="F50" s="738"/>
      <c r="G50" s="738"/>
      <c r="H50" s="738"/>
      <c r="I50" s="738"/>
      <c r="J50" s="738"/>
      <c r="K50" s="274"/>
      <c r="L50" s="274"/>
      <c r="M50" s="739" t="s">
        <v>610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23" s="203" customFormat="1" ht="12" x14ac:dyDescent="0.2">
      <c r="A51" s="203" t="s">
        <v>618</v>
      </c>
      <c r="M51" s="203" t="s">
        <v>611</v>
      </c>
    </row>
    <row r="52" spans="1:23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</row>
  </sheetData>
  <mergeCells count="33">
    <mergeCell ref="A1:K1"/>
    <mergeCell ref="M1:W1"/>
    <mergeCell ref="T2:W2"/>
    <mergeCell ref="A3:A8"/>
    <mergeCell ref="B3:F3"/>
    <mergeCell ref="G3:K3"/>
    <mergeCell ref="M3:Q3"/>
    <mergeCell ref="R3:V3"/>
    <mergeCell ref="W3:W8"/>
    <mergeCell ref="B4:F4"/>
    <mergeCell ref="G4:K4"/>
    <mergeCell ref="M4:Q4"/>
    <mergeCell ref="H5:K5"/>
    <mergeCell ref="R4:V4"/>
    <mergeCell ref="M50:W50"/>
    <mergeCell ref="C5:F5"/>
    <mergeCell ref="A50:J50"/>
    <mergeCell ref="S5:V5"/>
    <mergeCell ref="C6:C7"/>
    <mergeCell ref="D6:D7"/>
    <mergeCell ref="H6:H7"/>
    <mergeCell ref="I6:I7"/>
    <mergeCell ref="N6:N7"/>
    <mergeCell ref="O6:O7"/>
    <mergeCell ref="S6:S7"/>
    <mergeCell ref="T6:T7"/>
    <mergeCell ref="G5:G7"/>
    <mergeCell ref="M49:W49"/>
    <mergeCell ref="N5:Q5"/>
    <mergeCell ref="B5:B7"/>
    <mergeCell ref="R5:R7"/>
    <mergeCell ref="A49:K49"/>
    <mergeCell ref="M5:M7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4325-649E-486F-A943-4BFBED6C13FE}">
  <sheetPr>
    <tabColor rgb="FF92D050"/>
  </sheetPr>
  <dimension ref="A1:AI51"/>
  <sheetViews>
    <sheetView view="pageBreakPreview" zoomScale="70" zoomScaleNormal="70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R12" sqref="R12"/>
    </sheetView>
  </sheetViews>
  <sheetFormatPr defaultColWidth="9" defaultRowHeight="15.75" x14ac:dyDescent="0.25"/>
  <cols>
    <col min="1" max="1" width="12" style="21" customWidth="1"/>
    <col min="2" max="2" width="13" style="21" customWidth="1"/>
    <col min="3" max="3" width="9.125" style="21" customWidth="1"/>
    <col min="4" max="5" width="10.75" style="21" customWidth="1"/>
    <col min="6" max="6" width="9.75" style="21" customWidth="1"/>
    <col min="7" max="7" width="13" style="21" customWidth="1"/>
    <col min="8" max="8" width="9.125" style="21" customWidth="1"/>
    <col min="9" max="11" width="10.75" style="21" customWidth="1"/>
    <col min="12" max="12" width="0.625" style="21" customWidth="1"/>
    <col min="13" max="13" width="10.75" style="21" customWidth="1"/>
    <col min="14" max="14" width="9.125" style="21" customWidth="1"/>
    <col min="15" max="18" width="10.75" style="21" customWidth="1"/>
    <col min="19" max="19" width="9.125" style="21" customWidth="1"/>
    <col min="20" max="22" width="10.75" style="21" customWidth="1"/>
    <col min="23" max="23" width="11.875" style="21" customWidth="1"/>
    <col min="24" max="31" width="9" style="21"/>
    <col min="32" max="33" width="10.25" style="21" customWidth="1"/>
    <col min="34" max="34" width="10.375" style="21" customWidth="1"/>
    <col min="35" max="16384" width="9" style="21"/>
  </cols>
  <sheetData>
    <row r="1" spans="1:35" ht="23.45" customHeight="1" x14ac:dyDescent="0.25">
      <c r="A1" s="759" t="s">
        <v>649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280"/>
      <c r="M1" s="761" t="s">
        <v>435</v>
      </c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261"/>
    </row>
    <row r="2" spans="1:35" ht="16.149999999999999" customHeight="1" x14ac:dyDescent="0.25">
      <c r="A2" s="47" t="s">
        <v>208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50" t="s">
        <v>209</v>
      </c>
    </row>
    <row r="3" spans="1:35" s="22" customFormat="1" ht="15.6" customHeight="1" x14ac:dyDescent="0.25">
      <c r="A3" s="762" t="s">
        <v>469</v>
      </c>
      <c r="B3" s="765" t="s">
        <v>546</v>
      </c>
      <c r="C3" s="766"/>
      <c r="D3" s="766"/>
      <c r="E3" s="766"/>
      <c r="F3" s="767"/>
      <c r="G3" s="765" t="s">
        <v>487</v>
      </c>
      <c r="H3" s="766"/>
      <c r="I3" s="766"/>
      <c r="J3" s="766"/>
      <c r="K3" s="767"/>
      <c r="L3" s="290"/>
      <c r="M3" s="766" t="s">
        <v>488</v>
      </c>
      <c r="N3" s="766"/>
      <c r="O3" s="766"/>
      <c r="P3" s="766"/>
      <c r="Q3" s="767"/>
      <c r="R3" s="765" t="s">
        <v>489</v>
      </c>
      <c r="S3" s="766"/>
      <c r="T3" s="766"/>
      <c r="U3" s="766"/>
      <c r="V3" s="767"/>
      <c r="W3" s="768" t="s">
        <v>470</v>
      </c>
    </row>
    <row r="4" spans="1:35" ht="14.45" customHeight="1" x14ac:dyDescent="0.25">
      <c r="A4" s="763"/>
      <c r="B4" s="756">
        <v>2013</v>
      </c>
      <c r="C4" s="757"/>
      <c r="D4" s="757"/>
      <c r="E4" s="757"/>
      <c r="F4" s="758"/>
      <c r="G4" s="756">
        <v>2014</v>
      </c>
      <c r="H4" s="757"/>
      <c r="I4" s="757"/>
      <c r="J4" s="757"/>
      <c r="K4" s="758"/>
      <c r="L4" s="290"/>
      <c r="M4" s="757">
        <v>2015</v>
      </c>
      <c r="N4" s="757"/>
      <c r="O4" s="757"/>
      <c r="P4" s="757"/>
      <c r="Q4" s="758"/>
      <c r="R4" s="756">
        <v>2016</v>
      </c>
      <c r="S4" s="757"/>
      <c r="T4" s="757"/>
      <c r="U4" s="757"/>
      <c r="V4" s="758"/>
      <c r="W4" s="769"/>
    </row>
    <row r="5" spans="1:35" ht="15" customHeight="1" x14ac:dyDescent="0.25">
      <c r="A5" s="763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69"/>
    </row>
    <row r="6" spans="1:35" ht="26.25" customHeight="1" x14ac:dyDescent="0.25">
      <c r="A6" s="763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69"/>
    </row>
    <row r="7" spans="1:35" ht="35.25" customHeight="1" x14ac:dyDescent="0.25">
      <c r="A7" s="763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69"/>
    </row>
    <row r="8" spans="1:35" ht="41.25" customHeight="1" x14ac:dyDescent="0.25">
      <c r="A8" s="764"/>
      <c r="B8" s="260" t="s">
        <v>642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642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583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583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70"/>
    </row>
    <row r="9" spans="1:35" ht="18.75" customHeight="1" x14ac:dyDescent="0.25">
      <c r="A9" s="204" t="s">
        <v>136</v>
      </c>
      <c r="B9" s="233">
        <v>58.73</v>
      </c>
      <c r="C9" s="234">
        <v>7.4</v>
      </c>
      <c r="D9" s="234">
        <v>51.33</v>
      </c>
      <c r="E9" s="234">
        <v>51.33</v>
      </c>
      <c r="F9" s="268">
        <v>0</v>
      </c>
      <c r="G9" s="234">
        <v>58.95</v>
      </c>
      <c r="H9" s="234">
        <v>8.2100000000000009</v>
      </c>
      <c r="I9" s="269">
        <v>50.74</v>
      </c>
      <c r="J9" s="270">
        <v>50.74</v>
      </c>
      <c r="K9" s="213">
        <v>0</v>
      </c>
      <c r="L9" s="233"/>
      <c r="M9" s="269">
        <v>59.16</v>
      </c>
      <c r="N9" s="270">
        <v>8.48</v>
      </c>
      <c r="O9" s="270">
        <v>50.68</v>
      </c>
      <c r="P9" s="269">
        <v>50.68</v>
      </c>
      <c r="Q9" s="213">
        <v>0</v>
      </c>
      <c r="R9" s="271">
        <v>59.25</v>
      </c>
      <c r="S9" s="269">
        <v>7.96</v>
      </c>
      <c r="T9" s="270">
        <v>51.29</v>
      </c>
      <c r="U9" s="270">
        <v>51.29</v>
      </c>
      <c r="V9" s="272">
        <v>0</v>
      </c>
      <c r="W9" s="215" t="s">
        <v>137</v>
      </c>
    </row>
    <row r="10" spans="1:35" ht="18.75" customHeight="1" x14ac:dyDescent="0.25">
      <c r="A10" s="205" t="s">
        <v>138</v>
      </c>
      <c r="B10" s="233">
        <v>64.97</v>
      </c>
      <c r="C10" s="234">
        <v>63.777000000000001</v>
      </c>
      <c r="D10" s="234">
        <v>1.1919999999999999</v>
      </c>
      <c r="E10" s="234">
        <v>0</v>
      </c>
      <c r="F10" s="146">
        <v>1.1919999999999999</v>
      </c>
      <c r="G10" s="234">
        <v>67.561000000000007</v>
      </c>
      <c r="H10" s="234">
        <v>66.545000000000002</v>
      </c>
      <c r="I10" s="234">
        <v>1.016</v>
      </c>
      <c r="J10" s="234">
        <v>0</v>
      </c>
      <c r="K10" s="146">
        <v>1.016</v>
      </c>
      <c r="L10" s="233"/>
      <c r="M10" s="234">
        <v>68.811000000000007</v>
      </c>
      <c r="N10" s="234">
        <v>67.844999999999999</v>
      </c>
      <c r="O10" s="234">
        <v>0.96699999999999997</v>
      </c>
      <c r="P10" s="234">
        <v>0</v>
      </c>
      <c r="Q10" s="146">
        <v>0.96699999999999997</v>
      </c>
      <c r="R10" s="233">
        <v>69.093999999999994</v>
      </c>
      <c r="S10" s="234">
        <v>68.102999999999994</v>
      </c>
      <c r="T10" s="234">
        <v>0.99099999999999999</v>
      </c>
      <c r="U10" s="234">
        <v>0</v>
      </c>
      <c r="V10" s="146">
        <v>0.99099999999999999</v>
      </c>
      <c r="W10" s="215" t="s">
        <v>139</v>
      </c>
      <c r="AD10" s="315"/>
      <c r="AE10" s="315"/>
      <c r="AF10" s="315"/>
      <c r="AG10" s="315"/>
      <c r="AH10" s="315"/>
      <c r="AI10" s="315"/>
    </row>
    <row r="11" spans="1:35" ht="18.75" customHeight="1" x14ac:dyDescent="0.25">
      <c r="A11" s="205" t="s">
        <v>140</v>
      </c>
      <c r="B11" s="233">
        <v>73.847999999999999</v>
      </c>
      <c r="C11" s="234">
        <v>30.33</v>
      </c>
      <c r="D11" s="234">
        <v>43.518000000000001</v>
      </c>
      <c r="E11" s="234">
        <v>43.518000000000001</v>
      </c>
      <c r="F11" s="146">
        <v>0</v>
      </c>
      <c r="G11" s="234">
        <v>73.778000000000006</v>
      </c>
      <c r="H11" s="234">
        <v>30.077000000000002</v>
      </c>
      <c r="I11" s="234">
        <v>43.701000000000001</v>
      </c>
      <c r="J11" s="234">
        <v>43.701000000000001</v>
      </c>
      <c r="K11" s="146">
        <v>0</v>
      </c>
      <c r="L11" s="233"/>
      <c r="M11" s="234">
        <v>73.608000000000004</v>
      </c>
      <c r="N11" s="234">
        <v>29.798999999999999</v>
      </c>
      <c r="O11" s="234">
        <v>43.808999999999997</v>
      </c>
      <c r="P11" s="234">
        <v>43.808999999999997</v>
      </c>
      <c r="Q11" s="146">
        <v>0</v>
      </c>
      <c r="R11" s="233">
        <v>73.355000000000004</v>
      </c>
      <c r="S11" s="234">
        <v>29.657</v>
      </c>
      <c r="T11" s="234">
        <v>43.697000000000003</v>
      </c>
      <c r="U11" s="234">
        <v>43.697000000000003</v>
      </c>
      <c r="V11" s="146">
        <v>0</v>
      </c>
      <c r="W11" s="215" t="s">
        <v>141</v>
      </c>
      <c r="AD11" s="315"/>
      <c r="AE11" s="315"/>
      <c r="AF11" s="315"/>
      <c r="AG11" s="315"/>
      <c r="AH11" s="315"/>
    </row>
    <row r="12" spans="1:35" ht="18.75" customHeight="1" x14ac:dyDescent="0.25">
      <c r="A12" s="205" t="s">
        <v>142</v>
      </c>
      <c r="B12" s="233">
        <v>75.125</v>
      </c>
      <c r="C12" s="234">
        <v>10.589</v>
      </c>
      <c r="D12" s="234">
        <v>64.534999999999997</v>
      </c>
      <c r="E12" s="234">
        <v>64.489000000000004</v>
      </c>
      <c r="F12" s="146">
        <v>4.5999999999999999E-2</v>
      </c>
      <c r="G12" s="234">
        <v>75.587999999999994</v>
      </c>
      <c r="H12" s="234">
        <v>10.65</v>
      </c>
      <c r="I12" s="234">
        <v>64.938000000000002</v>
      </c>
      <c r="J12" s="234">
        <v>64.894999999999996</v>
      </c>
      <c r="K12" s="146">
        <v>4.2999999999999997E-2</v>
      </c>
      <c r="L12" s="233"/>
      <c r="M12" s="234">
        <v>75.894000000000005</v>
      </c>
      <c r="N12" s="234">
        <v>18.698</v>
      </c>
      <c r="O12" s="234">
        <v>57.195999999999998</v>
      </c>
      <c r="P12" s="234">
        <v>57.152999999999999</v>
      </c>
      <c r="Q12" s="146">
        <v>4.2999999999999997E-2</v>
      </c>
      <c r="R12" s="233">
        <v>76.225999999999999</v>
      </c>
      <c r="S12" s="139">
        <v>22.576000000000001</v>
      </c>
      <c r="T12" s="234">
        <v>53.65</v>
      </c>
      <c r="U12" s="234">
        <v>53.607999999999997</v>
      </c>
      <c r="V12" s="268">
        <v>4.2000000000000003E-2</v>
      </c>
      <c r="W12" s="215" t="s">
        <v>143</v>
      </c>
      <c r="AD12" s="315"/>
      <c r="AE12" s="315"/>
      <c r="AF12" s="315"/>
      <c r="AG12" s="315"/>
      <c r="AH12" s="315"/>
    </row>
    <row r="13" spans="1:35" ht="18.75" customHeight="1" x14ac:dyDescent="0.25">
      <c r="A13" s="205" t="s">
        <v>144</v>
      </c>
      <c r="B13" s="233">
        <v>70.959000000000003</v>
      </c>
      <c r="C13" s="234">
        <v>69.492999999999995</v>
      </c>
      <c r="D13" s="234">
        <v>1.4650000000000001</v>
      </c>
      <c r="E13" s="234">
        <v>1.4650000000000001</v>
      </c>
      <c r="F13" s="146">
        <v>0</v>
      </c>
      <c r="G13" s="234">
        <v>70.798000000000002</v>
      </c>
      <c r="H13" s="234">
        <v>69.343999999999994</v>
      </c>
      <c r="I13" s="234">
        <v>1.454</v>
      </c>
      <c r="J13" s="234">
        <v>1.454</v>
      </c>
      <c r="K13" s="146">
        <v>0</v>
      </c>
      <c r="L13" s="233"/>
      <c r="M13" s="234">
        <v>70.891999999999996</v>
      </c>
      <c r="N13" s="234">
        <v>69.448999999999998</v>
      </c>
      <c r="O13" s="234">
        <v>1.4430000000000001</v>
      </c>
      <c r="P13" s="234">
        <v>1.4430000000000001</v>
      </c>
      <c r="Q13" s="146">
        <v>0</v>
      </c>
      <c r="R13" s="233">
        <v>69.89</v>
      </c>
      <c r="S13" s="234">
        <v>68.466999999999999</v>
      </c>
      <c r="T13" s="234">
        <v>1.423</v>
      </c>
      <c r="U13" s="234">
        <v>1.423</v>
      </c>
      <c r="V13" s="146">
        <v>0</v>
      </c>
      <c r="W13" s="215" t="s">
        <v>145</v>
      </c>
      <c r="AD13" s="315"/>
      <c r="AE13" s="315"/>
      <c r="AF13" s="315"/>
      <c r="AG13" s="315"/>
      <c r="AH13" s="315"/>
    </row>
    <row r="14" spans="1:35" ht="18.75" customHeight="1" x14ac:dyDescent="0.25">
      <c r="A14" s="205" t="s">
        <v>146</v>
      </c>
      <c r="B14" s="235">
        <v>59.351999999999997</v>
      </c>
      <c r="C14" s="139">
        <v>2.4140000000000001</v>
      </c>
      <c r="D14" s="139">
        <v>56.938000000000002</v>
      </c>
      <c r="E14" s="139">
        <v>45.235999999999997</v>
      </c>
      <c r="F14" s="146">
        <v>11.702999999999999</v>
      </c>
      <c r="G14" s="139">
        <v>58.948</v>
      </c>
      <c r="H14" s="139">
        <v>2.2639999999999998</v>
      </c>
      <c r="I14" s="234">
        <v>56.683</v>
      </c>
      <c r="J14" s="139">
        <v>45.470999999999997</v>
      </c>
      <c r="K14" s="268">
        <v>11.212</v>
      </c>
      <c r="L14" s="235"/>
      <c r="M14" s="234">
        <v>58.746000000000002</v>
      </c>
      <c r="N14" s="234">
        <v>2.13</v>
      </c>
      <c r="O14" s="234">
        <v>56.616</v>
      </c>
      <c r="P14" s="234">
        <v>45.887</v>
      </c>
      <c r="Q14" s="146">
        <v>10.73</v>
      </c>
      <c r="R14" s="233">
        <v>58.491999999999997</v>
      </c>
      <c r="S14" s="139">
        <v>2.25</v>
      </c>
      <c r="T14" s="234">
        <v>56.241999999999997</v>
      </c>
      <c r="U14" s="234">
        <v>47.402999999999999</v>
      </c>
      <c r="V14" s="268">
        <v>8.8390000000000004</v>
      </c>
      <c r="W14" s="215" t="s">
        <v>147</v>
      </c>
      <c r="AD14" s="315"/>
      <c r="AE14" s="315"/>
      <c r="AF14" s="315"/>
      <c r="AG14" s="315"/>
      <c r="AH14" s="315"/>
    </row>
    <row r="15" spans="1:35" ht="18.75" customHeight="1" x14ac:dyDescent="0.25">
      <c r="A15" s="225" t="s">
        <v>383</v>
      </c>
      <c r="B15" s="235">
        <v>75.587000000000003</v>
      </c>
      <c r="C15" s="139">
        <v>6.8250000000000002</v>
      </c>
      <c r="D15" s="139">
        <v>68.762</v>
      </c>
      <c r="E15" s="139">
        <v>63.031999999999996</v>
      </c>
      <c r="F15" s="146">
        <v>5.7290000000000001</v>
      </c>
      <c r="G15" s="139">
        <v>76.183999999999997</v>
      </c>
      <c r="H15" s="139">
        <v>5.4939999999999998</v>
      </c>
      <c r="I15" s="234">
        <v>70.69</v>
      </c>
      <c r="J15" s="139">
        <v>64.91</v>
      </c>
      <c r="K15" s="268">
        <v>5.78</v>
      </c>
      <c r="L15" s="235"/>
      <c r="M15" s="234">
        <v>76.302999999999997</v>
      </c>
      <c r="N15" s="234">
        <v>4.4059999999999997</v>
      </c>
      <c r="O15" s="234">
        <v>71.897000000000006</v>
      </c>
      <c r="P15" s="234">
        <v>66.424999999999997</v>
      </c>
      <c r="Q15" s="146">
        <v>5.4720000000000004</v>
      </c>
      <c r="R15" s="233">
        <v>76.093999999999994</v>
      </c>
      <c r="S15" s="139">
        <v>3.738</v>
      </c>
      <c r="T15" s="234">
        <v>72.355999999999995</v>
      </c>
      <c r="U15" s="234">
        <v>66.591999999999999</v>
      </c>
      <c r="V15" s="268">
        <v>5.7649999999999997</v>
      </c>
      <c r="W15" s="226" t="s">
        <v>384</v>
      </c>
      <c r="AD15" s="315"/>
      <c r="AE15" s="315"/>
      <c r="AF15" s="315"/>
      <c r="AG15" s="315"/>
      <c r="AH15" s="315"/>
    </row>
    <row r="16" spans="1:35" ht="18.75" customHeight="1" x14ac:dyDescent="0.25">
      <c r="A16" s="225" t="s">
        <v>392</v>
      </c>
      <c r="B16" s="235">
        <v>74.893000000000001</v>
      </c>
      <c r="C16" s="139">
        <v>4.4279999999999999</v>
      </c>
      <c r="D16" s="139">
        <v>70.465000000000003</v>
      </c>
      <c r="E16" s="139">
        <v>69.48</v>
      </c>
      <c r="F16" s="146">
        <v>0.98499999999999999</v>
      </c>
      <c r="G16" s="139">
        <v>72.963999999999999</v>
      </c>
      <c r="H16" s="139">
        <v>5.9889999999999999</v>
      </c>
      <c r="I16" s="234">
        <v>66.974999999999994</v>
      </c>
      <c r="J16" s="139">
        <v>66.5</v>
      </c>
      <c r="K16" s="268">
        <v>0.47499999999999998</v>
      </c>
      <c r="L16" s="235"/>
      <c r="M16" s="234">
        <v>74.847999999999999</v>
      </c>
      <c r="N16" s="234">
        <v>5.7809999999999997</v>
      </c>
      <c r="O16" s="234">
        <v>69.066999999999993</v>
      </c>
      <c r="P16" s="234">
        <v>67.95</v>
      </c>
      <c r="Q16" s="146">
        <v>1.117</v>
      </c>
      <c r="R16" s="233">
        <v>75.100999999999999</v>
      </c>
      <c r="S16" s="234">
        <v>7</v>
      </c>
      <c r="T16" s="234">
        <v>68.102000000000004</v>
      </c>
      <c r="U16" s="234">
        <v>66.466999999999999</v>
      </c>
      <c r="V16" s="146">
        <v>1.6339999999999999</v>
      </c>
      <c r="W16" s="226" t="s">
        <v>391</v>
      </c>
      <c r="AD16" s="315"/>
      <c r="AE16" s="315"/>
      <c r="AF16" s="315"/>
      <c r="AG16" s="315"/>
      <c r="AH16" s="315"/>
    </row>
    <row r="17" spans="1:34" ht="18.75" customHeight="1" x14ac:dyDescent="0.25">
      <c r="A17" s="205" t="s">
        <v>148</v>
      </c>
      <c r="B17" s="233">
        <v>84.799000000000007</v>
      </c>
      <c r="C17" s="234">
        <v>11.24</v>
      </c>
      <c r="D17" s="234">
        <v>73.558999999999997</v>
      </c>
      <c r="E17" s="234">
        <v>73.558999999999997</v>
      </c>
      <c r="F17" s="146">
        <v>0</v>
      </c>
      <c r="G17" s="234">
        <v>84.314999999999998</v>
      </c>
      <c r="H17" s="234">
        <v>11.163</v>
      </c>
      <c r="I17" s="234">
        <v>73.150999999999996</v>
      </c>
      <c r="J17" s="234">
        <v>73.150999999999996</v>
      </c>
      <c r="K17" s="146">
        <v>0</v>
      </c>
      <c r="L17" s="233"/>
      <c r="M17" s="234">
        <v>84.706999999999994</v>
      </c>
      <c r="N17" s="234">
        <v>11.237</v>
      </c>
      <c r="O17" s="234">
        <v>73.468999999999994</v>
      </c>
      <c r="P17" s="234">
        <v>73.468999999999994</v>
      </c>
      <c r="Q17" s="146">
        <v>0</v>
      </c>
      <c r="R17" s="233">
        <v>84.849000000000004</v>
      </c>
      <c r="S17" s="234">
        <v>11.276999999999999</v>
      </c>
      <c r="T17" s="234">
        <v>73.572000000000003</v>
      </c>
      <c r="U17" s="234">
        <v>73.572000000000003</v>
      </c>
      <c r="V17" s="146">
        <v>0</v>
      </c>
      <c r="W17" s="215" t="s">
        <v>149</v>
      </c>
      <c r="AD17" s="315"/>
      <c r="AE17" s="315"/>
      <c r="AF17" s="315"/>
      <c r="AG17" s="315"/>
      <c r="AH17" s="315"/>
    </row>
    <row r="18" spans="1:34" ht="18.75" customHeight="1" x14ac:dyDescent="0.25">
      <c r="A18" s="205" t="s">
        <v>150</v>
      </c>
      <c r="B18" s="233">
        <v>84.433000000000007</v>
      </c>
      <c r="C18" s="234">
        <v>84.433000000000007</v>
      </c>
      <c r="D18" s="234">
        <v>0</v>
      </c>
      <c r="E18" s="234">
        <v>0</v>
      </c>
      <c r="F18" s="146">
        <v>0</v>
      </c>
      <c r="G18" s="234">
        <v>84.418000000000006</v>
      </c>
      <c r="H18" s="234">
        <v>84.418000000000006</v>
      </c>
      <c r="I18" s="234">
        <v>0</v>
      </c>
      <c r="J18" s="234">
        <v>0</v>
      </c>
      <c r="K18" s="146">
        <v>0</v>
      </c>
      <c r="L18" s="233"/>
      <c r="M18" s="234">
        <v>84.230999999999995</v>
      </c>
      <c r="N18" s="234">
        <v>84.230999999999995</v>
      </c>
      <c r="O18" s="234">
        <v>0</v>
      </c>
      <c r="P18" s="234">
        <v>0</v>
      </c>
      <c r="Q18" s="146">
        <v>0</v>
      </c>
      <c r="R18" s="233">
        <v>84.159000000000006</v>
      </c>
      <c r="S18" s="234">
        <v>84.159000000000006</v>
      </c>
      <c r="T18" s="234">
        <v>0</v>
      </c>
      <c r="U18" s="234">
        <v>0</v>
      </c>
      <c r="V18" s="146">
        <v>0</v>
      </c>
      <c r="W18" s="215" t="s">
        <v>151</v>
      </c>
      <c r="AD18" s="315"/>
      <c r="AE18" s="315"/>
      <c r="AF18" s="315"/>
      <c r="AG18" s="315"/>
      <c r="AH18" s="315"/>
    </row>
    <row r="19" spans="1:34" ht="18.75" customHeight="1" x14ac:dyDescent="0.25">
      <c r="A19" s="205" t="s">
        <v>152</v>
      </c>
      <c r="B19" s="235">
        <v>74.591999999999999</v>
      </c>
      <c r="C19" s="234">
        <v>12.632</v>
      </c>
      <c r="D19" s="234">
        <v>61.96</v>
      </c>
      <c r="E19" s="234">
        <v>61.96</v>
      </c>
      <c r="F19" s="146">
        <v>0</v>
      </c>
      <c r="G19" s="139">
        <v>74.813999999999993</v>
      </c>
      <c r="H19" s="234">
        <v>11.888</v>
      </c>
      <c r="I19" s="234">
        <v>62.926000000000002</v>
      </c>
      <c r="J19" s="139">
        <v>62.926000000000002</v>
      </c>
      <c r="K19" s="146">
        <v>0</v>
      </c>
      <c r="L19" s="233"/>
      <c r="M19" s="234">
        <v>74.691999999999993</v>
      </c>
      <c r="N19" s="234">
        <v>12.298</v>
      </c>
      <c r="O19" s="234">
        <v>62.393999999999998</v>
      </c>
      <c r="P19" s="234">
        <v>62.393999999999998</v>
      </c>
      <c r="Q19" s="146">
        <v>0</v>
      </c>
      <c r="R19" s="233">
        <v>74.646000000000001</v>
      </c>
      <c r="S19" s="234">
        <v>11.775</v>
      </c>
      <c r="T19" s="234">
        <v>62.871000000000002</v>
      </c>
      <c r="U19" s="234">
        <v>62.871000000000002</v>
      </c>
      <c r="V19" s="146">
        <v>0</v>
      </c>
      <c r="W19" s="215" t="s">
        <v>153</v>
      </c>
      <c r="AD19" s="315"/>
      <c r="AE19" s="315"/>
      <c r="AF19" s="315"/>
      <c r="AG19" s="315"/>
      <c r="AH19" s="315"/>
    </row>
    <row r="20" spans="1:34" ht="18.75" customHeight="1" x14ac:dyDescent="0.25">
      <c r="A20" s="205" t="s">
        <v>154</v>
      </c>
      <c r="B20" s="233">
        <v>77.95</v>
      </c>
      <c r="C20" s="234">
        <v>63.856999999999999</v>
      </c>
      <c r="D20" s="234">
        <v>14.093</v>
      </c>
      <c r="E20" s="234">
        <v>12.933999999999999</v>
      </c>
      <c r="F20" s="146">
        <v>1.159</v>
      </c>
      <c r="G20" s="234">
        <v>78.016000000000005</v>
      </c>
      <c r="H20" s="234">
        <v>63.817999999999998</v>
      </c>
      <c r="I20" s="234">
        <v>14.198</v>
      </c>
      <c r="J20" s="234">
        <v>13.073</v>
      </c>
      <c r="K20" s="146">
        <v>1.125</v>
      </c>
      <c r="L20" s="233"/>
      <c r="M20" s="234">
        <v>76.94</v>
      </c>
      <c r="N20" s="234">
        <v>62.472999999999999</v>
      </c>
      <c r="O20" s="234">
        <v>14.467000000000001</v>
      </c>
      <c r="P20" s="234">
        <v>13.335000000000001</v>
      </c>
      <c r="Q20" s="146">
        <v>1.1319999999999999</v>
      </c>
      <c r="R20" s="233">
        <v>76.225999999999999</v>
      </c>
      <c r="S20" s="234">
        <v>62.098999999999997</v>
      </c>
      <c r="T20" s="234">
        <v>14.127000000000001</v>
      </c>
      <c r="U20" s="234">
        <v>13.007</v>
      </c>
      <c r="V20" s="146">
        <v>1.121</v>
      </c>
      <c r="W20" s="215" t="s">
        <v>155</v>
      </c>
      <c r="AD20" s="315"/>
      <c r="AE20" s="315"/>
      <c r="AF20" s="315"/>
      <c r="AG20" s="315"/>
      <c r="AH20" s="315"/>
    </row>
    <row r="21" spans="1:34" ht="18.75" customHeight="1" x14ac:dyDescent="0.25">
      <c r="A21" s="205" t="s">
        <v>156</v>
      </c>
      <c r="B21" s="233">
        <v>75.465999999999994</v>
      </c>
      <c r="C21" s="234">
        <v>5.282</v>
      </c>
      <c r="D21" s="234">
        <v>70.183999999999997</v>
      </c>
      <c r="E21" s="234">
        <v>70.183999999999997</v>
      </c>
      <c r="F21" s="146">
        <v>0</v>
      </c>
      <c r="G21" s="234">
        <v>75.673000000000002</v>
      </c>
      <c r="H21" s="234">
        <v>5.3010000000000002</v>
      </c>
      <c r="I21" s="234">
        <v>70.372</v>
      </c>
      <c r="J21" s="234">
        <v>70.372</v>
      </c>
      <c r="K21" s="146">
        <v>0</v>
      </c>
      <c r="L21" s="233"/>
      <c r="M21" s="234">
        <v>75.774000000000001</v>
      </c>
      <c r="N21" s="234">
        <v>5.3330000000000002</v>
      </c>
      <c r="O21" s="234">
        <v>70.441000000000003</v>
      </c>
      <c r="P21" s="234">
        <v>70.441000000000003</v>
      </c>
      <c r="Q21" s="146">
        <v>0</v>
      </c>
      <c r="R21" s="233">
        <v>82.111000000000004</v>
      </c>
      <c r="S21" s="139">
        <v>5.3150000000000004</v>
      </c>
      <c r="T21" s="234">
        <v>76.796000000000006</v>
      </c>
      <c r="U21" s="234">
        <v>70.683000000000007</v>
      </c>
      <c r="V21" s="268">
        <v>6.1130000000000004</v>
      </c>
      <c r="W21" s="215" t="s">
        <v>157</v>
      </c>
      <c r="AD21" s="315"/>
      <c r="AE21" s="315"/>
      <c r="AF21" s="315"/>
      <c r="AG21" s="315"/>
      <c r="AH21" s="315"/>
    </row>
    <row r="22" spans="1:34" ht="18.75" customHeight="1" x14ac:dyDescent="0.25">
      <c r="A22" s="205" t="s">
        <v>158</v>
      </c>
      <c r="B22" s="233">
        <v>84.15</v>
      </c>
      <c r="C22" s="234">
        <v>6.867</v>
      </c>
      <c r="D22" s="234">
        <v>77.283000000000001</v>
      </c>
      <c r="E22" s="234">
        <v>69.466999999999999</v>
      </c>
      <c r="F22" s="146">
        <v>7.8150000000000004</v>
      </c>
      <c r="G22" s="234">
        <v>84.554000000000002</v>
      </c>
      <c r="H22" s="234">
        <v>6.9119999999999999</v>
      </c>
      <c r="I22" s="234">
        <v>77.643000000000001</v>
      </c>
      <c r="J22" s="234">
        <v>70.090999999999994</v>
      </c>
      <c r="K22" s="146">
        <v>7.5519999999999996</v>
      </c>
      <c r="L22" s="233"/>
      <c r="M22" s="234">
        <v>84.58</v>
      </c>
      <c r="N22" s="234">
        <v>6.9370000000000003</v>
      </c>
      <c r="O22" s="234">
        <v>77.643000000000001</v>
      </c>
      <c r="P22" s="234">
        <v>70.08</v>
      </c>
      <c r="Q22" s="146">
        <v>7.5629999999999997</v>
      </c>
      <c r="R22" s="233">
        <v>84.77</v>
      </c>
      <c r="S22" s="139">
        <v>7.1150000000000002</v>
      </c>
      <c r="T22" s="234">
        <v>77.655000000000001</v>
      </c>
      <c r="U22" s="234">
        <v>70.263000000000005</v>
      </c>
      <c r="V22" s="268">
        <v>7.3920000000000003</v>
      </c>
      <c r="W22" s="215" t="s">
        <v>159</v>
      </c>
      <c r="AD22" s="315"/>
      <c r="AE22" s="315"/>
      <c r="AF22" s="315"/>
      <c r="AG22" s="315"/>
      <c r="AH22" s="315"/>
    </row>
    <row r="23" spans="1:34" ht="18.75" customHeight="1" x14ac:dyDescent="0.25">
      <c r="A23" s="205" t="s">
        <v>160</v>
      </c>
      <c r="B23" s="233">
        <v>62.081000000000003</v>
      </c>
      <c r="C23" s="234">
        <v>30.56</v>
      </c>
      <c r="D23" s="234">
        <v>31.521000000000001</v>
      </c>
      <c r="E23" s="234">
        <v>31.521000000000001</v>
      </c>
      <c r="F23" s="146">
        <v>0</v>
      </c>
      <c r="G23" s="234">
        <v>57.558</v>
      </c>
      <c r="H23" s="234">
        <v>30.103999999999999</v>
      </c>
      <c r="I23" s="234">
        <v>27.454000000000001</v>
      </c>
      <c r="J23" s="234">
        <v>27.454000000000001</v>
      </c>
      <c r="K23" s="146">
        <v>0</v>
      </c>
      <c r="L23" s="233"/>
      <c r="M23" s="234">
        <v>58.424999999999997</v>
      </c>
      <c r="N23" s="234">
        <v>28.195</v>
      </c>
      <c r="O23" s="234">
        <v>30.228999999999999</v>
      </c>
      <c r="P23" s="234">
        <v>30.228999999999999</v>
      </c>
      <c r="Q23" s="146">
        <v>0</v>
      </c>
      <c r="R23" s="233">
        <v>61.387</v>
      </c>
      <c r="S23" s="234">
        <v>30.652000000000001</v>
      </c>
      <c r="T23" s="234">
        <v>30.734000000000002</v>
      </c>
      <c r="U23" s="234">
        <v>30.734000000000002</v>
      </c>
      <c r="V23" s="146">
        <v>0</v>
      </c>
      <c r="W23" s="215" t="s">
        <v>161</v>
      </c>
      <c r="AD23" s="315"/>
      <c r="AE23" s="315"/>
      <c r="AF23" s="315"/>
      <c r="AG23" s="315"/>
      <c r="AH23" s="315"/>
    </row>
    <row r="24" spans="1:34" ht="18.75" customHeight="1" x14ac:dyDescent="0.25">
      <c r="A24" s="205" t="s">
        <v>162</v>
      </c>
      <c r="B24" s="233">
        <v>66.623999999999995</v>
      </c>
      <c r="C24" s="234">
        <v>8.8610000000000007</v>
      </c>
      <c r="D24" s="234">
        <v>57.762999999999998</v>
      </c>
      <c r="E24" s="234">
        <v>57.762999999999998</v>
      </c>
      <c r="F24" s="146">
        <v>0</v>
      </c>
      <c r="G24" s="234">
        <v>67.075999999999993</v>
      </c>
      <c r="H24" s="234">
        <v>9.657</v>
      </c>
      <c r="I24" s="234">
        <v>57.417999999999999</v>
      </c>
      <c r="J24" s="234">
        <v>57.417999999999999</v>
      </c>
      <c r="K24" s="146">
        <v>0</v>
      </c>
      <c r="L24" s="233"/>
      <c r="M24" s="234">
        <v>68.167000000000002</v>
      </c>
      <c r="N24" s="234">
        <v>11.433</v>
      </c>
      <c r="O24" s="234">
        <v>56.734000000000002</v>
      </c>
      <c r="P24" s="234">
        <v>56.734000000000002</v>
      </c>
      <c r="Q24" s="146">
        <v>0</v>
      </c>
      <c r="R24" s="233">
        <v>68.078999999999994</v>
      </c>
      <c r="S24" s="234">
        <v>8.5</v>
      </c>
      <c r="T24" s="234">
        <v>59.579000000000001</v>
      </c>
      <c r="U24" s="234">
        <v>59.579000000000001</v>
      </c>
      <c r="V24" s="146">
        <v>0</v>
      </c>
      <c r="W24" s="215" t="s">
        <v>163</v>
      </c>
      <c r="AD24" s="315"/>
      <c r="AE24" s="315"/>
      <c r="AF24" s="315"/>
      <c r="AG24" s="315"/>
      <c r="AH24" s="315"/>
    </row>
    <row r="25" spans="1:34" ht="18.75" customHeight="1" x14ac:dyDescent="0.25">
      <c r="A25" s="205" t="s">
        <v>164</v>
      </c>
      <c r="B25" s="233">
        <v>80.355000000000004</v>
      </c>
      <c r="C25" s="234">
        <v>80.355000000000004</v>
      </c>
      <c r="D25" s="234">
        <v>0</v>
      </c>
      <c r="E25" s="234">
        <v>0</v>
      </c>
      <c r="F25" s="146">
        <v>0</v>
      </c>
      <c r="G25" s="234">
        <v>80.638999999999996</v>
      </c>
      <c r="H25" s="234">
        <v>80.638999999999996</v>
      </c>
      <c r="I25" s="234">
        <v>0</v>
      </c>
      <c r="J25" s="234">
        <v>0</v>
      </c>
      <c r="K25" s="146">
        <v>0</v>
      </c>
      <c r="L25" s="233"/>
      <c r="M25" s="234">
        <v>80.954999999999998</v>
      </c>
      <c r="N25" s="234">
        <v>80.954999999999998</v>
      </c>
      <c r="O25" s="234">
        <v>0</v>
      </c>
      <c r="P25" s="234">
        <v>0</v>
      </c>
      <c r="Q25" s="146">
        <v>0</v>
      </c>
      <c r="R25" s="233">
        <v>81.641000000000005</v>
      </c>
      <c r="S25" s="234">
        <v>81.641000000000005</v>
      </c>
      <c r="T25" s="234">
        <v>0</v>
      </c>
      <c r="U25" s="234">
        <v>0</v>
      </c>
      <c r="V25" s="146">
        <v>0</v>
      </c>
      <c r="W25" s="215" t="s">
        <v>165</v>
      </c>
      <c r="AD25" s="315"/>
      <c r="AE25" s="315"/>
      <c r="AF25" s="315"/>
      <c r="AG25" s="315"/>
      <c r="AH25" s="315"/>
    </row>
    <row r="26" spans="1:34" ht="18.75" customHeight="1" x14ac:dyDescent="0.25">
      <c r="A26" s="205" t="s">
        <v>166</v>
      </c>
      <c r="B26" s="233">
        <v>71.043000000000006</v>
      </c>
      <c r="C26" s="234">
        <v>70.736999999999995</v>
      </c>
      <c r="D26" s="234">
        <v>0.30599999999999999</v>
      </c>
      <c r="E26" s="234">
        <v>0.30599999999999999</v>
      </c>
      <c r="F26" s="146">
        <v>0</v>
      </c>
      <c r="G26" s="234">
        <v>71.286000000000001</v>
      </c>
      <c r="H26" s="234">
        <v>71.001999999999995</v>
      </c>
      <c r="I26" s="234">
        <v>0.28399999999999997</v>
      </c>
      <c r="J26" s="234">
        <v>0.28399999999999997</v>
      </c>
      <c r="K26" s="146">
        <v>0</v>
      </c>
      <c r="L26" s="233"/>
      <c r="M26" s="234">
        <v>71.795000000000002</v>
      </c>
      <c r="N26" s="234">
        <v>71.483000000000004</v>
      </c>
      <c r="O26" s="234">
        <v>0.312</v>
      </c>
      <c r="P26" s="234">
        <v>0.312</v>
      </c>
      <c r="Q26" s="146">
        <v>0</v>
      </c>
      <c r="R26" s="233">
        <v>72.156000000000006</v>
      </c>
      <c r="S26" s="234">
        <v>71.840999999999994</v>
      </c>
      <c r="T26" s="234">
        <v>0.315</v>
      </c>
      <c r="U26" s="234">
        <v>0.315</v>
      </c>
      <c r="V26" s="146">
        <v>0</v>
      </c>
      <c r="W26" s="215" t="s">
        <v>167</v>
      </c>
      <c r="AD26" s="315"/>
      <c r="AE26" s="315"/>
      <c r="AF26" s="315"/>
      <c r="AG26" s="315"/>
      <c r="AH26" s="315"/>
    </row>
    <row r="27" spans="1:34" ht="18.75" customHeight="1" x14ac:dyDescent="0.25">
      <c r="A27" s="205" t="s">
        <v>168</v>
      </c>
      <c r="B27" s="233">
        <v>63.418999999999997</v>
      </c>
      <c r="C27" s="234">
        <v>16.699000000000002</v>
      </c>
      <c r="D27" s="234">
        <v>46.72</v>
      </c>
      <c r="E27" s="234">
        <v>46.72</v>
      </c>
      <c r="F27" s="146">
        <v>0</v>
      </c>
      <c r="G27" s="234">
        <v>63.131999999999998</v>
      </c>
      <c r="H27" s="234">
        <v>17.395</v>
      </c>
      <c r="I27" s="234">
        <v>45.737000000000002</v>
      </c>
      <c r="J27" s="234">
        <v>45.737000000000002</v>
      </c>
      <c r="K27" s="146">
        <v>0</v>
      </c>
      <c r="L27" s="233"/>
      <c r="M27" s="234">
        <v>63.417000000000002</v>
      </c>
      <c r="N27" s="234">
        <v>16.808</v>
      </c>
      <c r="O27" s="234">
        <v>46.609000000000002</v>
      </c>
      <c r="P27" s="234">
        <v>46.609000000000002</v>
      </c>
      <c r="Q27" s="146">
        <v>0</v>
      </c>
      <c r="R27" s="233">
        <v>63.316000000000003</v>
      </c>
      <c r="S27" s="234">
        <v>15.281000000000001</v>
      </c>
      <c r="T27" s="234">
        <v>48.034999999999997</v>
      </c>
      <c r="U27" s="234">
        <v>48.034999999999997</v>
      </c>
      <c r="V27" s="146">
        <v>0</v>
      </c>
      <c r="W27" s="215" t="s">
        <v>169</v>
      </c>
      <c r="AD27" s="315"/>
      <c r="AE27" s="315"/>
      <c r="AF27" s="315"/>
      <c r="AG27" s="315"/>
      <c r="AH27" s="315"/>
    </row>
    <row r="28" spans="1:34" ht="18.75" customHeight="1" x14ac:dyDescent="0.25">
      <c r="A28" s="205" t="s">
        <v>170</v>
      </c>
      <c r="B28" s="233">
        <v>75.180999999999997</v>
      </c>
      <c r="C28" s="234">
        <v>74.942999999999998</v>
      </c>
      <c r="D28" s="234">
        <v>0.23899999999999999</v>
      </c>
      <c r="E28" s="234">
        <v>0.23899999999999999</v>
      </c>
      <c r="F28" s="146">
        <v>0</v>
      </c>
      <c r="G28" s="234">
        <v>74.933999999999997</v>
      </c>
      <c r="H28" s="234">
        <v>74.691999999999993</v>
      </c>
      <c r="I28" s="234">
        <v>0.24199999999999999</v>
      </c>
      <c r="J28" s="234">
        <v>0.24199999999999999</v>
      </c>
      <c r="K28" s="146">
        <v>0</v>
      </c>
      <c r="L28" s="233"/>
      <c r="M28" s="234">
        <v>74.016000000000005</v>
      </c>
      <c r="N28" s="234">
        <v>73.783000000000001</v>
      </c>
      <c r="O28" s="234">
        <v>0.23300000000000001</v>
      </c>
      <c r="P28" s="234">
        <v>0.23300000000000001</v>
      </c>
      <c r="Q28" s="146">
        <v>0</v>
      </c>
      <c r="R28" s="233">
        <v>73.938000000000002</v>
      </c>
      <c r="S28" s="139">
        <v>73.759</v>
      </c>
      <c r="T28" s="234">
        <v>0.18</v>
      </c>
      <c r="U28" s="234">
        <v>0.18</v>
      </c>
      <c r="V28" s="268">
        <v>0</v>
      </c>
      <c r="W28" s="215" t="s">
        <v>171</v>
      </c>
      <c r="AD28" s="315"/>
      <c r="AE28" s="315"/>
      <c r="AF28" s="315"/>
      <c r="AG28" s="315"/>
      <c r="AH28" s="315"/>
    </row>
    <row r="29" spans="1:34" ht="18.75" customHeight="1" x14ac:dyDescent="0.25">
      <c r="A29" s="205" t="s">
        <v>172</v>
      </c>
      <c r="B29" s="233">
        <v>84.260999999999996</v>
      </c>
      <c r="C29" s="234">
        <v>8.4559999999999995</v>
      </c>
      <c r="D29" s="234">
        <v>75.805000000000007</v>
      </c>
      <c r="E29" s="234" t="s">
        <v>604</v>
      </c>
      <c r="F29" s="146" t="s">
        <v>604</v>
      </c>
      <c r="G29" s="234">
        <v>84.117999999999995</v>
      </c>
      <c r="H29" s="234">
        <v>8.7029999999999994</v>
      </c>
      <c r="I29" s="234">
        <v>75.415000000000006</v>
      </c>
      <c r="J29" s="234" t="s">
        <v>604</v>
      </c>
      <c r="K29" s="146" t="s">
        <v>604</v>
      </c>
      <c r="L29" s="233"/>
      <c r="M29" s="234">
        <v>84.082999999999998</v>
      </c>
      <c r="N29" s="234">
        <v>8.41</v>
      </c>
      <c r="O29" s="234">
        <v>75.673000000000002</v>
      </c>
      <c r="P29" s="234">
        <v>75.673000000000002</v>
      </c>
      <c r="Q29" s="146">
        <v>0</v>
      </c>
      <c r="R29" s="233">
        <v>84.037000000000006</v>
      </c>
      <c r="S29" s="139">
        <v>8.5429999999999993</v>
      </c>
      <c r="T29" s="234">
        <v>75.494</v>
      </c>
      <c r="U29" s="234" t="s">
        <v>604</v>
      </c>
      <c r="V29" s="268" t="s">
        <v>604</v>
      </c>
      <c r="W29" s="215" t="s">
        <v>173</v>
      </c>
      <c r="AD29" s="315"/>
      <c r="AE29" s="315"/>
      <c r="AF29" s="315"/>
      <c r="AG29" s="315"/>
      <c r="AH29" s="315"/>
    </row>
    <row r="30" spans="1:34" ht="18.75" customHeight="1" x14ac:dyDescent="0.25">
      <c r="A30" s="205" t="s">
        <v>174</v>
      </c>
      <c r="B30" s="233">
        <v>55.917999999999999</v>
      </c>
      <c r="C30" s="234">
        <v>9.8439999999999994</v>
      </c>
      <c r="D30" s="234">
        <v>46.075000000000003</v>
      </c>
      <c r="E30" s="234">
        <v>44.807000000000002</v>
      </c>
      <c r="F30" s="146">
        <v>1.268</v>
      </c>
      <c r="G30" s="234">
        <v>56.040999999999997</v>
      </c>
      <c r="H30" s="234">
        <v>9.9410000000000007</v>
      </c>
      <c r="I30" s="234">
        <v>46.1</v>
      </c>
      <c r="J30" s="234">
        <v>44.59</v>
      </c>
      <c r="K30" s="146">
        <v>1.51</v>
      </c>
      <c r="L30" s="233"/>
      <c r="M30" s="234">
        <v>55.79</v>
      </c>
      <c r="N30" s="234">
        <v>10.087</v>
      </c>
      <c r="O30" s="234">
        <v>45.703000000000003</v>
      </c>
      <c r="P30" s="234">
        <v>44.189</v>
      </c>
      <c r="Q30" s="146">
        <v>1.514</v>
      </c>
      <c r="R30" s="233">
        <v>56.518000000000001</v>
      </c>
      <c r="S30" s="234">
        <v>9.8369999999999997</v>
      </c>
      <c r="T30" s="234">
        <v>46.68</v>
      </c>
      <c r="U30" s="234">
        <v>45.176000000000002</v>
      </c>
      <c r="V30" s="146">
        <v>1.504</v>
      </c>
      <c r="W30" s="215" t="s">
        <v>175</v>
      </c>
      <c r="AD30" s="315"/>
      <c r="AE30" s="315"/>
      <c r="AF30" s="315"/>
      <c r="AG30" s="315"/>
      <c r="AH30" s="315"/>
    </row>
    <row r="31" spans="1:34" ht="18.75" customHeight="1" x14ac:dyDescent="0.25">
      <c r="A31" s="205" t="s">
        <v>176</v>
      </c>
      <c r="B31" s="235">
        <v>60.014000000000003</v>
      </c>
      <c r="C31" s="139">
        <v>60.014000000000003</v>
      </c>
      <c r="D31" s="139">
        <v>0</v>
      </c>
      <c r="E31" s="139">
        <v>0</v>
      </c>
      <c r="F31" s="146">
        <v>0</v>
      </c>
      <c r="G31" s="139">
        <v>59.671999999999997</v>
      </c>
      <c r="H31" s="139">
        <v>59.671999999999997</v>
      </c>
      <c r="I31" s="234">
        <v>0</v>
      </c>
      <c r="J31" s="139">
        <v>0</v>
      </c>
      <c r="K31" s="268">
        <v>0</v>
      </c>
      <c r="L31" s="235"/>
      <c r="M31" s="234">
        <v>58.652999999999999</v>
      </c>
      <c r="N31" s="234">
        <v>58.652999999999999</v>
      </c>
      <c r="O31" s="234">
        <v>0</v>
      </c>
      <c r="P31" s="234">
        <v>0</v>
      </c>
      <c r="Q31" s="146">
        <v>0</v>
      </c>
      <c r="R31" s="233">
        <v>55.866999999999997</v>
      </c>
      <c r="S31" s="234">
        <v>55.866999999999997</v>
      </c>
      <c r="T31" s="234">
        <v>0</v>
      </c>
      <c r="U31" s="234">
        <v>0</v>
      </c>
      <c r="V31" s="146">
        <v>0</v>
      </c>
      <c r="W31" s="215" t="s">
        <v>177</v>
      </c>
      <c r="AD31" s="315"/>
      <c r="AE31" s="315"/>
      <c r="AF31" s="315"/>
      <c r="AG31" s="315"/>
      <c r="AH31" s="315"/>
    </row>
    <row r="32" spans="1:34" ht="18.75" customHeight="1" x14ac:dyDescent="0.25">
      <c r="A32" s="205" t="s">
        <v>306</v>
      </c>
      <c r="B32" s="235">
        <v>66.248999999999995</v>
      </c>
      <c r="C32" s="139">
        <v>8.8040000000000003</v>
      </c>
      <c r="D32" s="139">
        <v>57.445</v>
      </c>
      <c r="E32" s="139" t="s">
        <v>604</v>
      </c>
      <c r="F32" s="146" t="s">
        <v>604</v>
      </c>
      <c r="G32" s="139">
        <v>67.561000000000007</v>
      </c>
      <c r="H32" s="139">
        <v>10.098000000000001</v>
      </c>
      <c r="I32" s="234">
        <v>57.462000000000003</v>
      </c>
      <c r="J32" s="139">
        <v>57.462000000000003</v>
      </c>
      <c r="K32" s="268">
        <v>0</v>
      </c>
      <c r="L32" s="235"/>
      <c r="M32" s="234">
        <v>67.14</v>
      </c>
      <c r="N32" s="234">
        <v>9.9659999999999993</v>
      </c>
      <c r="O32" s="234">
        <v>57.173999999999999</v>
      </c>
      <c r="P32" s="234">
        <v>57.173999999999999</v>
      </c>
      <c r="Q32" s="146">
        <v>0</v>
      </c>
      <c r="R32" s="233">
        <v>66.596000000000004</v>
      </c>
      <c r="S32" s="139">
        <v>9.5009999999999994</v>
      </c>
      <c r="T32" s="234">
        <v>57.094999999999999</v>
      </c>
      <c r="U32" s="234">
        <v>57.094999999999999</v>
      </c>
      <c r="V32" s="268">
        <v>0</v>
      </c>
      <c r="W32" s="215" t="s">
        <v>305</v>
      </c>
      <c r="AD32" s="315"/>
      <c r="AE32" s="315"/>
      <c r="AF32" s="315"/>
      <c r="AG32" s="315"/>
      <c r="AH32" s="315"/>
    </row>
    <row r="33" spans="1:34" ht="18.75" customHeight="1" x14ac:dyDescent="0.25">
      <c r="A33" s="205" t="s">
        <v>178</v>
      </c>
      <c r="B33" s="233">
        <v>83.090999999999994</v>
      </c>
      <c r="C33" s="234">
        <v>3.831</v>
      </c>
      <c r="D33" s="234">
        <v>79.260000000000005</v>
      </c>
      <c r="E33" s="234">
        <v>79.260000000000005</v>
      </c>
      <c r="F33" s="146">
        <v>0</v>
      </c>
      <c r="G33" s="234">
        <v>83.475999999999999</v>
      </c>
      <c r="H33" s="234">
        <v>4.4169999999999998</v>
      </c>
      <c r="I33" s="234">
        <v>79.058999999999997</v>
      </c>
      <c r="J33" s="234">
        <v>79.058999999999997</v>
      </c>
      <c r="K33" s="146">
        <v>0</v>
      </c>
      <c r="L33" s="233"/>
      <c r="M33" s="234">
        <v>83.659000000000006</v>
      </c>
      <c r="N33" s="234">
        <v>4.5380000000000003</v>
      </c>
      <c r="O33" s="234">
        <v>79.120999999999995</v>
      </c>
      <c r="P33" s="234">
        <v>79.120999999999995</v>
      </c>
      <c r="Q33" s="146">
        <v>0</v>
      </c>
      <c r="R33" s="233">
        <v>83.608000000000004</v>
      </c>
      <c r="S33" s="139">
        <v>4.7190000000000003</v>
      </c>
      <c r="T33" s="234">
        <v>78.888999999999996</v>
      </c>
      <c r="U33" s="234">
        <v>78.888999999999996</v>
      </c>
      <c r="V33" s="268">
        <v>0</v>
      </c>
      <c r="W33" s="215" t="s">
        <v>179</v>
      </c>
      <c r="AD33" s="315"/>
      <c r="AE33" s="315"/>
      <c r="AF33" s="315"/>
      <c r="AG33" s="315"/>
      <c r="AH33" s="315"/>
    </row>
    <row r="34" spans="1:34" ht="18.75" customHeight="1" x14ac:dyDescent="0.25">
      <c r="A34" s="205" t="s">
        <v>180</v>
      </c>
      <c r="B34" s="235">
        <v>53.750999999999998</v>
      </c>
      <c r="C34" s="234">
        <v>23.599</v>
      </c>
      <c r="D34" s="234">
        <v>30.152000000000001</v>
      </c>
      <c r="E34" s="234">
        <v>30.152000000000001</v>
      </c>
      <c r="F34" s="146">
        <v>0</v>
      </c>
      <c r="G34" s="139">
        <v>52.082000000000001</v>
      </c>
      <c r="H34" s="234">
        <v>24.058</v>
      </c>
      <c r="I34" s="234">
        <v>28.024000000000001</v>
      </c>
      <c r="J34" s="139">
        <v>28.024000000000001</v>
      </c>
      <c r="K34" s="146">
        <v>0</v>
      </c>
      <c r="L34" s="233"/>
      <c r="M34" s="234">
        <v>52.201000000000001</v>
      </c>
      <c r="N34" s="234">
        <v>23.907</v>
      </c>
      <c r="O34" s="234">
        <v>28.294</v>
      </c>
      <c r="P34" s="234">
        <v>28.294</v>
      </c>
      <c r="Q34" s="146">
        <v>0</v>
      </c>
      <c r="R34" s="233">
        <v>51.28</v>
      </c>
      <c r="S34" s="234">
        <v>23.478000000000002</v>
      </c>
      <c r="T34" s="234">
        <v>27.800999999999998</v>
      </c>
      <c r="U34" s="234">
        <v>27.800999999999998</v>
      </c>
      <c r="V34" s="146">
        <v>0</v>
      </c>
      <c r="W34" s="215" t="s">
        <v>181</v>
      </c>
      <c r="AD34" s="315"/>
      <c r="AE34" s="315"/>
      <c r="AF34" s="315"/>
      <c r="AG34" s="315"/>
      <c r="AH34" s="315"/>
    </row>
    <row r="35" spans="1:34" ht="18.75" customHeight="1" x14ac:dyDescent="0.25">
      <c r="A35" s="205" t="s">
        <v>182</v>
      </c>
      <c r="B35" s="233">
        <v>81.146000000000001</v>
      </c>
      <c r="C35" s="234">
        <v>4.9770000000000003</v>
      </c>
      <c r="D35" s="234">
        <v>76.168999999999997</v>
      </c>
      <c r="E35" s="234">
        <v>26.515000000000001</v>
      </c>
      <c r="F35" s="146">
        <v>49.655000000000001</v>
      </c>
      <c r="G35" s="234">
        <v>81.081000000000003</v>
      </c>
      <c r="H35" s="234">
        <v>5.024</v>
      </c>
      <c r="I35" s="234">
        <v>76.057000000000002</v>
      </c>
      <c r="J35" s="234">
        <v>26.206</v>
      </c>
      <c r="K35" s="146">
        <v>49.850999999999999</v>
      </c>
      <c r="L35" s="233"/>
      <c r="M35" s="234">
        <v>81.38</v>
      </c>
      <c r="N35" s="234">
        <v>6.2290000000000001</v>
      </c>
      <c r="O35" s="234">
        <v>75.152000000000001</v>
      </c>
      <c r="P35" s="234">
        <v>20.039000000000001</v>
      </c>
      <c r="Q35" s="146">
        <v>55.113</v>
      </c>
      <c r="R35" s="233">
        <v>81.188000000000002</v>
      </c>
      <c r="S35" s="139">
        <v>6.3070000000000004</v>
      </c>
      <c r="T35" s="234">
        <v>74.882999999999996</v>
      </c>
      <c r="U35" s="234">
        <v>19.696999999999999</v>
      </c>
      <c r="V35" s="268">
        <v>55.185000000000002</v>
      </c>
      <c r="W35" s="215" t="s">
        <v>183</v>
      </c>
      <c r="AD35" s="315"/>
      <c r="AE35" s="315"/>
      <c r="AF35" s="315"/>
      <c r="AG35" s="315"/>
      <c r="AH35" s="315"/>
    </row>
    <row r="36" spans="1:34" ht="18.75" customHeight="1" x14ac:dyDescent="0.25">
      <c r="A36" s="205" t="s">
        <v>184</v>
      </c>
      <c r="B36" s="233">
        <v>80.39</v>
      </c>
      <c r="C36" s="234">
        <v>71.927000000000007</v>
      </c>
      <c r="D36" s="234">
        <v>8.4640000000000004</v>
      </c>
      <c r="E36" s="234">
        <v>8.4640000000000004</v>
      </c>
      <c r="F36" s="146">
        <v>0</v>
      </c>
      <c r="G36" s="234">
        <v>79.337000000000003</v>
      </c>
      <c r="H36" s="234">
        <v>70.572000000000003</v>
      </c>
      <c r="I36" s="234">
        <v>8.7650000000000006</v>
      </c>
      <c r="J36" s="234">
        <v>8.7650000000000006</v>
      </c>
      <c r="K36" s="146">
        <v>0</v>
      </c>
      <c r="L36" s="233"/>
      <c r="M36" s="234">
        <v>78.42</v>
      </c>
      <c r="N36" s="234">
        <v>69.153999999999996</v>
      </c>
      <c r="O36" s="234">
        <v>9.2669999999999995</v>
      </c>
      <c r="P36" s="234">
        <v>9.2669999999999995</v>
      </c>
      <c r="Q36" s="146">
        <v>0</v>
      </c>
      <c r="R36" s="233">
        <v>77.394999999999996</v>
      </c>
      <c r="S36" s="139">
        <v>67.855000000000004</v>
      </c>
      <c r="T36" s="234">
        <v>9.5399999999999991</v>
      </c>
      <c r="U36" s="234">
        <v>9.5399999999999991</v>
      </c>
      <c r="V36" s="268">
        <v>0</v>
      </c>
      <c r="W36" s="215" t="s">
        <v>185</v>
      </c>
      <c r="AD36" s="315"/>
      <c r="AE36" s="315"/>
      <c r="AF36" s="315"/>
      <c r="AG36" s="315"/>
      <c r="AH36" s="315"/>
    </row>
    <row r="37" spans="1:34" ht="18.75" customHeight="1" x14ac:dyDescent="0.25">
      <c r="A37" s="205" t="s">
        <v>186</v>
      </c>
      <c r="B37" s="233">
        <v>85.022999999999996</v>
      </c>
      <c r="C37" s="234">
        <v>85.022999999999996</v>
      </c>
      <c r="D37" s="234">
        <v>0</v>
      </c>
      <c r="E37" s="234">
        <v>0</v>
      </c>
      <c r="F37" s="146">
        <v>0</v>
      </c>
      <c r="G37" s="234">
        <v>85.289000000000001</v>
      </c>
      <c r="H37" s="234">
        <v>85.289000000000001</v>
      </c>
      <c r="I37" s="234">
        <v>0</v>
      </c>
      <c r="J37" s="234">
        <v>0</v>
      </c>
      <c r="K37" s="146">
        <v>0</v>
      </c>
      <c r="L37" s="233"/>
      <c r="M37" s="234">
        <v>85.515000000000001</v>
      </c>
      <c r="N37" s="234">
        <v>85.515000000000001</v>
      </c>
      <c r="O37" s="234">
        <v>0</v>
      </c>
      <c r="P37" s="234">
        <v>0</v>
      </c>
      <c r="Q37" s="146">
        <v>0</v>
      </c>
      <c r="R37" s="233">
        <v>85.379000000000005</v>
      </c>
      <c r="S37" s="234">
        <v>85.379000000000005</v>
      </c>
      <c r="T37" s="234">
        <v>0</v>
      </c>
      <c r="U37" s="234">
        <v>0</v>
      </c>
      <c r="V37" s="146">
        <v>0</v>
      </c>
      <c r="W37" s="215" t="s">
        <v>187</v>
      </c>
      <c r="AD37" s="315"/>
      <c r="AE37" s="315"/>
      <c r="AF37" s="315"/>
      <c r="AG37" s="315"/>
      <c r="AH37" s="315"/>
    </row>
    <row r="38" spans="1:34" ht="18.75" customHeight="1" x14ac:dyDescent="0.25">
      <c r="A38" s="205" t="s">
        <v>188</v>
      </c>
      <c r="B38" s="233">
        <v>70.658000000000001</v>
      </c>
      <c r="C38" s="234">
        <v>9.9719999999999995</v>
      </c>
      <c r="D38" s="234">
        <v>60.686</v>
      </c>
      <c r="E38" s="234">
        <v>60.311</v>
      </c>
      <c r="F38" s="146">
        <v>0.375</v>
      </c>
      <c r="G38" s="234">
        <v>70.659000000000006</v>
      </c>
      <c r="H38" s="234">
        <v>9.3209999999999997</v>
      </c>
      <c r="I38" s="234">
        <v>61.338000000000001</v>
      </c>
      <c r="J38" s="234">
        <v>60.948</v>
      </c>
      <c r="K38" s="146">
        <v>0.39</v>
      </c>
      <c r="L38" s="233"/>
      <c r="M38" s="234">
        <v>69.744</v>
      </c>
      <c r="N38" s="234">
        <v>9.4610000000000003</v>
      </c>
      <c r="O38" s="234">
        <v>60.283000000000001</v>
      </c>
      <c r="P38" s="234">
        <v>59.878999999999998</v>
      </c>
      <c r="Q38" s="146">
        <v>0.40400000000000003</v>
      </c>
      <c r="R38" s="233">
        <v>69.320999999999998</v>
      </c>
      <c r="S38" s="139">
        <v>9.7129999999999992</v>
      </c>
      <c r="T38" s="234">
        <v>59.607999999999997</v>
      </c>
      <c r="U38" s="234">
        <v>59.13</v>
      </c>
      <c r="V38" s="268">
        <v>0.47799999999999998</v>
      </c>
      <c r="W38" s="215" t="s">
        <v>189</v>
      </c>
      <c r="AD38" s="315"/>
      <c r="AE38" s="315"/>
      <c r="AF38" s="315"/>
      <c r="AG38" s="315"/>
      <c r="AH38" s="315"/>
    </row>
    <row r="39" spans="1:34" ht="18.75" customHeight="1" x14ac:dyDescent="0.25">
      <c r="A39" s="205" t="s">
        <v>190</v>
      </c>
      <c r="B39" s="233">
        <v>62.344999999999999</v>
      </c>
      <c r="C39" s="234">
        <v>60.17</v>
      </c>
      <c r="D39" s="234">
        <v>2.1749999999999998</v>
      </c>
      <c r="E39" s="234">
        <v>2.1749999999999998</v>
      </c>
      <c r="F39" s="146">
        <v>0</v>
      </c>
      <c r="G39" s="234">
        <v>61.8</v>
      </c>
      <c r="H39" s="234">
        <v>59.482999999999997</v>
      </c>
      <c r="I39" s="234">
        <v>2.3170000000000002</v>
      </c>
      <c r="J39" s="234">
        <v>2.3170000000000002</v>
      </c>
      <c r="K39" s="146">
        <v>0</v>
      </c>
      <c r="L39" s="233"/>
      <c r="M39" s="234">
        <v>61.73</v>
      </c>
      <c r="N39" s="234">
        <v>59.411000000000001</v>
      </c>
      <c r="O39" s="234">
        <v>2.319</v>
      </c>
      <c r="P39" s="234">
        <v>2.319</v>
      </c>
      <c r="Q39" s="146">
        <v>0</v>
      </c>
      <c r="R39" s="233">
        <v>61.664000000000001</v>
      </c>
      <c r="S39" s="234">
        <v>59.304000000000002</v>
      </c>
      <c r="T39" s="234">
        <v>2.36</v>
      </c>
      <c r="U39" s="234">
        <v>2.36</v>
      </c>
      <c r="V39" s="146">
        <v>0</v>
      </c>
      <c r="W39" s="215" t="s">
        <v>191</v>
      </c>
      <c r="AD39" s="315"/>
      <c r="AE39" s="315"/>
      <c r="AF39" s="315"/>
      <c r="AG39" s="315"/>
      <c r="AH39" s="315"/>
    </row>
    <row r="40" spans="1:34" ht="18.75" customHeight="1" x14ac:dyDescent="0.25">
      <c r="A40" s="205" t="s">
        <v>498</v>
      </c>
      <c r="B40" s="233">
        <v>47.374071810000004</v>
      </c>
      <c r="C40" s="234">
        <v>36.799830900000003</v>
      </c>
      <c r="D40" s="234">
        <v>4.9400729599999993</v>
      </c>
      <c r="E40" s="234">
        <v>4.9400729599999993</v>
      </c>
      <c r="F40" s="146">
        <v>0</v>
      </c>
      <c r="G40" s="233">
        <v>50.562458269999993</v>
      </c>
      <c r="H40" s="234">
        <v>39.342529839999997</v>
      </c>
      <c r="I40" s="234">
        <v>5.697459499999999</v>
      </c>
      <c r="J40" s="234">
        <v>5.697459499999999</v>
      </c>
      <c r="K40" s="146">
        <v>0</v>
      </c>
      <c r="L40" s="233"/>
      <c r="M40" s="234">
        <v>52.161556910000016</v>
      </c>
      <c r="N40" s="234">
        <v>40.823671690000005</v>
      </c>
      <c r="O40" s="234">
        <v>6.2546147299999992</v>
      </c>
      <c r="P40" s="234">
        <v>6.2546147299999992</v>
      </c>
      <c r="Q40" s="146">
        <v>0</v>
      </c>
      <c r="R40" s="233">
        <v>52.19699244000001</v>
      </c>
      <c r="S40" s="234">
        <v>39.751190420000007</v>
      </c>
      <c r="T40" s="234">
        <v>7.6311095800000004</v>
      </c>
      <c r="U40" s="234">
        <v>7.6311095800000004</v>
      </c>
      <c r="V40" s="146">
        <v>0</v>
      </c>
      <c r="W40" s="215" t="s">
        <v>499</v>
      </c>
    </row>
    <row r="41" spans="1:34" ht="18.75" customHeight="1" x14ac:dyDescent="0.25">
      <c r="A41" s="205" t="s">
        <v>192</v>
      </c>
      <c r="B41" s="233">
        <v>74.204999999999998</v>
      </c>
      <c r="C41" s="234">
        <v>6.6550000000000002</v>
      </c>
      <c r="D41" s="234">
        <v>67.55</v>
      </c>
      <c r="E41" s="234" t="s">
        <v>604</v>
      </c>
      <c r="F41" s="146" t="s">
        <v>604</v>
      </c>
      <c r="G41" s="234">
        <v>80.227000000000004</v>
      </c>
      <c r="H41" s="234">
        <v>4</v>
      </c>
      <c r="I41" s="234">
        <v>76.227000000000004</v>
      </c>
      <c r="J41" s="234" t="s">
        <v>604</v>
      </c>
      <c r="K41" s="146" t="s">
        <v>604</v>
      </c>
      <c r="L41" s="233"/>
      <c r="M41" s="234">
        <v>79.715999999999994</v>
      </c>
      <c r="N41" s="234">
        <v>4.335</v>
      </c>
      <c r="O41" s="234">
        <v>75.381</v>
      </c>
      <c r="P41" s="234" t="s">
        <v>604</v>
      </c>
      <c r="Q41" s="146" t="s">
        <v>604</v>
      </c>
      <c r="R41" s="233">
        <v>80.36</v>
      </c>
      <c r="S41" s="139">
        <v>2.6779999999999999</v>
      </c>
      <c r="T41" s="234">
        <v>77.682000000000002</v>
      </c>
      <c r="U41" s="234">
        <v>77.682000000000002</v>
      </c>
      <c r="V41" s="268">
        <v>0</v>
      </c>
      <c r="W41" s="215" t="s">
        <v>193</v>
      </c>
      <c r="AD41" s="315"/>
      <c r="AE41" s="315"/>
      <c r="AF41" s="315"/>
      <c r="AG41" s="315"/>
      <c r="AH41" s="315"/>
    </row>
    <row r="42" spans="1:34" ht="18.75" customHeight="1" x14ac:dyDescent="0.25">
      <c r="A42" s="205" t="s">
        <v>194</v>
      </c>
      <c r="B42" s="235">
        <v>71.375</v>
      </c>
      <c r="C42" s="139">
        <v>4.4050000000000002</v>
      </c>
      <c r="D42" s="139">
        <v>66.97</v>
      </c>
      <c r="E42" s="139" t="s">
        <v>604</v>
      </c>
      <c r="F42" s="146" t="s">
        <v>604</v>
      </c>
      <c r="G42" s="139">
        <v>71.114000000000004</v>
      </c>
      <c r="H42" s="139">
        <v>3.718</v>
      </c>
      <c r="I42" s="234">
        <v>67.394999999999996</v>
      </c>
      <c r="J42" s="139" t="s">
        <v>604</v>
      </c>
      <c r="K42" s="268" t="s">
        <v>604</v>
      </c>
      <c r="L42" s="235"/>
      <c r="M42" s="234">
        <v>71.805999999999997</v>
      </c>
      <c r="N42" s="234">
        <v>3.3860000000000001</v>
      </c>
      <c r="O42" s="234">
        <v>68.42</v>
      </c>
      <c r="P42" s="234" t="s">
        <v>604</v>
      </c>
      <c r="Q42" s="146" t="s">
        <v>604</v>
      </c>
      <c r="R42" s="233">
        <v>72.727999999999994</v>
      </c>
      <c r="S42" s="139">
        <v>3.9750000000000001</v>
      </c>
      <c r="T42" s="234">
        <v>68.753</v>
      </c>
      <c r="U42" s="234" t="s">
        <v>604</v>
      </c>
      <c r="V42" s="268" t="s">
        <v>604</v>
      </c>
      <c r="W42" s="215" t="s">
        <v>195</v>
      </c>
      <c r="AD42" s="315"/>
      <c r="AE42" s="315"/>
      <c r="AF42" s="315"/>
      <c r="AG42" s="315"/>
      <c r="AH42" s="315"/>
    </row>
    <row r="43" spans="1:34" ht="18.75" customHeight="1" x14ac:dyDescent="0.25">
      <c r="A43" s="205" t="s">
        <v>196</v>
      </c>
      <c r="B43" s="233">
        <v>70.117000000000004</v>
      </c>
      <c r="C43" s="234">
        <v>65.792000000000002</v>
      </c>
      <c r="D43" s="234">
        <v>4.3250000000000002</v>
      </c>
      <c r="E43" s="234">
        <v>4.3250000000000002</v>
      </c>
      <c r="F43" s="146">
        <v>0</v>
      </c>
      <c r="G43" s="234">
        <v>69.349000000000004</v>
      </c>
      <c r="H43" s="234">
        <v>65.025999999999996</v>
      </c>
      <c r="I43" s="234">
        <v>4.3230000000000004</v>
      </c>
      <c r="J43" s="234">
        <v>4.3230000000000004</v>
      </c>
      <c r="K43" s="146">
        <v>0</v>
      </c>
      <c r="L43" s="233"/>
      <c r="M43" s="234">
        <v>70.331000000000003</v>
      </c>
      <c r="N43" s="234">
        <v>66.106999999999999</v>
      </c>
      <c r="O43" s="234">
        <v>4.2240000000000002</v>
      </c>
      <c r="P43" s="234">
        <v>4.2240000000000002</v>
      </c>
      <c r="Q43" s="146">
        <v>0</v>
      </c>
      <c r="R43" s="233">
        <v>70.506</v>
      </c>
      <c r="S43" s="234">
        <v>66.272000000000006</v>
      </c>
      <c r="T43" s="234">
        <v>4.2350000000000003</v>
      </c>
      <c r="U43" s="234">
        <v>4.2350000000000003</v>
      </c>
      <c r="V43" s="146">
        <v>0</v>
      </c>
      <c r="W43" s="215" t="s">
        <v>197</v>
      </c>
      <c r="AD43" s="315"/>
      <c r="AE43" s="315"/>
      <c r="AF43" s="315"/>
      <c r="AG43" s="315"/>
      <c r="AH43" s="315"/>
    </row>
    <row r="44" spans="1:34" ht="18.75" customHeight="1" x14ac:dyDescent="0.25">
      <c r="A44" s="205" t="s">
        <v>198</v>
      </c>
      <c r="B44" s="233">
        <v>84.025999999999996</v>
      </c>
      <c r="C44" s="234">
        <v>84.025999999999996</v>
      </c>
      <c r="D44" s="234">
        <v>0</v>
      </c>
      <c r="E44" s="234">
        <v>0</v>
      </c>
      <c r="F44" s="146">
        <v>0</v>
      </c>
      <c r="G44" s="234">
        <v>84.009</v>
      </c>
      <c r="H44" s="234">
        <v>84.009</v>
      </c>
      <c r="I44" s="234">
        <v>0</v>
      </c>
      <c r="J44" s="234">
        <v>0</v>
      </c>
      <c r="K44" s="146">
        <v>0</v>
      </c>
      <c r="L44" s="233"/>
      <c r="M44" s="234">
        <v>83.808000000000007</v>
      </c>
      <c r="N44" s="234">
        <v>83.808000000000007</v>
      </c>
      <c r="O44" s="234">
        <v>0</v>
      </c>
      <c r="P44" s="234">
        <v>0</v>
      </c>
      <c r="Q44" s="146">
        <v>0</v>
      </c>
      <c r="R44" s="233">
        <v>84.081000000000003</v>
      </c>
      <c r="S44" s="234">
        <v>84.081000000000003</v>
      </c>
      <c r="T44" s="234">
        <v>0</v>
      </c>
      <c r="U44" s="234">
        <v>0</v>
      </c>
      <c r="V44" s="146">
        <v>0</v>
      </c>
      <c r="W44" s="215" t="s">
        <v>199</v>
      </c>
      <c r="AD44" s="315"/>
      <c r="AE44" s="315"/>
      <c r="AF44" s="315"/>
      <c r="AG44" s="315"/>
      <c r="AH44" s="315"/>
    </row>
    <row r="45" spans="1:34" ht="18.75" customHeight="1" x14ac:dyDescent="0.25">
      <c r="A45" s="205" t="s">
        <v>200</v>
      </c>
      <c r="B45" s="233">
        <v>67.13</v>
      </c>
      <c r="C45" s="234">
        <v>24.402999999999999</v>
      </c>
      <c r="D45" s="234">
        <v>42.726999999999997</v>
      </c>
      <c r="E45" s="234">
        <v>3.0939999999999999</v>
      </c>
      <c r="F45" s="146">
        <v>39.633000000000003</v>
      </c>
      <c r="G45" s="234">
        <v>66.974999999999994</v>
      </c>
      <c r="H45" s="234">
        <v>24.369</v>
      </c>
      <c r="I45" s="234">
        <v>42.606000000000002</v>
      </c>
      <c r="J45" s="234">
        <v>3.0569999999999999</v>
      </c>
      <c r="K45" s="146">
        <v>39.548999999999999</v>
      </c>
      <c r="L45" s="233"/>
      <c r="M45" s="234">
        <v>67.603999999999999</v>
      </c>
      <c r="N45" s="234">
        <v>24.158000000000001</v>
      </c>
      <c r="O45" s="234">
        <v>43.445</v>
      </c>
      <c r="P45" s="234">
        <v>3.0840000000000001</v>
      </c>
      <c r="Q45" s="146">
        <v>40.360999999999997</v>
      </c>
      <c r="R45" s="233">
        <v>68.088999999999999</v>
      </c>
      <c r="S45" s="139">
        <v>24.195</v>
      </c>
      <c r="T45" s="234">
        <v>43.893999999999998</v>
      </c>
      <c r="U45" s="234">
        <v>3.0379999999999998</v>
      </c>
      <c r="V45" s="268">
        <v>40.856000000000002</v>
      </c>
      <c r="W45" s="215" t="s">
        <v>201</v>
      </c>
      <c r="AD45" s="315"/>
      <c r="AE45" s="315"/>
      <c r="AF45" s="315"/>
      <c r="AG45" s="315"/>
      <c r="AH45" s="315"/>
    </row>
    <row r="46" spans="1:34" ht="18.75" customHeight="1" x14ac:dyDescent="0.25">
      <c r="A46" s="205" t="s">
        <v>202</v>
      </c>
      <c r="B46" s="233">
        <v>78.349999999999994</v>
      </c>
      <c r="C46" s="234">
        <v>20.475999999999999</v>
      </c>
      <c r="D46" s="234">
        <v>57.875</v>
      </c>
      <c r="E46" s="234">
        <v>57.875</v>
      </c>
      <c r="F46" s="146">
        <v>0</v>
      </c>
      <c r="G46" s="234">
        <v>77.605000000000004</v>
      </c>
      <c r="H46" s="234">
        <v>21.283999999999999</v>
      </c>
      <c r="I46" s="234">
        <v>56.322000000000003</v>
      </c>
      <c r="J46" s="234">
        <v>56.322000000000003</v>
      </c>
      <c r="K46" s="146">
        <v>0</v>
      </c>
      <c r="L46" s="233"/>
      <c r="M46" s="234">
        <v>78.134</v>
      </c>
      <c r="N46" s="234">
        <v>21.861000000000001</v>
      </c>
      <c r="O46" s="234">
        <v>56.273000000000003</v>
      </c>
      <c r="P46" s="234">
        <v>56.273000000000003</v>
      </c>
      <c r="Q46" s="146">
        <v>0</v>
      </c>
      <c r="R46" s="233">
        <v>78.441999999999993</v>
      </c>
      <c r="S46" s="139">
        <v>22.529</v>
      </c>
      <c r="T46" s="234">
        <v>55.912999999999997</v>
      </c>
      <c r="U46" s="234">
        <v>55.912999999999997</v>
      </c>
      <c r="V46" s="268">
        <v>0</v>
      </c>
      <c r="W46" s="215" t="s">
        <v>401</v>
      </c>
      <c r="AD46" s="315"/>
      <c r="AE46" s="315"/>
      <c r="AF46" s="315"/>
      <c r="AG46" s="315"/>
      <c r="AH46" s="315"/>
    </row>
    <row r="47" spans="1:34" ht="18.75" customHeight="1" x14ac:dyDescent="0.25">
      <c r="A47" s="205" t="s">
        <v>203</v>
      </c>
      <c r="B47" s="233">
        <v>78.906999999999996</v>
      </c>
      <c r="C47" s="234">
        <v>78.906999999999996</v>
      </c>
      <c r="D47" s="234">
        <v>0</v>
      </c>
      <c r="E47" s="234">
        <v>0</v>
      </c>
      <c r="F47" s="146">
        <v>0</v>
      </c>
      <c r="G47" s="234">
        <v>79.010999999999996</v>
      </c>
      <c r="H47" s="234">
        <v>79.010999999999996</v>
      </c>
      <c r="I47" s="234">
        <v>0</v>
      </c>
      <c r="J47" s="234">
        <v>0</v>
      </c>
      <c r="K47" s="146">
        <v>0</v>
      </c>
      <c r="L47" s="233"/>
      <c r="M47" s="234">
        <v>78.929000000000002</v>
      </c>
      <c r="N47" s="234">
        <v>78.929000000000002</v>
      </c>
      <c r="O47" s="234">
        <v>0</v>
      </c>
      <c r="P47" s="234">
        <v>0</v>
      </c>
      <c r="Q47" s="146">
        <v>0</v>
      </c>
      <c r="R47" s="233">
        <v>79.438999999999993</v>
      </c>
      <c r="S47" s="234">
        <v>79.438999999999993</v>
      </c>
      <c r="T47" s="234">
        <v>0</v>
      </c>
      <c r="U47" s="234">
        <v>0</v>
      </c>
      <c r="V47" s="146">
        <v>0</v>
      </c>
      <c r="W47" s="215" t="s">
        <v>204</v>
      </c>
      <c r="AD47" s="315"/>
      <c r="AE47" s="315"/>
      <c r="AF47" s="315"/>
      <c r="AG47" s="315"/>
      <c r="AH47" s="315"/>
    </row>
    <row r="48" spans="1:34" ht="18.75" customHeight="1" x14ac:dyDescent="0.25">
      <c r="A48" s="206" t="s">
        <v>205</v>
      </c>
      <c r="B48" s="140">
        <v>49.435000000000002</v>
      </c>
      <c r="C48" s="140">
        <v>25.844000000000001</v>
      </c>
      <c r="D48" s="140">
        <v>23.591000000000001</v>
      </c>
      <c r="E48" s="140">
        <v>23.591000000000001</v>
      </c>
      <c r="F48" s="273">
        <v>0</v>
      </c>
      <c r="G48" s="140">
        <v>82.575999999999993</v>
      </c>
      <c r="H48" s="140">
        <v>26.678000000000001</v>
      </c>
      <c r="I48" s="140">
        <v>55.898000000000003</v>
      </c>
      <c r="J48" s="140">
        <v>23.439</v>
      </c>
      <c r="K48" s="273">
        <v>32.457999999999998</v>
      </c>
      <c r="L48" s="235"/>
      <c r="M48" s="140">
        <v>82.909000000000006</v>
      </c>
      <c r="N48" s="140">
        <v>27.143000000000001</v>
      </c>
      <c r="O48" s="140">
        <v>55.767000000000003</v>
      </c>
      <c r="P48" s="140">
        <v>23.231999999999999</v>
      </c>
      <c r="Q48" s="273">
        <v>32.534999999999997</v>
      </c>
      <c r="R48" s="236">
        <v>82.838999999999999</v>
      </c>
      <c r="S48" s="140">
        <v>26.96</v>
      </c>
      <c r="T48" s="140">
        <v>55.878999999999998</v>
      </c>
      <c r="U48" s="140">
        <v>23.119</v>
      </c>
      <c r="V48" s="273">
        <v>32.76</v>
      </c>
      <c r="W48" s="216" t="s">
        <v>206</v>
      </c>
      <c r="AD48" s="315"/>
      <c r="AE48" s="315"/>
      <c r="AF48" s="315"/>
      <c r="AG48" s="315"/>
      <c r="AH48" s="315"/>
    </row>
    <row r="49" spans="1:23" s="227" customFormat="1" ht="14.1" customHeight="1" x14ac:dyDescent="0.2">
      <c r="A49" s="744" t="s">
        <v>623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621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</row>
    <row r="50" spans="1:23" s="203" customFormat="1" ht="12" customHeight="1" x14ac:dyDescent="0.2">
      <c r="A50" s="772" t="s">
        <v>635</v>
      </c>
      <c r="B50" s="772"/>
      <c r="C50" s="772"/>
      <c r="D50" s="772"/>
      <c r="E50" s="772"/>
      <c r="F50" s="772"/>
      <c r="G50" s="772"/>
      <c r="H50" s="772"/>
      <c r="I50" s="772"/>
      <c r="J50" s="772"/>
      <c r="K50" s="772"/>
      <c r="L50" s="294"/>
      <c r="M50" s="739" t="s">
        <v>636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23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</row>
  </sheetData>
  <mergeCells count="32">
    <mergeCell ref="S5:V5"/>
    <mergeCell ref="C6:C7"/>
    <mergeCell ref="D6:D7"/>
    <mergeCell ref="H6:H7"/>
    <mergeCell ref="I6:I7"/>
    <mergeCell ref="N6:N7"/>
    <mergeCell ref="O6:O7"/>
    <mergeCell ref="S6:S7"/>
    <mergeCell ref="T6:T7"/>
    <mergeCell ref="G5:G7"/>
    <mergeCell ref="H5:K5"/>
    <mergeCell ref="B5:B7"/>
    <mergeCell ref="C5:F5"/>
    <mergeCell ref="M5:M7"/>
    <mergeCell ref="N5:Q5"/>
    <mergeCell ref="R5:R7"/>
    <mergeCell ref="A50:K50"/>
    <mergeCell ref="M50:W50"/>
    <mergeCell ref="M49:W49"/>
    <mergeCell ref="A49:K49"/>
    <mergeCell ref="A1:K1"/>
    <mergeCell ref="M1:W1"/>
    <mergeCell ref="A3:A8"/>
    <mergeCell ref="B3:F3"/>
    <mergeCell ref="G3:K3"/>
    <mergeCell ref="M3:Q3"/>
    <mergeCell ref="R3:V3"/>
    <mergeCell ref="W3:W8"/>
    <mergeCell ref="B4:F4"/>
    <mergeCell ref="G4:K4"/>
    <mergeCell ref="M4:Q4"/>
    <mergeCell ref="R4:V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79" fitToWidth="0" fitToHeight="0" orientation="portrait" r:id="rId1"/>
  <colBreaks count="1" manualBreakCount="1">
    <brk id="12" max="4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A2B8-6CF2-4A6A-ADAF-A5C2977B7110}">
  <sheetPr>
    <tabColor rgb="FF92D050"/>
  </sheetPr>
  <dimension ref="A1:AH52"/>
  <sheetViews>
    <sheetView view="pageBreakPreview" zoomScale="55" zoomScaleNormal="70" zoomScaleSheetLayoutView="55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R10" sqref="R10"/>
    </sheetView>
  </sheetViews>
  <sheetFormatPr defaultColWidth="9" defaultRowHeight="15.75" x14ac:dyDescent="0.25"/>
  <cols>
    <col min="1" max="1" width="12" style="21" customWidth="1"/>
    <col min="2" max="2" width="13" style="21" customWidth="1"/>
    <col min="3" max="3" width="9.125" style="21" customWidth="1"/>
    <col min="4" max="5" width="10.75" style="21" customWidth="1"/>
    <col min="6" max="6" width="9.75" style="21" customWidth="1"/>
    <col min="7" max="7" width="13" style="21" customWidth="1"/>
    <col min="8" max="8" width="9.125" style="21" customWidth="1"/>
    <col min="9" max="11" width="10.75" style="21" customWidth="1"/>
    <col min="12" max="12" width="0.625" style="21" customWidth="1"/>
    <col min="13" max="13" width="12.625" style="21" customWidth="1"/>
    <col min="14" max="14" width="9.125" style="21" customWidth="1"/>
    <col min="15" max="17" width="10.75" style="21" customWidth="1"/>
    <col min="18" max="18" width="12.625" style="21" customWidth="1"/>
    <col min="19" max="19" width="9.125" style="21" customWidth="1"/>
    <col min="20" max="22" width="10.75" style="21" customWidth="1"/>
    <col min="23" max="23" width="11.125" style="21" customWidth="1"/>
    <col min="24" max="31" width="9" style="21"/>
    <col min="32" max="34" width="10.625" style="21" bestFit="1" customWidth="1"/>
    <col min="35" max="16384" width="9" style="21"/>
  </cols>
  <sheetData>
    <row r="1" spans="1:34" ht="23.45" customHeight="1" x14ac:dyDescent="0.25">
      <c r="A1" s="759" t="s">
        <v>648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280"/>
      <c r="M1" s="761" t="s">
        <v>641</v>
      </c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261"/>
    </row>
    <row r="2" spans="1:34" ht="16.149999999999999" customHeight="1" x14ac:dyDescent="0.25">
      <c r="A2" s="47" t="s">
        <v>208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9"/>
      <c r="N2" s="50"/>
      <c r="O2" s="49"/>
      <c r="P2" s="50"/>
      <c r="Q2" s="50"/>
      <c r="R2" s="50"/>
      <c r="S2" s="50"/>
      <c r="T2" s="50"/>
      <c r="U2" s="49"/>
      <c r="V2" s="49"/>
      <c r="W2" s="50" t="s">
        <v>209</v>
      </c>
    </row>
    <row r="3" spans="1:34" s="22" customFormat="1" ht="15.6" customHeight="1" x14ac:dyDescent="0.25">
      <c r="A3" s="762" t="s">
        <v>469</v>
      </c>
      <c r="B3" s="765" t="s">
        <v>490</v>
      </c>
      <c r="C3" s="766"/>
      <c r="D3" s="766"/>
      <c r="E3" s="766"/>
      <c r="F3" s="767"/>
      <c r="G3" s="765" t="s">
        <v>491</v>
      </c>
      <c r="H3" s="766"/>
      <c r="I3" s="766"/>
      <c r="J3" s="766"/>
      <c r="K3" s="767"/>
      <c r="L3" s="290"/>
      <c r="M3" s="766" t="s">
        <v>492</v>
      </c>
      <c r="N3" s="766"/>
      <c r="O3" s="766"/>
      <c r="P3" s="766"/>
      <c r="Q3" s="767"/>
      <c r="R3" s="765" t="s">
        <v>493</v>
      </c>
      <c r="S3" s="766"/>
      <c r="T3" s="766"/>
      <c r="U3" s="766"/>
      <c r="V3" s="767"/>
      <c r="W3" s="768" t="s">
        <v>470</v>
      </c>
    </row>
    <row r="4" spans="1:34" ht="14.45" customHeight="1" x14ac:dyDescent="0.25">
      <c r="A4" s="763"/>
      <c r="B4" s="756">
        <v>2017</v>
      </c>
      <c r="C4" s="757"/>
      <c r="D4" s="757"/>
      <c r="E4" s="757"/>
      <c r="F4" s="758"/>
      <c r="G4" s="756">
        <v>2018</v>
      </c>
      <c r="H4" s="757"/>
      <c r="I4" s="757"/>
      <c r="J4" s="757"/>
      <c r="K4" s="758"/>
      <c r="L4" s="290"/>
      <c r="M4" s="757">
        <v>2019</v>
      </c>
      <c r="N4" s="757"/>
      <c r="O4" s="757"/>
      <c r="P4" s="757"/>
      <c r="Q4" s="758"/>
      <c r="R4" s="756">
        <v>2020</v>
      </c>
      <c r="S4" s="757"/>
      <c r="T4" s="757"/>
      <c r="U4" s="757"/>
      <c r="V4" s="758"/>
      <c r="W4" s="769"/>
    </row>
    <row r="5" spans="1:34" ht="15" customHeight="1" x14ac:dyDescent="0.25">
      <c r="A5" s="763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69"/>
    </row>
    <row r="6" spans="1:34" ht="26.25" customHeight="1" x14ac:dyDescent="0.25">
      <c r="A6" s="763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69"/>
    </row>
    <row r="7" spans="1:34" ht="35.25" customHeight="1" x14ac:dyDescent="0.25">
      <c r="A7" s="763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69"/>
    </row>
    <row r="8" spans="1:34" ht="41.25" customHeight="1" x14ac:dyDescent="0.25">
      <c r="A8" s="764"/>
      <c r="B8" s="260" t="s">
        <v>642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642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642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642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70"/>
    </row>
    <row r="9" spans="1:34" ht="18.75" customHeight="1" x14ac:dyDescent="0.25">
      <c r="A9" s="204" t="s">
        <v>136</v>
      </c>
      <c r="B9" s="233">
        <v>58.77</v>
      </c>
      <c r="C9" s="234">
        <v>8.0399999999999991</v>
      </c>
      <c r="D9" s="234">
        <v>50.73</v>
      </c>
      <c r="E9" s="234">
        <v>50.73</v>
      </c>
      <c r="F9" s="268">
        <v>0</v>
      </c>
      <c r="G9" s="234">
        <v>58.83</v>
      </c>
      <c r="H9" s="234">
        <v>8.35</v>
      </c>
      <c r="I9" s="269">
        <v>50.49</v>
      </c>
      <c r="J9" s="270">
        <v>50.49</v>
      </c>
      <c r="K9" s="213">
        <v>0</v>
      </c>
      <c r="L9" s="233"/>
      <c r="M9" s="269">
        <v>58.55</v>
      </c>
      <c r="N9" s="270">
        <v>8.8000000000000007</v>
      </c>
      <c r="O9" s="270">
        <v>49.76</v>
      </c>
      <c r="P9" s="269">
        <v>49.76</v>
      </c>
      <c r="Q9" s="213">
        <v>0</v>
      </c>
      <c r="R9" s="271">
        <v>59.47</v>
      </c>
      <c r="S9" s="269">
        <v>10.58</v>
      </c>
      <c r="T9" s="270">
        <v>48.89</v>
      </c>
      <c r="U9" s="270">
        <v>48.89</v>
      </c>
      <c r="V9" s="272">
        <v>0</v>
      </c>
      <c r="W9" s="215" t="s">
        <v>137</v>
      </c>
    </row>
    <row r="10" spans="1:34" ht="18.75" customHeight="1" x14ac:dyDescent="0.25">
      <c r="A10" s="205" t="s">
        <v>138</v>
      </c>
      <c r="B10" s="233">
        <v>69.293000000000006</v>
      </c>
      <c r="C10" s="234">
        <v>68.367999999999995</v>
      </c>
      <c r="D10" s="234">
        <v>0.92500000000000004</v>
      </c>
      <c r="E10" s="234">
        <v>0</v>
      </c>
      <c r="F10" s="146">
        <v>0.92500000000000004</v>
      </c>
      <c r="G10" s="234">
        <v>69.343999999999994</v>
      </c>
      <c r="H10" s="234">
        <v>68.259</v>
      </c>
      <c r="I10" s="234">
        <v>1.0860000000000001</v>
      </c>
      <c r="J10" s="234">
        <v>0</v>
      </c>
      <c r="K10" s="146">
        <v>1.0860000000000001</v>
      </c>
      <c r="L10" s="233"/>
      <c r="M10" s="234">
        <v>71.668999999999997</v>
      </c>
      <c r="N10" s="234">
        <v>70.527000000000001</v>
      </c>
      <c r="O10" s="234">
        <v>1.1419999999999999</v>
      </c>
      <c r="P10" s="234">
        <v>0</v>
      </c>
      <c r="Q10" s="146">
        <v>1.1419999999999999</v>
      </c>
      <c r="R10" s="233">
        <v>71.647999999999996</v>
      </c>
      <c r="S10" s="234">
        <v>70.576999999999998</v>
      </c>
      <c r="T10" s="234">
        <v>1.071</v>
      </c>
      <c r="U10" s="234">
        <v>0</v>
      </c>
      <c r="V10" s="146">
        <v>1.071</v>
      </c>
      <c r="W10" s="215" t="s">
        <v>139</v>
      </c>
      <c r="AD10" s="315"/>
      <c r="AE10" s="315"/>
      <c r="AF10" s="315"/>
      <c r="AG10" s="315"/>
      <c r="AH10" s="315"/>
    </row>
    <row r="11" spans="1:34" ht="18.75" customHeight="1" x14ac:dyDescent="0.25">
      <c r="A11" s="205" t="s">
        <v>140</v>
      </c>
      <c r="B11" s="233">
        <v>73.195999999999998</v>
      </c>
      <c r="C11" s="234">
        <v>29.428000000000001</v>
      </c>
      <c r="D11" s="234">
        <v>43.768000000000001</v>
      </c>
      <c r="E11" s="234">
        <v>43.768000000000001</v>
      </c>
      <c r="F11" s="146">
        <v>0</v>
      </c>
      <c r="G11" s="234">
        <v>73.948999999999998</v>
      </c>
      <c r="H11" s="234">
        <v>29.904</v>
      </c>
      <c r="I11" s="234">
        <v>44.043999999999997</v>
      </c>
      <c r="J11" s="234">
        <v>44.043999999999997</v>
      </c>
      <c r="K11" s="146">
        <v>0</v>
      </c>
      <c r="L11" s="233"/>
      <c r="M11" s="234">
        <v>74.406999999999996</v>
      </c>
      <c r="N11" s="234">
        <v>30.08</v>
      </c>
      <c r="O11" s="234">
        <v>44.326999999999998</v>
      </c>
      <c r="P11" s="234">
        <v>44.326999999999998</v>
      </c>
      <c r="Q11" s="146">
        <v>0</v>
      </c>
      <c r="R11" s="233">
        <v>76.406000000000006</v>
      </c>
      <c r="S11" s="234">
        <v>33.078000000000003</v>
      </c>
      <c r="T11" s="234">
        <v>43.328000000000003</v>
      </c>
      <c r="U11" s="234">
        <v>43.328000000000003</v>
      </c>
      <c r="V11" s="146">
        <v>0</v>
      </c>
      <c r="W11" s="215" t="s">
        <v>141</v>
      </c>
      <c r="AD11" s="315"/>
      <c r="AE11" s="315"/>
      <c r="AF11" s="315"/>
      <c r="AG11" s="315"/>
      <c r="AH11" s="315"/>
    </row>
    <row r="12" spans="1:34" ht="18.75" customHeight="1" x14ac:dyDescent="0.25">
      <c r="A12" s="205" t="s">
        <v>142</v>
      </c>
      <c r="B12" s="233">
        <v>75.957999999999998</v>
      </c>
      <c r="C12" s="234">
        <v>22.667999999999999</v>
      </c>
      <c r="D12" s="234">
        <v>53.290999999999997</v>
      </c>
      <c r="E12" s="234">
        <v>53.249000000000002</v>
      </c>
      <c r="F12" s="146">
        <v>4.2000000000000003E-2</v>
      </c>
      <c r="G12" s="234">
        <v>75.688000000000002</v>
      </c>
      <c r="H12" s="234">
        <v>22.879000000000001</v>
      </c>
      <c r="I12" s="234">
        <v>52.808999999999997</v>
      </c>
      <c r="J12" s="234">
        <v>52.768999999999998</v>
      </c>
      <c r="K12" s="146">
        <v>0.04</v>
      </c>
      <c r="L12" s="233"/>
      <c r="M12" s="234">
        <v>74.375</v>
      </c>
      <c r="N12" s="234">
        <v>20.991</v>
      </c>
      <c r="O12" s="234">
        <v>53.384</v>
      </c>
      <c r="P12" s="234">
        <v>53.345999999999997</v>
      </c>
      <c r="Q12" s="146">
        <v>3.9E-2</v>
      </c>
      <c r="R12" s="233">
        <v>76.043999999999997</v>
      </c>
      <c r="S12" s="139">
        <v>23.218</v>
      </c>
      <c r="T12" s="234">
        <v>52.826000000000001</v>
      </c>
      <c r="U12" s="234">
        <v>52.79</v>
      </c>
      <c r="V12" s="268">
        <v>3.5999999999999997E-2</v>
      </c>
      <c r="W12" s="215" t="s">
        <v>143</v>
      </c>
      <c r="AD12" s="315"/>
      <c r="AE12" s="315"/>
      <c r="AF12" s="315"/>
      <c r="AG12" s="315"/>
      <c r="AH12" s="315"/>
    </row>
    <row r="13" spans="1:34" ht="18.75" customHeight="1" x14ac:dyDescent="0.25">
      <c r="A13" s="205" t="s">
        <v>144</v>
      </c>
      <c r="B13" s="233">
        <v>69.655000000000001</v>
      </c>
      <c r="C13" s="234">
        <v>68.227000000000004</v>
      </c>
      <c r="D13" s="234">
        <v>1.4279999999999999</v>
      </c>
      <c r="E13" s="234">
        <v>1.4279999999999999</v>
      </c>
      <c r="F13" s="146">
        <v>0</v>
      </c>
      <c r="G13" s="234">
        <v>69.622</v>
      </c>
      <c r="H13" s="234">
        <v>68.174999999999997</v>
      </c>
      <c r="I13" s="234">
        <v>1.448</v>
      </c>
      <c r="J13" s="234">
        <v>1.448</v>
      </c>
      <c r="K13" s="146">
        <v>0</v>
      </c>
      <c r="L13" s="233"/>
      <c r="M13" s="234">
        <v>69.537000000000006</v>
      </c>
      <c r="N13" s="234">
        <v>68.075999999999993</v>
      </c>
      <c r="O13" s="234">
        <v>1.4610000000000001</v>
      </c>
      <c r="P13" s="234">
        <v>1.4610000000000001</v>
      </c>
      <c r="Q13" s="146">
        <v>0</v>
      </c>
      <c r="R13" s="233">
        <v>73.866</v>
      </c>
      <c r="S13" s="234">
        <v>72.631</v>
      </c>
      <c r="T13" s="234">
        <v>1.2350000000000001</v>
      </c>
      <c r="U13" s="234">
        <v>1.2350000000000001</v>
      </c>
      <c r="V13" s="146">
        <v>0</v>
      </c>
      <c r="W13" s="215" t="s">
        <v>145</v>
      </c>
      <c r="AD13" s="315"/>
      <c r="AE13" s="315"/>
      <c r="AF13" s="315"/>
      <c r="AG13" s="315"/>
      <c r="AH13" s="315"/>
    </row>
    <row r="14" spans="1:34" ht="18.75" customHeight="1" x14ac:dyDescent="0.25">
      <c r="A14" s="205" t="s">
        <v>146</v>
      </c>
      <c r="B14" s="235">
        <v>60.146000000000001</v>
      </c>
      <c r="C14" s="139">
        <v>2.036</v>
      </c>
      <c r="D14" s="139">
        <v>58.11</v>
      </c>
      <c r="E14" s="139">
        <v>48.363999999999997</v>
      </c>
      <c r="F14" s="146">
        <v>9.7460000000000004</v>
      </c>
      <c r="G14" s="139">
        <v>60.813000000000002</v>
      </c>
      <c r="H14" s="139">
        <v>2.0449999999999999</v>
      </c>
      <c r="I14" s="234">
        <v>58.768000000000001</v>
      </c>
      <c r="J14" s="139">
        <v>49.195</v>
      </c>
      <c r="K14" s="268">
        <v>9.5730000000000004</v>
      </c>
      <c r="L14" s="235"/>
      <c r="M14" s="234">
        <v>61.015000000000001</v>
      </c>
      <c r="N14" s="234">
        <v>1.6830000000000001</v>
      </c>
      <c r="O14" s="234">
        <v>59.332000000000001</v>
      </c>
      <c r="P14" s="234">
        <v>49.581000000000003</v>
      </c>
      <c r="Q14" s="146">
        <v>9.7509999999999994</v>
      </c>
      <c r="R14" s="233">
        <v>65.28</v>
      </c>
      <c r="S14" s="139">
        <v>3.3849999999999998</v>
      </c>
      <c r="T14" s="234">
        <v>61.893999999999998</v>
      </c>
      <c r="U14" s="234">
        <v>53.125</v>
      </c>
      <c r="V14" s="268">
        <v>8.7690000000000001</v>
      </c>
      <c r="W14" s="215" t="s">
        <v>147</v>
      </c>
      <c r="AD14" s="315"/>
      <c r="AE14" s="315"/>
      <c r="AF14" s="315"/>
      <c r="AG14" s="315"/>
      <c r="AH14" s="315"/>
    </row>
    <row r="15" spans="1:34" ht="18.75" customHeight="1" x14ac:dyDescent="0.25">
      <c r="A15" s="225" t="s">
        <v>383</v>
      </c>
      <c r="B15" s="235">
        <v>76.608999999999995</v>
      </c>
      <c r="C15" s="139">
        <v>3.5680000000000001</v>
      </c>
      <c r="D15" s="139">
        <v>73.040000000000006</v>
      </c>
      <c r="E15" s="139">
        <v>67.472999999999999</v>
      </c>
      <c r="F15" s="146">
        <v>5.5679999999999996</v>
      </c>
      <c r="G15" s="139">
        <v>76.506</v>
      </c>
      <c r="H15" s="139">
        <v>4.3449999999999998</v>
      </c>
      <c r="I15" s="234">
        <v>72.162000000000006</v>
      </c>
      <c r="J15" s="139">
        <v>65.474000000000004</v>
      </c>
      <c r="K15" s="268">
        <v>6.6879999999999997</v>
      </c>
      <c r="L15" s="235"/>
      <c r="M15" s="234">
        <v>76.509</v>
      </c>
      <c r="N15" s="234">
        <v>4.2389999999999999</v>
      </c>
      <c r="O15" s="234">
        <v>72.271000000000001</v>
      </c>
      <c r="P15" s="234">
        <v>65.677999999999997</v>
      </c>
      <c r="Q15" s="146">
        <v>6.593</v>
      </c>
      <c r="R15" s="233">
        <v>77.375</v>
      </c>
      <c r="S15" s="139">
        <v>5.7709999999999999</v>
      </c>
      <c r="T15" s="234">
        <v>71.603999999999999</v>
      </c>
      <c r="U15" s="234">
        <v>65.388999999999996</v>
      </c>
      <c r="V15" s="268">
        <v>6.2140000000000004</v>
      </c>
      <c r="W15" s="226" t="s">
        <v>384</v>
      </c>
      <c r="AD15" s="315"/>
      <c r="AE15" s="315"/>
      <c r="AF15" s="315"/>
      <c r="AG15" s="315"/>
      <c r="AH15" s="315"/>
    </row>
    <row r="16" spans="1:34" ht="18.75" customHeight="1" x14ac:dyDescent="0.25">
      <c r="A16" s="225" t="s">
        <v>392</v>
      </c>
      <c r="B16" s="235">
        <v>74.966999999999999</v>
      </c>
      <c r="C16" s="139">
        <v>3.05</v>
      </c>
      <c r="D16" s="139">
        <v>71.917000000000002</v>
      </c>
      <c r="E16" s="139">
        <v>70.174999999999997</v>
      </c>
      <c r="F16" s="146">
        <v>1.742</v>
      </c>
      <c r="G16" s="139">
        <v>73.823999999999998</v>
      </c>
      <c r="H16" s="139">
        <v>3.5550000000000002</v>
      </c>
      <c r="I16" s="234">
        <v>70.269000000000005</v>
      </c>
      <c r="J16" s="139">
        <v>68.540000000000006</v>
      </c>
      <c r="K16" s="268">
        <v>1.7290000000000001</v>
      </c>
      <c r="L16" s="235"/>
      <c r="M16" s="234">
        <v>73.936999999999998</v>
      </c>
      <c r="N16" s="234">
        <v>3.5209999999999999</v>
      </c>
      <c r="O16" s="234">
        <v>70.417000000000002</v>
      </c>
      <c r="P16" s="234">
        <v>68.698999999999998</v>
      </c>
      <c r="Q16" s="146">
        <v>1.718</v>
      </c>
      <c r="R16" s="233">
        <v>75.796000000000006</v>
      </c>
      <c r="S16" s="234">
        <v>4.46</v>
      </c>
      <c r="T16" s="234">
        <v>71.337000000000003</v>
      </c>
      <c r="U16" s="234">
        <v>69.926000000000002</v>
      </c>
      <c r="V16" s="146">
        <v>1.41</v>
      </c>
      <c r="W16" s="226" t="s">
        <v>391</v>
      </c>
      <c r="AD16" s="315"/>
      <c r="AE16" s="315"/>
      <c r="AF16" s="315"/>
      <c r="AG16" s="315"/>
      <c r="AH16" s="315"/>
    </row>
    <row r="17" spans="1:34" ht="18.75" customHeight="1" x14ac:dyDescent="0.25">
      <c r="A17" s="205" t="s">
        <v>148</v>
      </c>
      <c r="B17" s="233">
        <v>84.866</v>
      </c>
      <c r="C17" s="234">
        <v>12.15</v>
      </c>
      <c r="D17" s="234">
        <v>72.715999999999994</v>
      </c>
      <c r="E17" s="234">
        <v>72.715999999999994</v>
      </c>
      <c r="F17" s="146">
        <v>0</v>
      </c>
      <c r="G17" s="234">
        <v>84.994</v>
      </c>
      <c r="H17" s="234">
        <v>12.704000000000001</v>
      </c>
      <c r="I17" s="234">
        <v>72.290999999999997</v>
      </c>
      <c r="J17" s="234">
        <v>72.290999999999997</v>
      </c>
      <c r="K17" s="146">
        <v>0</v>
      </c>
      <c r="L17" s="233"/>
      <c r="M17" s="234">
        <v>84.873999999999995</v>
      </c>
      <c r="N17" s="234">
        <v>12.888999999999999</v>
      </c>
      <c r="O17" s="234">
        <v>71.984999999999999</v>
      </c>
      <c r="P17" s="234">
        <v>71.984999999999999</v>
      </c>
      <c r="Q17" s="146">
        <v>0</v>
      </c>
      <c r="R17" s="233">
        <v>88.242999999999995</v>
      </c>
      <c r="S17" s="234">
        <v>17.585000000000001</v>
      </c>
      <c r="T17" s="234">
        <v>70.658000000000001</v>
      </c>
      <c r="U17" s="234">
        <v>70.658000000000001</v>
      </c>
      <c r="V17" s="146">
        <v>0</v>
      </c>
      <c r="W17" s="215" t="s">
        <v>149</v>
      </c>
      <c r="AD17" s="315"/>
      <c r="AE17" s="315"/>
      <c r="AF17" s="315"/>
      <c r="AG17" s="315"/>
      <c r="AH17" s="315"/>
    </row>
    <row r="18" spans="1:34" ht="18.75" customHeight="1" x14ac:dyDescent="0.25">
      <c r="A18" s="205" t="s">
        <v>150</v>
      </c>
      <c r="B18" s="233">
        <v>83.956999999999994</v>
      </c>
      <c r="C18" s="234">
        <v>83.956999999999994</v>
      </c>
      <c r="D18" s="234">
        <v>0</v>
      </c>
      <c r="E18" s="234">
        <v>0</v>
      </c>
      <c r="F18" s="146">
        <v>0</v>
      </c>
      <c r="G18" s="234">
        <v>83.75</v>
      </c>
      <c r="H18" s="234">
        <v>83.75</v>
      </c>
      <c r="I18" s="234">
        <v>0</v>
      </c>
      <c r="J18" s="234">
        <v>0</v>
      </c>
      <c r="K18" s="146">
        <v>0</v>
      </c>
      <c r="L18" s="233"/>
      <c r="M18" s="234">
        <v>83.709000000000003</v>
      </c>
      <c r="N18" s="234">
        <v>83.709000000000003</v>
      </c>
      <c r="O18" s="234">
        <v>0</v>
      </c>
      <c r="P18" s="234">
        <v>0</v>
      </c>
      <c r="Q18" s="146">
        <v>0</v>
      </c>
      <c r="R18" s="233">
        <v>84.343000000000004</v>
      </c>
      <c r="S18" s="234">
        <v>84.343000000000004</v>
      </c>
      <c r="T18" s="234">
        <v>0</v>
      </c>
      <c r="U18" s="234">
        <v>0</v>
      </c>
      <c r="V18" s="146">
        <v>0</v>
      </c>
      <c r="W18" s="215" t="s">
        <v>151</v>
      </c>
      <c r="AD18" s="315"/>
      <c r="AE18" s="315"/>
      <c r="AF18" s="315"/>
      <c r="AG18" s="315"/>
      <c r="AH18" s="315"/>
    </row>
    <row r="19" spans="1:34" ht="18.75" customHeight="1" x14ac:dyDescent="0.25">
      <c r="A19" s="205" t="s">
        <v>152</v>
      </c>
      <c r="B19" s="235">
        <v>73.572999999999993</v>
      </c>
      <c r="C19" s="234">
        <v>11.409000000000001</v>
      </c>
      <c r="D19" s="234">
        <v>62.164999999999999</v>
      </c>
      <c r="E19" s="234">
        <v>62.164999999999999</v>
      </c>
      <c r="F19" s="146">
        <v>0</v>
      </c>
      <c r="G19" s="139">
        <v>73.674999999999997</v>
      </c>
      <c r="H19" s="234">
        <v>9.1240000000000006</v>
      </c>
      <c r="I19" s="234">
        <v>64.551000000000002</v>
      </c>
      <c r="J19" s="139">
        <v>64.551000000000002</v>
      </c>
      <c r="K19" s="146">
        <v>0</v>
      </c>
      <c r="L19" s="233"/>
      <c r="M19" s="234">
        <v>74.444999999999993</v>
      </c>
      <c r="N19" s="234">
        <v>8.09</v>
      </c>
      <c r="O19" s="234">
        <v>66.355000000000004</v>
      </c>
      <c r="P19" s="234">
        <v>66.355000000000004</v>
      </c>
      <c r="Q19" s="146">
        <v>0</v>
      </c>
      <c r="R19" s="233">
        <v>77.102999999999994</v>
      </c>
      <c r="S19" s="234">
        <v>9.08</v>
      </c>
      <c r="T19" s="234">
        <v>68.022999999999996</v>
      </c>
      <c r="U19" s="234">
        <v>68.022999999999996</v>
      </c>
      <c r="V19" s="146">
        <v>0</v>
      </c>
      <c r="W19" s="215" t="s">
        <v>153</v>
      </c>
      <c r="AD19" s="315"/>
      <c r="AE19" s="315"/>
      <c r="AF19" s="315"/>
      <c r="AG19" s="315"/>
      <c r="AH19" s="315"/>
    </row>
    <row r="20" spans="1:34" ht="18.75" customHeight="1" x14ac:dyDescent="0.25">
      <c r="A20" s="205" t="s">
        <v>154</v>
      </c>
      <c r="B20" s="233">
        <v>76.418000000000006</v>
      </c>
      <c r="C20" s="234">
        <v>62.661000000000001</v>
      </c>
      <c r="D20" s="234">
        <v>13.757</v>
      </c>
      <c r="E20" s="234">
        <v>12.66</v>
      </c>
      <c r="F20" s="146">
        <v>1.097</v>
      </c>
      <c r="G20" s="234">
        <v>76.956000000000003</v>
      </c>
      <c r="H20" s="234">
        <v>62.975999999999999</v>
      </c>
      <c r="I20" s="234">
        <v>13.98</v>
      </c>
      <c r="J20" s="234">
        <v>13.561999999999999</v>
      </c>
      <c r="K20" s="146">
        <v>0.41799999999999998</v>
      </c>
      <c r="L20" s="233"/>
      <c r="M20" s="234">
        <v>77.873000000000005</v>
      </c>
      <c r="N20" s="234">
        <v>63.966999999999999</v>
      </c>
      <c r="O20" s="234">
        <v>13.906000000000001</v>
      </c>
      <c r="P20" s="234">
        <v>13.522</v>
      </c>
      <c r="Q20" s="146">
        <v>0.38400000000000001</v>
      </c>
      <c r="R20" s="233">
        <v>79.058999999999997</v>
      </c>
      <c r="S20" s="234">
        <v>65.451999999999998</v>
      </c>
      <c r="T20" s="234">
        <v>13.606999999999999</v>
      </c>
      <c r="U20" s="234">
        <v>13.236000000000001</v>
      </c>
      <c r="V20" s="146">
        <v>0.371</v>
      </c>
      <c r="W20" s="215" t="s">
        <v>155</v>
      </c>
      <c r="AD20" s="315"/>
      <c r="AE20" s="315"/>
      <c r="AF20" s="315"/>
      <c r="AG20" s="315"/>
      <c r="AH20" s="315"/>
    </row>
    <row r="21" spans="1:34" ht="18.75" customHeight="1" x14ac:dyDescent="0.25">
      <c r="A21" s="205" t="s">
        <v>156</v>
      </c>
      <c r="B21" s="233">
        <v>82.396000000000001</v>
      </c>
      <c r="C21" s="234">
        <v>5.367</v>
      </c>
      <c r="D21" s="234">
        <v>77.028999999999996</v>
      </c>
      <c r="E21" s="234">
        <v>70.891000000000005</v>
      </c>
      <c r="F21" s="146">
        <v>6.1379999999999999</v>
      </c>
      <c r="G21" s="234">
        <v>82.602000000000004</v>
      </c>
      <c r="H21" s="234">
        <v>5.4509999999999996</v>
      </c>
      <c r="I21" s="234">
        <v>77.150999999999996</v>
      </c>
      <c r="J21" s="234">
        <v>70.661000000000001</v>
      </c>
      <c r="K21" s="146">
        <v>6.49</v>
      </c>
      <c r="L21" s="233"/>
      <c r="M21" s="234">
        <v>82.861999999999995</v>
      </c>
      <c r="N21" s="234">
        <v>5.4669999999999996</v>
      </c>
      <c r="O21" s="234">
        <v>77.394999999999996</v>
      </c>
      <c r="P21" s="234">
        <v>70.73</v>
      </c>
      <c r="Q21" s="146">
        <v>6.665</v>
      </c>
      <c r="R21" s="233">
        <v>84.265000000000001</v>
      </c>
      <c r="S21" s="139">
        <v>6.3559999999999999</v>
      </c>
      <c r="T21" s="234">
        <v>77.909000000000006</v>
      </c>
      <c r="U21" s="234">
        <v>71.825000000000003</v>
      </c>
      <c r="V21" s="268">
        <v>6.0839999999999996</v>
      </c>
      <c r="W21" s="215" t="s">
        <v>157</v>
      </c>
      <c r="AD21" s="315"/>
      <c r="AE21" s="315"/>
      <c r="AF21" s="315"/>
      <c r="AG21" s="315"/>
      <c r="AH21" s="315"/>
    </row>
    <row r="22" spans="1:34" ht="18.75" customHeight="1" x14ac:dyDescent="0.25">
      <c r="A22" s="205" t="s">
        <v>158</v>
      </c>
      <c r="B22" s="233">
        <v>84.9</v>
      </c>
      <c r="C22" s="234">
        <v>6.7149999999999999</v>
      </c>
      <c r="D22" s="234">
        <v>78.186000000000007</v>
      </c>
      <c r="E22" s="234">
        <v>71.013999999999996</v>
      </c>
      <c r="F22" s="146">
        <v>7.1719999999999997</v>
      </c>
      <c r="G22" s="234">
        <v>84.718000000000004</v>
      </c>
      <c r="H22" s="234">
        <v>6.6319999999999997</v>
      </c>
      <c r="I22" s="234">
        <v>78.085999999999999</v>
      </c>
      <c r="J22" s="234">
        <v>70.873000000000005</v>
      </c>
      <c r="K22" s="146">
        <v>7.2119999999999997</v>
      </c>
      <c r="L22" s="233"/>
      <c r="M22" s="234">
        <v>84.644999999999996</v>
      </c>
      <c r="N22" s="234">
        <v>6.6760000000000002</v>
      </c>
      <c r="O22" s="234">
        <v>77.968999999999994</v>
      </c>
      <c r="P22" s="234">
        <v>70.792000000000002</v>
      </c>
      <c r="Q22" s="146">
        <v>7.1769999999999996</v>
      </c>
      <c r="R22" s="233">
        <v>85.747</v>
      </c>
      <c r="S22" s="139">
        <v>9.3209999999999997</v>
      </c>
      <c r="T22" s="234">
        <v>76.426000000000002</v>
      </c>
      <c r="U22" s="234">
        <v>69.501999999999995</v>
      </c>
      <c r="V22" s="268">
        <v>6.9240000000000004</v>
      </c>
      <c r="W22" s="215" t="s">
        <v>159</v>
      </c>
      <c r="AD22" s="315"/>
      <c r="AE22" s="315"/>
      <c r="AF22" s="315"/>
      <c r="AG22" s="315"/>
      <c r="AH22" s="315"/>
    </row>
    <row r="23" spans="1:34" ht="18.75" customHeight="1" x14ac:dyDescent="0.25">
      <c r="A23" s="205" t="s">
        <v>160</v>
      </c>
      <c r="B23" s="233">
        <v>60.557000000000002</v>
      </c>
      <c r="C23" s="234">
        <v>27.69</v>
      </c>
      <c r="D23" s="234">
        <v>32.866999999999997</v>
      </c>
      <c r="E23" s="234">
        <v>32.866999999999997</v>
      </c>
      <c r="F23" s="146">
        <v>0</v>
      </c>
      <c r="G23" s="234">
        <v>59.216000000000001</v>
      </c>
      <c r="H23" s="234">
        <v>26.858000000000001</v>
      </c>
      <c r="I23" s="234">
        <v>32.357999999999997</v>
      </c>
      <c r="J23" s="234">
        <v>32.357999999999997</v>
      </c>
      <c r="K23" s="146">
        <v>0</v>
      </c>
      <c r="L23" s="233"/>
      <c r="M23" s="234">
        <v>61.512999999999998</v>
      </c>
      <c r="N23" s="234">
        <v>27.332999999999998</v>
      </c>
      <c r="O23" s="234">
        <v>34.18</v>
      </c>
      <c r="P23" s="234">
        <v>34.18</v>
      </c>
      <c r="Q23" s="146">
        <v>0</v>
      </c>
      <c r="R23" s="233">
        <v>61.825000000000003</v>
      </c>
      <c r="S23" s="234">
        <v>28.175999999999998</v>
      </c>
      <c r="T23" s="234">
        <v>33.649000000000001</v>
      </c>
      <c r="U23" s="234">
        <v>33.649000000000001</v>
      </c>
      <c r="V23" s="146">
        <v>0</v>
      </c>
      <c r="W23" s="215" t="s">
        <v>161</v>
      </c>
      <c r="AD23" s="315"/>
      <c r="AE23" s="315"/>
      <c r="AF23" s="315"/>
      <c r="AG23" s="315"/>
      <c r="AH23" s="315"/>
    </row>
    <row r="24" spans="1:34" ht="18.75" customHeight="1" x14ac:dyDescent="0.25">
      <c r="A24" s="205" t="s">
        <v>162</v>
      </c>
      <c r="B24" s="233">
        <v>68.902000000000001</v>
      </c>
      <c r="C24" s="234">
        <v>8.1739999999999995</v>
      </c>
      <c r="D24" s="234">
        <v>60.728000000000002</v>
      </c>
      <c r="E24" s="234">
        <v>60.728000000000002</v>
      </c>
      <c r="F24" s="146">
        <v>0</v>
      </c>
      <c r="G24" s="234">
        <v>69.551000000000002</v>
      </c>
      <c r="H24" s="234">
        <v>8.5730000000000004</v>
      </c>
      <c r="I24" s="234">
        <v>60.978000000000002</v>
      </c>
      <c r="J24" s="234">
        <v>60.978000000000002</v>
      </c>
      <c r="K24" s="146">
        <v>0</v>
      </c>
      <c r="L24" s="233"/>
      <c r="M24" s="234">
        <v>68.671999999999997</v>
      </c>
      <c r="N24" s="234">
        <v>8.6609999999999996</v>
      </c>
      <c r="O24" s="234">
        <v>60.011000000000003</v>
      </c>
      <c r="P24" s="234">
        <v>60.011000000000003</v>
      </c>
      <c r="Q24" s="146">
        <v>0</v>
      </c>
      <c r="R24" s="233">
        <v>70.793000000000006</v>
      </c>
      <c r="S24" s="234">
        <v>11.603</v>
      </c>
      <c r="T24" s="234">
        <v>59.189</v>
      </c>
      <c r="U24" s="234">
        <v>59.189</v>
      </c>
      <c r="V24" s="146">
        <v>0</v>
      </c>
      <c r="W24" s="215" t="s">
        <v>163</v>
      </c>
      <c r="AD24" s="315"/>
      <c r="AE24" s="315"/>
      <c r="AF24" s="315"/>
      <c r="AG24" s="315"/>
      <c r="AH24" s="315"/>
    </row>
    <row r="25" spans="1:34" ht="18.75" customHeight="1" x14ac:dyDescent="0.25">
      <c r="A25" s="205" t="s">
        <v>164</v>
      </c>
      <c r="B25" s="233">
        <v>82</v>
      </c>
      <c r="C25" s="234">
        <v>82</v>
      </c>
      <c r="D25" s="234">
        <v>0</v>
      </c>
      <c r="E25" s="234">
        <v>0</v>
      </c>
      <c r="F25" s="146">
        <v>0</v>
      </c>
      <c r="G25" s="234">
        <v>82.506</v>
      </c>
      <c r="H25" s="234">
        <v>82.506</v>
      </c>
      <c r="I25" s="234">
        <v>0</v>
      </c>
      <c r="J25" s="234">
        <v>0</v>
      </c>
      <c r="K25" s="146">
        <v>0</v>
      </c>
      <c r="L25" s="233"/>
      <c r="M25" s="234">
        <v>82.929000000000002</v>
      </c>
      <c r="N25" s="234">
        <v>82.929000000000002</v>
      </c>
      <c r="O25" s="234">
        <v>0</v>
      </c>
      <c r="P25" s="234">
        <v>0</v>
      </c>
      <c r="Q25" s="146">
        <v>0</v>
      </c>
      <c r="R25" s="233">
        <v>83.442999999999998</v>
      </c>
      <c r="S25" s="234">
        <v>83.442999999999998</v>
      </c>
      <c r="T25" s="234">
        <v>0</v>
      </c>
      <c r="U25" s="234">
        <v>0</v>
      </c>
      <c r="V25" s="146">
        <v>0</v>
      </c>
      <c r="W25" s="215" t="s">
        <v>165</v>
      </c>
      <c r="AD25" s="315"/>
      <c r="AE25" s="315"/>
      <c r="AF25" s="315"/>
      <c r="AG25" s="315"/>
      <c r="AH25" s="315"/>
    </row>
    <row r="26" spans="1:34" ht="18.75" customHeight="1" x14ac:dyDescent="0.25">
      <c r="A26" s="205" t="s">
        <v>166</v>
      </c>
      <c r="B26" s="233">
        <v>72.572000000000003</v>
      </c>
      <c r="C26" s="234">
        <v>72.207999999999998</v>
      </c>
      <c r="D26" s="234">
        <v>0.36299999999999999</v>
      </c>
      <c r="E26" s="234">
        <v>0.36299999999999999</v>
      </c>
      <c r="F26" s="146">
        <v>0</v>
      </c>
      <c r="G26" s="234">
        <v>73.596000000000004</v>
      </c>
      <c r="H26" s="234">
        <v>72.992000000000004</v>
      </c>
      <c r="I26" s="234">
        <v>0.60399999999999998</v>
      </c>
      <c r="J26" s="234">
        <v>0.60399999999999998</v>
      </c>
      <c r="K26" s="146">
        <v>0</v>
      </c>
      <c r="L26" s="233"/>
      <c r="M26" s="234">
        <v>73.825999999999993</v>
      </c>
      <c r="N26" s="234">
        <v>73.224999999999994</v>
      </c>
      <c r="O26" s="234">
        <v>0.60099999999999998</v>
      </c>
      <c r="P26" s="234">
        <v>0.60099999999999998</v>
      </c>
      <c r="Q26" s="146">
        <v>0</v>
      </c>
      <c r="R26" s="233">
        <v>77.611999999999995</v>
      </c>
      <c r="S26" s="234">
        <v>77.082999999999998</v>
      </c>
      <c r="T26" s="234">
        <v>0.52900000000000003</v>
      </c>
      <c r="U26" s="234">
        <v>0.52900000000000003</v>
      </c>
      <c r="V26" s="146">
        <v>0</v>
      </c>
      <c r="W26" s="215" t="s">
        <v>167</v>
      </c>
      <c r="AD26" s="315"/>
      <c r="AE26" s="315"/>
      <c r="AF26" s="315"/>
      <c r="AG26" s="315"/>
      <c r="AH26" s="315"/>
    </row>
    <row r="27" spans="1:34" ht="18.75" customHeight="1" x14ac:dyDescent="0.25">
      <c r="A27" s="205" t="s">
        <v>168</v>
      </c>
      <c r="B27" s="233">
        <v>63.883000000000003</v>
      </c>
      <c r="C27" s="234">
        <v>15.699</v>
      </c>
      <c r="D27" s="234">
        <v>48.183999999999997</v>
      </c>
      <c r="E27" s="234">
        <v>48.183999999999997</v>
      </c>
      <c r="F27" s="146">
        <v>0</v>
      </c>
      <c r="G27" s="234">
        <v>64.665000000000006</v>
      </c>
      <c r="H27" s="234">
        <v>15.491</v>
      </c>
      <c r="I27" s="234">
        <v>49.173999999999999</v>
      </c>
      <c r="J27" s="234">
        <v>49.173999999999999</v>
      </c>
      <c r="K27" s="146">
        <v>0</v>
      </c>
      <c r="L27" s="233"/>
      <c r="M27" s="234">
        <v>64.814999999999998</v>
      </c>
      <c r="N27" s="234">
        <v>15.659000000000001</v>
      </c>
      <c r="O27" s="234">
        <v>49.155999999999999</v>
      </c>
      <c r="P27" s="234">
        <v>49.155999999999999</v>
      </c>
      <c r="Q27" s="146">
        <v>0</v>
      </c>
      <c r="R27" s="233">
        <v>67.882999999999996</v>
      </c>
      <c r="S27" s="234">
        <v>18.574000000000002</v>
      </c>
      <c r="T27" s="234">
        <v>49.308999999999997</v>
      </c>
      <c r="U27" s="234">
        <v>49.308999999999997</v>
      </c>
      <c r="V27" s="146">
        <v>0</v>
      </c>
      <c r="W27" s="215" t="s">
        <v>169</v>
      </c>
      <c r="AD27" s="315"/>
      <c r="AE27" s="315"/>
      <c r="AF27" s="315"/>
      <c r="AG27" s="315"/>
      <c r="AH27" s="315"/>
    </row>
    <row r="28" spans="1:34" ht="18.75" customHeight="1" x14ac:dyDescent="0.25">
      <c r="A28" s="205" t="s">
        <v>170</v>
      </c>
      <c r="B28" s="233">
        <v>73.322999999999993</v>
      </c>
      <c r="C28" s="234">
        <v>73.150000000000006</v>
      </c>
      <c r="D28" s="234">
        <v>0.17299999999999999</v>
      </c>
      <c r="E28" s="234">
        <v>0.17299999999999999</v>
      </c>
      <c r="F28" s="146">
        <v>0</v>
      </c>
      <c r="G28" s="234">
        <v>73.364000000000004</v>
      </c>
      <c r="H28" s="234">
        <v>73.207999999999998</v>
      </c>
      <c r="I28" s="234">
        <v>0.156</v>
      </c>
      <c r="J28" s="234">
        <v>0.156</v>
      </c>
      <c r="K28" s="146">
        <v>0</v>
      </c>
      <c r="L28" s="233"/>
      <c r="M28" s="234">
        <v>73.242999999999995</v>
      </c>
      <c r="N28" s="234">
        <v>73.076999999999998</v>
      </c>
      <c r="O28" s="234">
        <v>0.16700000000000001</v>
      </c>
      <c r="P28" s="234">
        <v>0.16700000000000001</v>
      </c>
      <c r="Q28" s="146">
        <v>0</v>
      </c>
      <c r="R28" s="233">
        <v>75.825999999999993</v>
      </c>
      <c r="S28" s="139">
        <v>75.668999999999997</v>
      </c>
      <c r="T28" s="234">
        <v>0.157</v>
      </c>
      <c r="U28" s="234">
        <v>0.157</v>
      </c>
      <c r="V28" s="268">
        <v>0</v>
      </c>
      <c r="W28" s="215" t="s">
        <v>171</v>
      </c>
      <c r="AD28" s="315"/>
      <c r="AE28" s="315"/>
      <c r="AF28" s="315"/>
      <c r="AG28" s="315"/>
      <c r="AH28" s="315"/>
    </row>
    <row r="29" spans="1:34" ht="18.75" customHeight="1" x14ac:dyDescent="0.25">
      <c r="A29" s="205" t="s">
        <v>172</v>
      </c>
      <c r="B29" s="233">
        <v>84.215000000000003</v>
      </c>
      <c r="C29" s="234">
        <v>8.44</v>
      </c>
      <c r="D29" s="234">
        <v>75.775000000000006</v>
      </c>
      <c r="E29" s="234">
        <v>75.775000000000006</v>
      </c>
      <c r="F29" s="146">
        <v>0</v>
      </c>
      <c r="G29" s="234">
        <v>83.771000000000001</v>
      </c>
      <c r="H29" s="234">
        <v>8.0980000000000008</v>
      </c>
      <c r="I29" s="234">
        <v>75.673000000000002</v>
      </c>
      <c r="J29" s="234" t="s">
        <v>604</v>
      </c>
      <c r="K29" s="146" t="s">
        <v>604</v>
      </c>
      <c r="L29" s="233"/>
      <c r="M29" s="234">
        <v>83.963999999999999</v>
      </c>
      <c r="N29" s="234">
        <v>8.11</v>
      </c>
      <c r="O29" s="234">
        <v>75.853999999999999</v>
      </c>
      <c r="P29" s="234">
        <v>75.853999999999999</v>
      </c>
      <c r="Q29" s="146">
        <v>0</v>
      </c>
      <c r="R29" s="233">
        <v>85.397000000000006</v>
      </c>
      <c r="S29" s="139">
        <v>11.795</v>
      </c>
      <c r="T29" s="234">
        <v>73.602000000000004</v>
      </c>
      <c r="U29" s="234">
        <v>73.602000000000004</v>
      </c>
      <c r="V29" s="268">
        <v>0</v>
      </c>
      <c r="W29" s="215" t="s">
        <v>173</v>
      </c>
      <c r="AD29" s="315"/>
      <c r="AE29" s="315"/>
      <c r="AF29" s="315"/>
      <c r="AG29" s="315"/>
      <c r="AH29" s="315"/>
    </row>
    <row r="30" spans="1:34" ht="18.75" customHeight="1" x14ac:dyDescent="0.25">
      <c r="A30" s="205" t="s">
        <v>174</v>
      </c>
      <c r="B30" s="233">
        <v>57.195999999999998</v>
      </c>
      <c r="C30" s="234">
        <v>10.074999999999999</v>
      </c>
      <c r="D30" s="234">
        <v>47.121000000000002</v>
      </c>
      <c r="E30" s="234">
        <v>45.627000000000002</v>
      </c>
      <c r="F30" s="146">
        <v>1.494</v>
      </c>
      <c r="G30" s="234">
        <v>57.991999999999997</v>
      </c>
      <c r="H30" s="234">
        <v>9.7370000000000001</v>
      </c>
      <c r="I30" s="234">
        <v>48.255000000000003</v>
      </c>
      <c r="J30" s="234">
        <v>46.764000000000003</v>
      </c>
      <c r="K30" s="146">
        <v>1.492</v>
      </c>
      <c r="L30" s="233"/>
      <c r="M30" s="234">
        <v>59.113999999999997</v>
      </c>
      <c r="N30" s="234">
        <v>9.8979999999999997</v>
      </c>
      <c r="O30" s="234">
        <v>49.216000000000001</v>
      </c>
      <c r="P30" s="234">
        <v>47.701999999999998</v>
      </c>
      <c r="Q30" s="146">
        <v>1.514</v>
      </c>
      <c r="R30" s="233">
        <v>59.68</v>
      </c>
      <c r="S30" s="234">
        <v>11.786</v>
      </c>
      <c r="T30" s="234">
        <v>47.893999999999998</v>
      </c>
      <c r="U30" s="234">
        <v>46.392000000000003</v>
      </c>
      <c r="V30" s="146">
        <v>1.502</v>
      </c>
      <c r="W30" s="215" t="s">
        <v>175</v>
      </c>
      <c r="AD30" s="315"/>
      <c r="AE30" s="315"/>
      <c r="AF30" s="315"/>
      <c r="AG30" s="315"/>
      <c r="AH30" s="315"/>
    </row>
    <row r="31" spans="1:34" ht="18.75" customHeight="1" x14ac:dyDescent="0.25">
      <c r="A31" s="205" t="s">
        <v>176</v>
      </c>
      <c r="B31" s="235">
        <v>57.329000000000001</v>
      </c>
      <c r="C31" s="139">
        <v>57.329000000000001</v>
      </c>
      <c r="D31" s="139">
        <v>0</v>
      </c>
      <c r="E31" s="139">
        <v>0</v>
      </c>
      <c r="F31" s="146">
        <v>0</v>
      </c>
      <c r="G31" s="139">
        <v>59.881</v>
      </c>
      <c r="H31" s="139">
        <v>59.881</v>
      </c>
      <c r="I31" s="234">
        <v>0</v>
      </c>
      <c r="J31" s="139">
        <v>0</v>
      </c>
      <c r="K31" s="268">
        <v>0</v>
      </c>
      <c r="L31" s="235"/>
      <c r="M31" s="234">
        <v>60.122999999999998</v>
      </c>
      <c r="N31" s="234">
        <v>60.122999999999998</v>
      </c>
      <c r="O31" s="234">
        <v>0</v>
      </c>
      <c r="P31" s="234">
        <v>0</v>
      </c>
      <c r="Q31" s="146">
        <v>0</v>
      </c>
      <c r="R31" s="233">
        <v>63.607999999999997</v>
      </c>
      <c r="S31" s="234">
        <v>63.607999999999997</v>
      </c>
      <c r="T31" s="234">
        <v>0</v>
      </c>
      <c r="U31" s="234">
        <v>0</v>
      </c>
      <c r="V31" s="146">
        <v>0</v>
      </c>
      <c r="W31" s="215" t="s">
        <v>177</v>
      </c>
      <c r="AD31" s="315"/>
      <c r="AE31" s="315"/>
      <c r="AF31" s="315"/>
      <c r="AG31" s="315"/>
      <c r="AH31" s="315"/>
    </row>
    <row r="32" spans="1:34" ht="18.75" customHeight="1" x14ac:dyDescent="0.25">
      <c r="A32" s="205" t="s">
        <v>306</v>
      </c>
      <c r="B32" s="235">
        <v>66.137</v>
      </c>
      <c r="C32" s="139">
        <v>8.9760000000000009</v>
      </c>
      <c r="D32" s="139">
        <v>57.16</v>
      </c>
      <c r="E32" s="139">
        <v>57.16</v>
      </c>
      <c r="F32" s="146">
        <v>0</v>
      </c>
      <c r="G32" s="139">
        <v>67.174999999999997</v>
      </c>
      <c r="H32" s="139">
        <v>8.5719999999999992</v>
      </c>
      <c r="I32" s="234">
        <v>58.603000000000002</v>
      </c>
      <c r="J32" s="139">
        <v>58.603000000000002</v>
      </c>
      <c r="K32" s="268">
        <v>0</v>
      </c>
      <c r="L32" s="235"/>
      <c r="M32" s="234">
        <v>66.382000000000005</v>
      </c>
      <c r="N32" s="234">
        <v>8.2100000000000009</v>
      </c>
      <c r="O32" s="234">
        <v>58.171999999999997</v>
      </c>
      <c r="P32" s="234">
        <v>58.171999999999997</v>
      </c>
      <c r="Q32" s="146">
        <v>0</v>
      </c>
      <c r="R32" s="233">
        <v>70.165000000000006</v>
      </c>
      <c r="S32" s="139">
        <v>10.381</v>
      </c>
      <c r="T32" s="234">
        <v>59.784999999999997</v>
      </c>
      <c r="U32" s="234">
        <v>59.784999999999997</v>
      </c>
      <c r="V32" s="268">
        <v>0</v>
      </c>
      <c r="W32" s="215" t="s">
        <v>305</v>
      </c>
      <c r="AD32" s="315"/>
      <c r="AE32" s="315"/>
      <c r="AF32" s="315"/>
      <c r="AG32" s="315"/>
      <c r="AH32" s="315"/>
    </row>
    <row r="33" spans="1:34" ht="18.75" customHeight="1" x14ac:dyDescent="0.25">
      <c r="A33" s="205" t="s">
        <v>178</v>
      </c>
      <c r="B33" s="233">
        <v>83.951999999999998</v>
      </c>
      <c r="C33" s="234">
        <v>4.7439999999999998</v>
      </c>
      <c r="D33" s="234">
        <v>79.207999999999998</v>
      </c>
      <c r="E33" s="234">
        <v>79.207999999999998</v>
      </c>
      <c r="F33" s="146">
        <v>0</v>
      </c>
      <c r="G33" s="234">
        <v>84.075999999999993</v>
      </c>
      <c r="H33" s="234">
        <v>4.359</v>
      </c>
      <c r="I33" s="234">
        <v>79.718000000000004</v>
      </c>
      <c r="J33" s="234">
        <v>79.718000000000004</v>
      </c>
      <c r="K33" s="146">
        <v>0</v>
      </c>
      <c r="L33" s="233"/>
      <c r="M33" s="234">
        <v>84.96</v>
      </c>
      <c r="N33" s="234">
        <v>4.6719999999999997</v>
      </c>
      <c r="O33" s="234">
        <v>80.289000000000001</v>
      </c>
      <c r="P33" s="234">
        <v>80.289000000000001</v>
      </c>
      <c r="Q33" s="146">
        <v>0</v>
      </c>
      <c r="R33" s="233">
        <v>86.492999999999995</v>
      </c>
      <c r="S33" s="139">
        <v>7.524</v>
      </c>
      <c r="T33" s="234">
        <v>78.968999999999994</v>
      </c>
      <c r="U33" s="234">
        <v>78.968999999999994</v>
      </c>
      <c r="V33" s="268">
        <v>0</v>
      </c>
      <c r="W33" s="215" t="s">
        <v>179</v>
      </c>
      <c r="AD33" s="315"/>
      <c r="AE33" s="315"/>
      <c r="AF33" s="315"/>
      <c r="AG33" s="315"/>
      <c r="AH33" s="315"/>
    </row>
    <row r="34" spans="1:34" ht="18.75" customHeight="1" x14ac:dyDescent="0.25">
      <c r="A34" s="205" t="s">
        <v>180</v>
      </c>
      <c r="B34" s="235">
        <v>50.534999999999997</v>
      </c>
      <c r="C34" s="234">
        <v>23.291</v>
      </c>
      <c r="D34" s="234">
        <v>27.244</v>
      </c>
      <c r="E34" s="234">
        <v>27.244</v>
      </c>
      <c r="F34" s="146">
        <v>0</v>
      </c>
      <c r="G34" s="139">
        <v>49.628</v>
      </c>
      <c r="H34" s="234">
        <v>22.782</v>
      </c>
      <c r="I34" s="234">
        <v>26.847000000000001</v>
      </c>
      <c r="J34" s="139">
        <v>26.847000000000001</v>
      </c>
      <c r="K34" s="146">
        <v>0</v>
      </c>
      <c r="L34" s="233"/>
      <c r="M34" s="234">
        <v>49.167000000000002</v>
      </c>
      <c r="N34" s="234">
        <v>22.25</v>
      </c>
      <c r="O34" s="234">
        <v>26.917000000000002</v>
      </c>
      <c r="P34" s="234">
        <v>26.917000000000002</v>
      </c>
      <c r="Q34" s="146">
        <v>0</v>
      </c>
      <c r="R34" s="233">
        <v>52.902999999999999</v>
      </c>
      <c r="S34" s="234">
        <v>24.866</v>
      </c>
      <c r="T34" s="234">
        <v>28.036999999999999</v>
      </c>
      <c r="U34" s="234">
        <v>28.036999999999999</v>
      </c>
      <c r="V34" s="146">
        <v>0</v>
      </c>
      <c r="W34" s="215" t="s">
        <v>181</v>
      </c>
      <c r="AD34" s="315"/>
      <c r="AE34" s="315"/>
      <c r="AF34" s="315"/>
      <c r="AG34" s="315"/>
      <c r="AH34" s="315"/>
    </row>
    <row r="35" spans="1:34" ht="18.75" customHeight="1" x14ac:dyDescent="0.25">
      <c r="A35" s="205" t="s">
        <v>182</v>
      </c>
      <c r="B35" s="233">
        <v>81.688000000000002</v>
      </c>
      <c r="C35" s="234">
        <v>6.165</v>
      </c>
      <c r="D35" s="234">
        <v>75.522999999999996</v>
      </c>
      <c r="E35" s="234">
        <v>20.085000000000001</v>
      </c>
      <c r="F35" s="146">
        <v>55.436999999999998</v>
      </c>
      <c r="G35" s="234">
        <v>82.105000000000004</v>
      </c>
      <c r="H35" s="234">
        <v>6.3739999999999997</v>
      </c>
      <c r="I35" s="234">
        <v>75.73</v>
      </c>
      <c r="J35" s="234">
        <v>20.373999999999999</v>
      </c>
      <c r="K35" s="146">
        <v>55.356999999999999</v>
      </c>
      <c r="L35" s="233"/>
      <c r="M35" s="234">
        <v>82.801000000000002</v>
      </c>
      <c r="N35" s="234">
        <v>6.5410000000000004</v>
      </c>
      <c r="O35" s="234">
        <v>76.260000000000005</v>
      </c>
      <c r="P35" s="234">
        <v>21.518000000000001</v>
      </c>
      <c r="Q35" s="146">
        <v>54.741999999999997</v>
      </c>
      <c r="R35" s="233">
        <v>84.966999999999999</v>
      </c>
      <c r="S35" s="139">
        <v>11.015000000000001</v>
      </c>
      <c r="T35" s="234">
        <v>73.953000000000003</v>
      </c>
      <c r="U35" s="234">
        <v>21.885999999999999</v>
      </c>
      <c r="V35" s="268">
        <v>52.067</v>
      </c>
      <c r="W35" s="215" t="s">
        <v>183</v>
      </c>
      <c r="AD35" s="315"/>
      <c r="AE35" s="315"/>
      <c r="AF35" s="315"/>
      <c r="AG35" s="315"/>
      <c r="AH35" s="315"/>
    </row>
    <row r="36" spans="1:34" ht="18.75" customHeight="1" x14ac:dyDescent="0.25">
      <c r="A36" s="205" t="s">
        <v>184</v>
      </c>
      <c r="B36" s="233">
        <v>77.528999999999996</v>
      </c>
      <c r="C36" s="234">
        <v>67.962999999999994</v>
      </c>
      <c r="D36" s="234">
        <v>9.5660000000000007</v>
      </c>
      <c r="E36" s="234">
        <v>9.5660000000000007</v>
      </c>
      <c r="F36" s="146">
        <v>0</v>
      </c>
      <c r="G36" s="234">
        <v>77.317999999999998</v>
      </c>
      <c r="H36" s="234">
        <v>67.438999999999993</v>
      </c>
      <c r="I36" s="234">
        <v>9.8789999999999996</v>
      </c>
      <c r="J36" s="234">
        <v>9.8789999999999996</v>
      </c>
      <c r="K36" s="146">
        <v>0</v>
      </c>
      <c r="L36" s="233"/>
      <c r="M36" s="234">
        <v>77.47</v>
      </c>
      <c r="N36" s="234">
        <v>67.465000000000003</v>
      </c>
      <c r="O36" s="234">
        <v>10.005000000000001</v>
      </c>
      <c r="P36" s="234">
        <v>10.005000000000001</v>
      </c>
      <c r="Q36" s="146">
        <v>0</v>
      </c>
      <c r="R36" s="233">
        <v>78.349000000000004</v>
      </c>
      <c r="S36" s="139">
        <v>68.802999999999997</v>
      </c>
      <c r="T36" s="234">
        <v>9.5459999999999994</v>
      </c>
      <c r="U36" s="234">
        <v>9.5459999999999994</v>
      </c>
      <c r="V36" s="268">
        <v>0</v>
      </c>
      <c r="W36" s="215" t="s">
        <v>185</v>
      </c>
      <c r="AD36" s="315"/>
      <c r="AE36" s="315"/>
      <c r="AF36" s="315"/>
      <c r="AG36" s="315"/>
      <c r="AH36" s="315"/>
    </row>
    <row r="37" spans="1:34" ht="18.75" customHeight="1" x14ac:dyDescent="0.25">
      <c r="A37" s="205" t="s">
        <v>186</v>
      </c>
      <c r="B37" s="233">
        <v>85.120999999999995</v>
      </c>
      <c r="C37" s="234">
        <v>85.120999999999995</v>
      </c>
      <c r="D37" s="234">
        <v>0</v>
      </c>
      <c r="E37" s="234">
        <v>0</v>
      </c>
      <c r="F37" s="146">
        <v>0</v>
      </c>
      <c r="G37" s="234">
        <v>85.703000000000003</v>
      </c>
      <c r="H37" s="234">
        <v>85.703000000000003</v>
      </c>
      <c r="I37" s="234">
        <v>0</v>
      </c>
      <c r="J37" s="234">
        <v>0</v>
      </c>
      <c r="K37" s="146">
        <v>0</v>
      </c>
      <c r="L37" s="233"/>
      <c r="M37" s="234">
        <v>85.716999999999999</v>
      </c>
      <c r="N37" s="234">
        <v>85.716999999999999</v>
      </c>
      <c r="O37" s="234">
        <v>0</v>
      </c>
      <c r="P37" s="234">
        <v>0</v>
      </c>
      <c r="Q37" s="146">
        <v>0</v>
      </c>
      <c r="R37" s="233">
        <v>85.966999999999999</v>
      </c>
      <c r="S37" s="234">
        <v>85.966999999999999</v>
      </c>
      <c r="T37" s="234">
        <v>0</v>
      </c>
      <c r="U37" s="234">
        <v>0</v>
      </c>
      <c r="V37" s="146">
        <v>0</v>
      </c>
      <c r="W37" s="215" t="s">
        <v>187</v>
      </c>
      <c r="AD37" s="315"/>
      <c r="AE37" s="315"/>
      <c r="AF37" s="315"/>
      <c r="AG37" s="315"/>
      <c r="AH37" s="315"/>
    </row>
    <row r="38" spans="1:34" ht="18.75" customHeight="1" x14ac:dyDescent="0.25">
      <c r="A38" s="205" t="s">
        <v>188</v>
      </c>
      <c r="B38" s="233">
        <v>69.287999999999997</v>
      </c>
      <c r="C38" s="234">
        <v>10.353999999999999</v>
      </c>
      <c r="D38" s="234">
        <v>58.933999999999997</v>
      </c>
      <c r="E38" s="234">
        <v>58.473999999999997</v>
      </c>
      <c r="F38" s="146">
        <v>0.46</v>
      </c>
      <c r="G38" s="234">
        <v>71.494</v>
      </c>
      <c r="H38" s="234">
        <v>9.968</v>
      </c>
      <c r="I38" s="234">
        <v>61.526000000000003</v>
      </c>
      <c r="J38" s="234">
        <v>61.081000000000003</v>
      </c>
      <c r="K38" s="146">
        <v>0.44500000000000001</v>
      </c>
      <c r="L38" s="233"/>
      <c r="M38" s="234">
        <v>71.777000000000001</v>
      </c>
      <c r="N38" s="234">
        <v>9.9390000000000001</v>
      </c>
      <c r="O38" s="234">
        <v>61.838000000000001</v>
      </c>
      <c r="P38" s="234">
        <v>61.414999999999999</v>
      </c>
      <c r="Q38" s="146">
        <v>0.42299999999999999</v>
      </c>
      <c r="R38" s="233">
        <v>72.266000000000005</v>
      </c>
      <c r="S38" s="139">
        <v>9.8369999999999997</v>
      </c>
      <c r="T38" s="234">
        <v>62.429000000000002</v>
      </c>
      <c r="U38" s="234">
        <v>62.036000000000001</v>
      </c>
      <c r="V38" s="268">
        <v>0.39300000000000002</v>
      </c>
      <c r="W38" s="215" t="s">
        <v>189</v>
      </c>
      <c r="AD38" s="315"/>
      <c r="AE38" s="315"/>
      <c r="AF38" s="315"/>
      <c r="AG38" s="315"/>
      <c r="AH38" s="315"/>
    </row>
    <row r="39" spans="1:34" ht="18.75" customHeight="1" x14ac:dyDescent="0.25">
      <c r="A39" s="205" t="s">
        <v>190</v>
      </c>
      <c r="B39" s="233">
        <v>61.231999999999999</v>
      </c>
      <c r="C39" s="234">
        <v>58.837000000000003</v>
      </c>
      <c r="D39" s="234">
        <v>2.3940000000000001</v>
      </c>
      <c r="E39" s="234">
        <v>2.3940000000000001</v>
      </c>
      <c r="F39" s="146">
        <v>0</v>
      </c>
      <c r="G39" s="234">
        <v>61.228000000000002</v>
      </c>
      <c r="H39" s="234">
        <v>58.847000000000001</v>
      </c>
      <c r="I39" s="234">
        <v>2.3809999999999998</v>
      </c>
      <c r="J39" s="234">
        <v>2.3809999999999998</v>
      </c>
      <c r="K39" s="146">
        <v>0</v>
      </c>
      <c r="L39" s="233"/>
      <c r="M39" s="234">
        <v>60.848999999999997</v>
      </c>
      <c r="N39" s="234">
        <v>58.484999999999999</v>
      </c>
      <c r="O39" s="234">
        <v>2.3639999999999999</v>
      </c>
      <c r="P39" s="234">
        <v>2.3639999999999999</v>
      </c>
      <c r="Q39" s="146">
        <v>0</v>
      </c>
      <c r="R39" s="233">
        <v>64.296999999999997</v>
      </c>
      <c r="S39" s="234">
        <v>61.908999999999999</v>
      </c>
      <c r="T39" s="234">
        <v>2.3879999999999999</v>
      </c>
      <c r="U39" s="234">
        <v>2.3879999999999999</v>
      </c>
      <c r="V39" s="146">
        <v>0</v>
      </c>
      <c r="W39" s="215" t="s">
        <v>191</v>
      </c>
      <c r="AD39" s="315"/>
      <c r="AE39" s="315"/>
      <c r="AF39" s="315"/>
      <c r="AG39" s="315"/>
      <c r="AH39" s="315"/>
    </row>
    <row r="40" spans="1:34" ht="18.75" customHeight="1" x14ac:dyDescent="0.25">
      <c r="A40" s="205" t="s">
        <v>498</v>
      </c>
      <c r="B40" s="233">
        <v>53.0229815</v>
      </c>
      <c r="C40" s="234">
        <v>40.222720230000007</v>
      </c>
      <c r="D40" s="234">
        <v>8.1436498099999994</v>
      </c>
      <c r="E40" s="234">
        <v>8.1436498099999994</v>
      </c>
      <c r="F40" s="146">
        <v>0</v>
      </c>
      <c r="G40" s="233">
        <v>55.109986450000008</v>
      </c>
      <c r="H40" s="234">
        <v>41.668164230000016</v>
      </c>
      <c r="I40" s="234">
        <v>8.4518724400000025</v>
      </c>
      <c r="J40" s="234">
        <v>8.4518724400000025</v>
      </c>
      <c r="K40" s="146">
        <v>0</v>
      </c>
      <c r="L40" s="233"/>
      <c r="M40" s="234">
        <v>56.677944410000009</v>
      </c>
      <c r="N40" s="234">
        <v>43.079607460000005</v>
      </c>
      <c r="O40" s="234">
        <v>8.7590316500000007</v>
      </c>
      <c r="P40" s="234">
        <v>8.7590316500000007</v>
      </c>
      <c r="Q40" s="146">
        <v>0</v>
      </c>
      <c r="R40" s="233">
        <v>63.617493899999999</v>
      </c>
      <c r="S40" s="234">
        <v>51.906339899999999</v>
      </c>
      <c r="T40" s="234">
        <v>8.01136157</v>
      </c>
      <c r="U40" s="234">
        <v>8.01136157</v>
      </c>
      <c r="V40" s="146">
        <v>0</v>
      </c>
      <c r="W40" s="215" t="s">
        <v>499</v>
      </c>
    </row>
    <row r="41" spans="1:34" ht="18.75" customHeight="1" x14ac:dyDescent="0.25">
      <c r="A41" s="205" t="s">
        <v>192</v>
      </c>
      <c r="B41" s="233">
        <v>79.938999999999993</v>
      </c>
      <c r="C41" s="234">
        <v>2.4180000000000001</v>
      </c>
      <c r="D41" s="234">
        <v>77.521000000000001</v>
      </c>
      <c r="E41" s="234">
        <v>77.521000000000001</v>
      </c>
      <c r="F41" s="146">
        <v>0</v>
      </c>
      <c r="G41" s="234">
        <v>80.134</v>
      </c>
      <c r="H41" s="234">
        <v>2.3010000000000002</v>
      </c>
      <c r="I41" s="234">
        <v>77.831999999999994</v>
      </c>
      <c r="J41" s="234">
        <v>77.831999999999994</v>
      </c>
      <c r="K41" s="146">
        <v>0</v>
      </c>
      <c r="L41" s="233"/>
      <c r="M41" s="234">
        <v>79.793000000000006</v>
      </c>
      <c r="N41" s="234">
        <v>2.4260000000000002</v>
      </c>
      <c r="O41" s="234">
        <v>77.367999999999995</v>
      </c>
      <c r="P41" s="234">
        <v>77.367999999999995</v>
      </c>
      <c r="Q41" s="146">
        <v>0</v>
      </c>
      <c r="R41" s="233">
        <v>80.271000000000001</v>
      </c>
      <c r="S41" s="139">
        <v>4.5339999999999998</v>
      </c>
      <c r="T41" s="234">
        <v>75.736999999999995</v>
      </c>
      <c r="U41" s="234">
        <v>75.736999999999995</v>
      </c>
      <c r="V41" s="268">
        <v>0</v>
      </c>
      <c r="W41" s="215" t="s">
        <v>193</v>
      </c>
      <c r="AD41" s="315"/>
      <c r="AE41" s="315"/>
      <c r="AF41" s="315"/>
      <c r="AG41" s="315"/>
      <c r="AH41" s="315"/>
    </row>
    <row r="42" spans="1:34" ht="18.75" customHeight="1" x14ac:dyDescent="0.25">
      <c r="A42" s="205" t="s">
        <v>194</v>
      </c>
      <c r="B42" s="235">
        <v>72.197000000000003</v>
      </c>
      <c r="C42" s="139">
        <v>3.3769999999999998</v>
      </c>
      <c r="D42" s="139">
        <v>68.819000000000003</v>
      </c>
      <c r="E42" s="139" t="s">
        <v>604</v>
      </c>
      <c r="F42" s="146" t="s">
        <v>604</v>
      </c>
      <c r="G42" s="139">
        <v>72.822000000000003</v>
      </c>
      <c r="H42" s="139">
        <v>3.3879999999999999</v>
      </c>
      <c r="I42" s="234">
        <v>69.433999999999997</v>
      </c>
      <c r="J42" s="139">
        <v>69.433999999999997</v>
      </c>
      <c r="K42" s="268">
        <v>0</v>
      </c>
      <c r="L42" s="235"/>
      <c r="M42" s="234">
        <v>72.784999999999997</v>
      </c>
      <c r="N42" s="234">
        <v>4.2050000000000001</v>
      </c>
      <c r="O42" s="234">
        <v>68.58</v>
      </c>
      <c r="P42" s="234">
        <v>68.58</v>
      </c>
      <c r="Q42" s="146">
        <v>0</v>
      </c>
      <c r="R42" s="233">
        <v>73.165999999999997</v>
      </c>
      <c r="S42" s="139">
        <v>9.1</v>
      </c>
      <c r="T42" s="234">
        <v>64.066000000000003</v>
      </c>
      <c r="U42" s="234">
        <v>64.066000000000003</v>
      </c>
      <c r="V42" s="268">
        <v>0</v>
      </c>
      <c r="W42" s="215" t="s">
        <v>195</v>
      </c>
      <c r="AD42" s="315"/>
      <c r="AE42" s="315"/>
      <c r="AF42" s="315"/>
      <c r="AG42" s="315"/>
      <c r="AH42" s="315"/>
    </row>
    <row r="43" spans="1:34" ht="18.75" customHeight="1" x14ac:dyDescent="0.25">
      <c r="A43" s="205" t="s">
        <v>196</v>
      </c>
      <c r="B43" s="233">
        <v>69.474999999999994</v>
      </c>
      <c r="C43" s="234">
        <v>65.436999999999998</v>
      </c>
      <c r="D43" s="234">
        <v>4.0380000000000003</v>
      </c>
      <c r="E43" s="234">
        <v>4.0380000000000003</v>
      </c>
      <c r="F43" s="146">
        <v>0</v>
      </c>
      <c r="G43" s="234">
        <v>69.183999999999997</v>
      </c>
      <c r="H43" s="234">
        <v>65.08</v>
      </c>
      <c r="I43" s="234">
        <v>4.1040000000000001</v>
      </c>
      <c r="J43" s="234">
        <v>4.1040000000000001</v>
      </c>
      <c r="K43" s="146">
        <v>0</v>
      </c>
      <c r="L43" s="233"/>
      <c r="M43" s="234">
        <v>69.438999999999993</v>
      </c>
      <c r="N43" s="234">
        <v>65.474999999999994</v>
      </c>
      <c r="O43" s="234">
        <v>3.9630000000000001</v>
      </c>
      <c r="P43" s="234">
        <v>3.9630000000000001</v>
      </c>
      <c r="Q43" s="146">
        <v>0</v>
      </c>
      <c r="R43" s="233">
        <v>72.087999999999994</v>
      </c>
      <c r="S43" s="234">
        <v>68.397999999999996</v>
      </c>
      <c r="T43" s="234">
        <v>3.69</v>
      </c>
      <c r="U43" s="234">
        <v>3.69</v>
      </c>
      <c r="V43" s="146">
        <v>0</v>
      </c>
      <c r="W43" s="215" t="s">
        <v>197</v>
      </c>
      <c r="AD43" s="315"/>
      <c r="AE43" s="315"/>
      <c r="AF43" s="315"/>
      <c r="AG43" s="315"/>
      <c r="AH43" s="315"/>
    </row>
    <row r="44" spans="1:34" ht="18.75" customHeight="1" x14ac:dyDescent="0.25">
      <c r="A44" s="205" t="s">
        <v>198</v>
      </c>
      <c r="B44" s="233">
        <v>84.542000000000002</v>
      </c>
      <c r="C44" s="234">
        <v>84.542000000000002</v>
      </c>
      <c r="D44" s="234">
        <v>0</v>
      </c>
      <c r="E44" s="234">
        <v>0</v>
      </c>
      <c r="F44" s="146">
        <v>0</v>
      </c>
      <c r="G44" s="234">
        <v>84.480999999999995</v>
      </c>
      <c r="H44" s="234">
        <v>84.480999999999995</v>
      </c>
      <c r="I44" s="234">
        <v>0</v>
      </c>
      <c r="J44" s="234">
        <v>0</v>
      </c>
      <c r="K44" s="146">
        <v>0</v>
      </c>
      <c r="L44" s="233"/>
      <c r="M44" s="234">
        <v>84.876000000000005</v>
      </c>
      <c r="N44" s="234">
        <v>84.876000000000005</v>
      </c>
      <c r="O44" s="234">
        <v>0</v>
      </c>
      <c r="P44" s="234">
        <v>0</v>
      </c>
      <c r="Q44" s="146">
        <v>0</v>
      </c>
      <c r="R44" s="233">
        <v>86.058000000000007</v>
      </c>
      <c r="S44" s="234">
        <v>86.058000000000007</v>
      </c>
      <c r="T44" s="234">
        <v>0</v>
      </c>
      <c r="U44" s="234">
        <v>0</v>
      </c>
      <c r="V44" s="146">
        <v>0</v>
      </c>
      <c r="W44" s="215" t="s">
        <v>199</v>
      </c>
      <c r="AD44" s="315"/>
      <c r="AE44" s="315"/>
      <c r="AF44" s="315"/>
      <c r="AG44" s="315"/>
      <c r="AH44" s="315"/>
    </row>
    <row r="45" spans="1:34" ht="18.75" customHeight="1" x14ac:dyDescent="0.25">
      <c r="A45" s="205" t="s">
        <v>200</v>
      </c>
      <c r="B45" s="233">
        <v>68.174000000000007</v>
      </c>
      <c r="C45" s="234">
        <v>24.257999999999999</v>
      </c>
      <c r="D45" s="234">
        <v>43.915999999999997</v>
      </c>
      <c r="E45" s="234">
        <v>3.036</v>
      </c>
      <c r="F45" s="146">
        <v>40.880000000000003</v>
      </c>
      <c r="G45" s="234">
        <v>67.222999999999999</v>
      </c>
      <c r="H45" s="234">
        <v>23.872</v>
      </c>
      <c r="I45" s="234">
        <v>43.350999999999999</v>
      </c>
      <c r="J45" s="234">
        <v>3.044</v>
      </c>
      <c r="K45" s="146">
        <v>40.305999999999997</v>
      </c>
      <c r="L45" s="233"/>
      <c r="M45" s="234">
        <v>67.828999999999994</v>
      </c>
      <c r="N45" s="234">
        <v>23.722999999999999</v>
      </c>
      <c r="O45" s="234">
        <v>44.106000000000002</v>
      </c>
      <c r="P45" s="234">
        <v>3.17</v>
      </c>
      <c r="Q45" s="146">
        <v>40.936</v>
      </c>
      <c r="R45" s="233">
        <v>69.489000000000004</v>
      </c>
      <c r="S45" s="139">
        <v>25.811</v>
      </c>
      <c r="T45" s="234">
        <v>43.677999999999997</v>
      </c>
      <c r="U45" s="234">
        <v>3.1720000000000002</v>
      </c>
      <c r="V45" s="268">
        <v>40.506</v>
      </c>
      <c r="W45" s="215" t="s">
        <v>201</v>
      </c>
      <c r="AD45" s="315"/>
      <c r="AE45" s="315"/>
      <c r="AF45" s="315"/>
      <c r="AG45" s="315"/>
      <c r="AH45" s="315"/>
    </row>
    <row r="46" spans="1:34" ht="18.75" customHeight="1" x14ac:dyDescent="0.25">
      <c r="A46" s="205" t="s">
        <v>202</v>
      </c>
      <c r="B46" s="233">
        <v>77.710999999999999</v>
      </c>
      <c r="C46" s="234">
        <v>22.071999999999999</v>
      </c>
      <c r="D46" s="234">
        <v>55.637999999999998</v>
      </c>
      <c r="E46" s="234">
        <v>55.637999999999998</v>
      </c>
      <c r="F46" s="146">
        <v>0</v>
      </c>
      <c r="G46" s="234">
        <v>77.382000000000005</v>
      </c>
      <c r="H46" s="234">
        <v>22.802</v>
      </c>
      <c r="I46" s="234">
        <v>54.58</v>
      </c>
      <c r="J46" s="234">
        <v>54.58</v>
      </c>
      <c r="K46" s="146">
        <v>0</v>
      </c>
      <c r="L46" s="233"/>
      <c r="M46" s="234">
        <v>77.685000000000002</v>
      </c>
      <c r="N46" s="234">
        <v>23.378</v>
      </c>
      <c r="O46" s="234">
        <v>54.307000000000002</v>
      </c>
      <c r="P46" s="234">
        <v>54.307000000000002</v>
      </c>
      <c r="Q46" s="146">
        <v>0</v>
      </c>
      <c r="R46" s="233">
        <v>78.844999999999999</v>
      </c>
      <c r="S46" s="139">
        <v>24.875</v>
      </c>
      <c r="T46" s="234">
        <v>53.97</v>
      </c>
      <c r="U46" s="234">
        <v>53.97</v>
      </c>
      <c r="V46" s="268">
        <v>0</v>
      </c>
      <c r="W46" s="215" t="s">
        <v>401</v>
      </c>
      <c r="AD46" s="315"/>
      <c r="AE46" s="315"/>
      <c r="AF46" s="315"/>
      <c r="AG46" s="315"/>
      <c r="AH46" s="315"/>
    </row>
    <row r="47" spans="1:34" ht="18.75" customHeight="1" x14ac:dyDescent="0.25">
      <c r="A47" s="205" t="s">
        <v>203</v>
      </c>
      <c r="B47" s="233">
        <v>78.899000000000001</v>
      </c>
      <c r="C47" s="234">
        <v>78.899000000000001</v>
      </c>
      <c r="D47" s="234">
        <v>0</v>
      </c>
      <c r="E47" s="234">
        <v>0</v>
      </c>
      <c r="F47" s="146">
        <v>0</v>
      </c>
      <c r="G47" s="234">
        <v>78.707999999999998</v>
      </c>
      <c r="H47" s="234">
        <v>78.707999999999998</v>
      </c>
      <c r="I47" s="234">
        <v>0</v>
      </c>
      <c r="J47" s="234">
        <v>0</v>
      </c>
      <c r="K47" s="146">
        <v>0</v>
      </c>
      <c r="L47" s="233"/>
      <c r="M47" s="234">
        <v>79.034999999999997</v>
      </c>
      <c r="N47" s="234">
        <v>79.034999999999997</v>
      </c>
      <c r="O47" s="234">
        <v>0</v>
      </c>
      <c r="P47" s="234">
        <v>0</v>
      </c>
      <c r="Q47" s="146">
        <v>0</v>
      </c>
      <c r="R47" s="233">
        <v>83.504999999999995</v>
      </c>
      <c r="S47" s="234">
        <v>83.504999999999995</v>
      </c>
      <c r="T47" s="234">
        <v>0</v>
      </c>
      <c r="U47" s="234">
        <v>0</v>
      </c>
      <c r="V47" s="146">
        <v>0</v>
      </c>
      <c r="W47" s="215" t="s">
        <v>204</v>
      </c>
      <c r="AD47" s="315"/>
      <c r="AE47" s="315"/>
      <c r="AF47" s="315"/>
      <c r="AG47" s="315"/>
      <c r="AH47" s="315"/>
    </row>
    <row r="48" spans="1:34" ht="18.75" customHeight="1" x14ac:dyDescent="0.25">
      <c r="A48" s="206" t="s">
        <v>205</v>
      </c>
      <c r="B48" s="140">
        <v>82.908000000000001</v>
      </c>
      <c r="C48" s="140">
        <v>26.754000000000001</v>
      </c>
      <c r="D48" s="140">
        <v>56.154000000000003</v>
      </c>
      <c r="E48" s="140">
        <v>23.123999999999999</v>
      </c>
      <c r="F48" s="273">
        <v>33.030999999999999</v>
      </c>
      <c r="G48" s="140">
        <v>82.91</v>
      </c>
      <c r="H48" s="140">
        <v>26.446000000000002</v>
      </c>
      <c r="I48" s="140">
        <v>56.463999999999999</v>
      </c>
      <c r="J48" s="140">
        <v>23.503</v>
      </c>
      <c r="K48" s="273">
        <v>32.960999999999999</v>
      </c>
      <c r="L48" s="235"/>
      <c r="M48" s="140">
        <v>82.727999999999994</v>
      </c>
      <c r="N48" s="140">
        <v>26.422000000000001</v>
      </c>
      <c r="O48" s="140">
        <v>56.305</v>
      </c>
      <c r="P48" s="140">
        <v>23.954999999999998</v>
      </c>
      <c r="Q48" s="273">
        <v>32.35</v>
      </c>
      <c r="R48" s="236">
        <v>84.44</v>
      </c>
      <c r="S48" s="140">
        <v>33.212000000000003</v>
      </c>
      <c r="T48" s="140">
        <v>51.228000000000002</v>
      </c>
      <c r="U48" s="140">
        <v>22.196000000000002</v>
      </c>
      <c r="V48" s="273">
        <v>29.033000000000001</v>
      </c>
      <c r="W48" s="216" t="s">
        <v>206</v>
      </c>
      <c r="AD48" s="315"/>
      <c r="AE48" s="315"/>
      <c r="AF48" s="315"/>
      <c r="AG48" s="315"/>
      <c r="AH48" s="315"/>
    </row>
    <row r="49" spans="1:23" s="227" customFormat="1" ht="14.1" customHeight="1" x14ac:dyDescent="0.2">
      <c r="A49" s="744" t="s">
        <v>623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621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</row>
    <row r="50" spans="1:23" s="203" customFormat="1" ht="12" x14ac:dyDescent="0.2">
      <c r="A50" s="772" t="s">
        <v>635</v>
      </c>
      <c r="B50" s="772"/>
      <c r="C50" s="772"/>
      <c r="D50" s="772"/>
      <c r="E50" s="772"/>
      <c r="F50" s="772"/>
      <c r="G50" s="772"/>
      <c r="H50" s="772"/>
      <c r="I50" s="772"/>
      <c r="J50" s="772"/>
      <c r="K50" s="772"/>
      <c r="L50" s="294"/>
      <c r="M50" s="739" t="s">
        <v>636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23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</row>
    <row r="52" spans="1:23" x14ac:dyDescent="0.25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</row>
  </sheetData>
  <mergeCells count="32">
    <mergeCell ref="A49:K49"/>
    <mergeCell ref="S5:V5"/>
    <mergeCell ref="S6:S7"/>
    <mergeCell ref="T6:T7"/>
    <mergeCell ref="M49:W49"/>
    <mergeCell ref="N6:N7"/>
    <mergeCell ref="O6:O7"/>
    <mergeCell ref="M5:M7"/>
    <mergeCell ref="N5:Q5"/>
    <mergeCell ref="R5:R7"/>
    <mergeCell ref="G5:G7"/>
    <mergeCell ref="H5:K5"/>
    <mergeCell ref="C6:C7"/>
    <mergeCell ref="D6:D7"/>
    <mergeCell ref="H6:H7"/>
    <mergeCell ref="I6:I7"/>
    <mergeCell ref="A50:K50"/>
    <mergeCell ref="M50:W50"/>
    <mergeCell ref="A1:K1"/>
    <mergeCell ref="M1:W1"/>
    <mergeCell ref="A3:A8"/>
    <mergeCell ref="B3:F3"/>
    <mergeCell ref="G3:K3"/>
    <mergeCell ref="M3:Q3"/>
    <mergeCell ref="R3:V3"/>
    <mergeCell ref="W3:W8"/>
    <mergeCell ref="B4:F4"/>
    <mergeCell ref="G4:K4"/>
    <mergeCell ref="M4:Q4"/>
    <mergeCell ref="R4:V4"/>
    <mergeCell ref="B5:B7"/>
    <mergeCell ref="C5:F5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79" fitToWidth="0" fitToHeight="0" orientation="portrait" r:id="rId1"/>
  <colBreaks count="1" manualBreakCount="1">
    <brk id="12" max="4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77FA-761E-4409-A89A-FE82D0178E76}">
  <sheetPr>
    <tabColor rgb="FF92D050"/>
  </sheetPr>
  <dimension ref="A1:AH51"/>
  <sheetViews>
    <sheetView view="pageBreakPreview" zoomScale="55" zoomScaleNormal="70" zoomScaleSheetLayoutView="55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R9" sqref="R9"/>
    </sheetView>
  </sheetViews>
  <sheetFormatPr defaultColWidth="9" defaultRowHeight="15.75" x14ac:dyDescent="0.25"/>
  <cols>
    <col min="1" max="1" width="12" style="21" customWidth="1"/>
    <col min="2" max="2" width="13" style="21" customWidth="1"/>
    <col min="3" max="3" width="9.125" style="21" customWidth="1"/>
    <col min="4" max="5" width="10.75" style="21" customWidth="1"/>
    <col min="6" max="6" width="9.75" style="21" customWidth="1"/>
    <col min="7" max="7" width="13" style="21" customWidth="1"/>
    <col min="8" max="8" width="9.125" style="21" customWidth="1"/>
    <col min="9" max="11" width="10.75" style="21" customWidth="1"/>
    <col min="12" max="12" width="0.75" style="21" customWidth="1"/>
    <col min="13" max="13" width="10.75" style="21" customWidth="1"/>
    <col min="14" max="14" width="9.125" style="21" customWidth="1"/>
    <col min="15" max="18" width="10.75" style="21" customWidth="1"/>
    <col min="19" max="19" width="9.125" style="21" customWidth="1"/>
    <col min="20" max="22" width="10.75" style="21" customWidth="1"/>
    <col min="23" max="23" width="11.875" style="21" customWidth="1"/>
    <col min="24" max="16384" width="9" style="21"/>
  </cols>
  <sheetData>
    <row r="1" spans="1:34" ht="23.45" customHeight="1" x14ac:dyDescent="0.25">
      <c r="A1" s="759" t="s">
        <v>650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280"/>
      <c r="M1" s="761" t="s">
        <v>643</v>
      </c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261"/>
    </row>
    <row r="2" spans="1:34" ht="16.149999999999999" customHeight="1" x14ac:dyDescent="0.25">
      <c r="A2" s="47" t="s">
        <v>208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9"/>
      <c r="N2" s="50"/>
      <c r="O2" s="49"/>
      <c r="P2" s="50"/>
      <c r="Q2" s="50"/>
      <c r="R2" s="50"/>
      <c r="S2" s="50"/>
      <c r="T2" s="50"/>
      <c r="U2" s="49"/>
      <c r="V2" s="49"/>
      <c r="W2" s="50" t="s">
        <v>209</v>
      </c>
    </row>
    <row r="3" spans="1:34" s="22" customFormat="1" ht="15.6" customHeight="1" x14ac:dyDescent="0.25">
      <c r="A3" s="762" t="s">
        <v>469</v>
      </c>
      <c r="B3" s="765" t="s">
        <v>494</v>
      </c>
      <c r="C3" s="766"/>
      <c r="D3" s="766"/>
      <c r="E3" s="766"/>
      <c r="F3" s="767"/>
      <c r="G3" s="765" t="s">
        <v>495</v>
      </c>
      <c r="H3" s="766"/>
      <c r="I3" s="766"/>
      <c r="J3" s="766"/>
      <c r="K3" s="767"/>
      <c r="L3" s="290"/>
      <c r="M3" s="766" t="s">
        <v>549</v>
      </c>
      <c r="N3" s="766"/>
      <c r="O3" s="766"/>
      <c r="P3" s="766"/>
      <c r="Q3" s="767"/>
      <c r="R3" s="765" t="s">
        <v>578</v>
      </c>
      <c r="S3" s="766"/>
      <c r="T3" s="766"/>
      <c r="U3" s="766"/>
      <c r="V3" s="767"/>
      <c r="W3" s="768" t="s">
        <v>470</v>
      </c>
    </row>
    <row r="4" spans="1:34" ht="14.45" customHeight="1" x14ac:dyDescent="0.25">
      <c r="A4" s="763"/>
      <c r="B4" s="756">
        <v>2021</v>
      </c>
      <c r="C4" s="757"/>
      <c r="D4" s="757"/>
      <c r="E4" s="757"/>
      <c r="F4" s="758"/>
      <c r="G4" s="756">
        <v>2022</v>
      </c>
      <c r="H4" s="757"/>
      <c r="I4" s="757"/>
      <c r="J4" s="757"/>
      <c r="K4" s="758"/>
      <c r="L4" s="290"/>
      <c r="M4" s="757">
        <v>2023</v>
      </c>
      <c r="N4" s="757"/>
      <c r="O4" s="757"/>
      <c r="P4" s="757"/>
      <c r="Q4" s="758"/>
      <c r="R4" s="756">
        <v>2024</v>
      </c>
      <c r="S4" s="757"/>
      <c r="T4" s="757"/>
      <c r="U4" s="757"/>
      <c r="V4" s="758"/>
      <c r="W4" s="769"/>
    </row>
    <row r="5" spans="1:34" ht="15" customHeight="1" x14ac:dyDescent="0.25">
      <c r="A5" s="763"/>
      <c r="B5" s="733" t="s">
        <v>589</v>
      </c>
      <c r="C5" s="740"/>
      <c r="D5" s="740"/>
      <c r="E5" s="740"/>
      <c r="F5" s="741"/>
      <c r="G5" s="733" t="s">
        <v>589</v>
      </c>
      <c r="H5" s="740"/>
      <c r="I5" s="740"/>
      <c r="J5" s="740"/>
      <c r="K5" s="741"/>
      <c r="L5" s="291"/>
      <c r="M5" s="742" t="s">
        <v>589</v>
      </c>
      <c r="N5" s="740"/>
      <c r="O5" s="740"/>
      <c r="P5" s="740"/>
      <c r="Q5" s="741"/>
      <c r="R5" s="733" t="s">
        <v>589</v>
      </c>
      <c r="S5" s="740"/>
      <c r="T5" s="740"/>
      <c r="U5" s="740"/>
      <c r="V5" s="741"/>
      <c r="W5" s="769"/>
    </row>
    <row r="6" spans="1:34" ht="26.25" customHeight="1" x14ac:dyDescent="0.25">
      <c r="A6" s="763"/>
      <c r="B6" s="750"/>
      <c r="C6" s="751" t="s">
        <v>579</v>
      </c>
      <c r="D6" s="753" t="s">
        <v>580</v>
      </c>
      <c r="E6" s="257"/>
      <c r="F6" s="258"/>
      <c r="G6" s="750"/>
      <c r="H6" s="751" t="s">
        <v>579</v>
      </c>
      <c r="I6" s="753" t="s">
        <v>580</v>
      </c>
      <c r="J6" s="257"/>
      <c r="K6" s="258"/>
      <c r="L6" s="292"/>
      <c r="M6" s="755"/>
      <c r="N6" s="751" t="s">
        <v>579</v>
      </c>
      <c r="O6" s="753" t="s">
        <v>580</v>
      </c>
      <c r="P6" s="257"/>
      <c r="Q6" s="258"/>
      <c r="R6" s="750"/>
      <c r="S6" s="751" t="s">
        <v>579</v>
      </c>
      <c r="T6" s="753" t="s">
        <v>580</v>
      </c>
      <c r="U6" s="257"/>
      <c r="V6" s="258"/>
      <c r="W6" s="769"/>
    </row>
    <row r="7" spans="1:34" ht="35.25" customHeight="1" x14ac:dyDescent="0.25">
      <c r="A7" s="763"/>
      <c r="B7" s="750"/>
      <c r="C7" s="752"/>
      <c r="D7" s="754"/>
      <c r="E7" s="259" t="s">
        <v>581</v>
      </c>
      <c r="F7" s="259" t="s">
        <v>582</v>
      </c>
      <c r="G7" s="750"/>
      <c r="H7" s="752"/>
      <c r="I7" s="754"/>
      <c r="J7" s="259" t="s">
        <v>581</v>
      </c>
      <c r="K7" s="259" t="s">
        <v>582</v>
      </c>
      <c r="L7" s="287"/>
      <c r="M7" s="755"/>
      <c r="N7" s="752"/>
      <c r="O7" s="754"/>
      <c r="P7" s="259" t="s">
        <v>581</v>
      </c>
      <c r="Q7" s="259" t="s">
        <v>582</v>
      </c>
      <c r="R7" s="750"/>
      <c r="S7" s="752"/>
      <c r="T7" s="754"/>
      <c r="U7" s="259" t="s">
        <v>581</v>
      </c>
      <c r="V7" s="259" t="s">
        <v>582</v>
      </c>
      <c r="W7" s="769"/>
    </row>
    <row r="8" spans="1:34" ht="41.25" customHeight="1" x14ac:dyDescent="0.25">
      <c r="A8" s="764"/>
      <c r="B8" s="260" t="s">
        <v>642</v>
      </c>
      <c r="C8" s="260" t="s">
        <v>584</v>
      </c>
      <c r="D8" s="260" t="s">
        <v>585</v>
      </c>
      <c r="E8" s="260" t="s">
        <v>586</v>
      </c>
      <c r="F8" s="260" t="s">
        <v>587</v>
      </c>
      <c r="G8" s="260" t="s">
        <v>642</v>
      </c>
      <c r="H8" s="260" t="s">
        <v>584</v>
      </c>
      <c r="I8" s="260" t="s">
        <v>585</v>
      </c>
      <c r="J8" s="260" t="s">
        <v>586</v>
      </c>
      <c r="K8" s="260" t="s">
        <v>587</v>
      </c>
      <c r="L8" s="293"/>
      <c r="M8" s="288" t="s">
        <v>642</v>
      </c>
      <c r="N8" s="260" t="s">
        <v>584</v>
      </c>
      <c r="O8" s="260" t="s">
        <v>585</v>
      </c>
      <c r="P8" s="260" t="s">
        <v>586</v>
      </c>
      <c r="Q8" s="260" t="s">
        <v>587</v>
      </c>
      <c r="R8" s="260" t="s">
        <v>642</v>
      </c>
      <c r="S8" s="260" t="s">
        <v>584</v>
      </c>
      <c r="T8" s="260" t="s">
        <v>585</v>
      </c>
      <c r="U8" s="260" t="s">
        <v>586</v>
      </c>
      <c r="V8" s="260" t="s">
        <v>587</v>
      </c>
      <c r="W8" s="770"/>
    </row>
    <row r="9" spans="1:34" ht="18.75" customHeight="1" x14ac:dyDescent="0.25">
      <c r="A9" s="204" t="s">
        <v>136</v>
      </c>
      <c r="B9" s="233">
        <v>61.94</v>
      </c>
      <c r="C9" s="234">
        <v>14.64</v>
      </c>
      <c r="D9" s="234">
        <v>47.3</v>
      </c>
      <c r="E9" s="234">
        <v>47.3</v>
      </c>
      <c r="F9" s="268">
        <v>0</v>
      </c>
      <c r="G9" s="234">
        <v>62.08</v>
      </c>
      <c r="H9" s="234">
        <v>16.84</v>
      </c>
      <c r="I9" s="269">
        <v>45.25</v>
      </c>
      <c r="J9" s="269">
        <v>45.25</v>
      </c>
      <c r="K9" s="213">
        <v>0</v>
      </c>
      <c r="L9" s="233"/>
      <c r="M9" s="269">
        <v>60.3</v>
      </c>
      <c r="N9" s="270">
        <v>14.56</v>
      </c>
      <c r="O9" s="270">
        <v>45.74</v>
      </c>
      <c r="P9" s="270">
        <v>45.74</v>
      </c>
      <c r="Q9" s="213">
        <v>0</v>
      </c>
      <c r="R9" s="309">
        <v>59.15</v>
      </c>
      <c r="S9" s="310">
        <v>12.84</v>
      </c>
      <c r="T9" s="311">
        <v>46.31</v>
      </c>
      <c r="U9" s="311">
        <v>46.31</v>
      </c>
      <c r="V9" s="312">
        <v>0</v>
      </c>
      <c r="W9" s="215" t="s">
        <v>137</v>
      </c>
    </row>
    <row r="10" spans="1:34" ht="18.75" customHeight="1" x14ac:dyDescent="0.25">
      <c r="A10" s="205" t="s">
        <v>138</v>
      </c>
      <c r="B10" s="233">
        <v>73.947000000000003</v>
      </c>
      <c r="C10" s="234">
        <v>72.927999999999997</v>
      </c>
      <c r="D10" s="234">
        <v>1.0189999999999999</v>
      </c>
      <c r="E10" s="234">
        <v>0</v>
      </c>
      <c r="F10" s="146">
        <v>1.0189999999999999</v>
      </c>
      <c r="G10" s="234">
        <v>72.793999999999997</v>
      </c>
      <c r="H10" s="234">
        <v>71.734999999999999</v>
      </c>
      <c r="I10" s="234">
        <v>1.0589999999999999</v>
      </c>
      <c r="J10" s="234">
        <v>0</v>
      </c>
      <c r="K10" s="146">
        <v>1.0589999999999999</v>
      </c>
      <c r="L10" s="233"/>
      <c r="M10" s="234">
        <v>71.858999999999995</v>
      </c>
      <c r="N10" s="234" t="s">
        <v>604</v>
      </c>
      <c r="O10" s="234" t="s">
        <v>604</v>
      </c>
      <c r="P10" s="234" t="s">
        <v>604</v>
      </c>
      <c r="Q10" s="146" t="s">
        <v>604</v>
      </c>
      <c r="R10" s="233">
        <v>72.233000000000004</v>
      </c>
      <c r="S10" s="234" t="s">
        <v>604</v>
      </c>
      <c r="T10" s="234" t="s">
        <v>604</v>
      </c>
      <c r="U10" s="234" t="s">
        <v>604</v>
      </c>
      <c r="V10" s="146" t="s">
        <v>604</v>
      </c>
      <c r="W10" s="215" t="s">
        <v>139</v>
      </c>
      <c r="AD10" s="315"/>
      <c r="AE10" s="315"/>
      <c r="AF10" s="315"/>
      <c r="AG10" s="315"/>
      <c r="AH10" s="315"/>
    </row>
    <row r="11" spans="1:34" ht="18.75" customHeight="1" x14ac:dyDescent="0.25">
      <c r="A11" s="205" t="s">
        <v>140</v>
      </c>
      <c r="B11" s="233">
        <v>77.745999999999995</v>
      </c>
      <c r="C11" s="234">
        <v>37.466000000000001</v>
      </c>
      <c r="D11" s="234">
        <v>40.28</v>
      </c>
      <c r="E11" s="234">
        <v>40.28</v>
      </c>
      <c r="F11" s="146">
        <v>0</v>
      </c>
      <c r="G11" s="234">
        <v>77.200999999999993</v>
      </c>
      <c r="H11" s="234">
        <v>34.716000000000001</v>
      </c>
      <c r="I11" s="234">
        <v>42.484999999999999</v>
      </c>
      <c r="J11" s="234">
        <v>42.484999999999999</v>
      </c>
      <c r="K11" s="146">
        <v>0</v>
      </c>
      <c r="L11" s="233"/>
      <c r="M11" s="234">
        <v>76.661000000000001</v>
      </c>
      <c r="N11" s="234">
        <v>33.116</v>
      </c>
      <c r="O11" s="234">
        <v>43.545000000000002</v>
      </c>
      <c r="P11" s="234">
        <v>43.545000000000002</v>
      </c>
      <c r="Q11" s="146">
        <v>0</v>
      </c>
      <c r="R11" s="233">
        <v>76.275000000000006</v>
      </c>
      <c r="S11" s="234" t="s">
        <v>604</v>
      </c>
      <c r="T11" s="234" t="s">
        <v>604</v>
      </c>
      <c r="U11" s="234" t="s">
        <v>604</v>
      </c>
      <c r="V11" s="146" t="s">
        <v>604</v>
      </c>
      <c r="W11" s="215" t="s">
        <v>141</v>
      </c>
      <c r="AD11" s="315"/>
      <c r="AE11" s="315"/>
      <c r="AF11" s="315"/>
      <c r="AG11" s="315"/>
      <c r="AH11" s="315"/>
    </row>
    <row r="12" spans="1:34" ht="18.75" customHeight="1" x14ac:dyDescent="0.25">
      <c r="A12" s="205" t="s">
        <v>142</v>
      </c>
      <c r="B12" s="233">
        <v>75.135000000000005</v>
      </c>
      <c r="C12" s="234">
        <v>21.861999999999998</v>
      </c>
      <c r="D12" s="234">
        <v>53.273000000000003</v>
      </c>
      <c r="E12" s="234">
        <v>53.238</v>
      </c>
      <c r="F12" s="146">
        <v>3.5000000000000003E-2</v>
      </c>
      <c r="G12" s="234">
        <v>73.83</v>
      </c>
      <c r="H12" s="234">
        <v>20.536000000000001</v>
      </c>
      <c r="I12" s="234">
        <v>53.295000000000002</v>
      </c>
      <c r="J12" s="234">
        <v>53.26</v>
      </c>
      <c r="K12" s="146">
        <v>3.5000000000000003E-2</v>
      </c>
      <c r="L12" s="233"/>
      <c r="M12" s="234">
        <v>73.59</v>
      </c>
      <c r="N12" s="234">
        <v>18.420999999999999</v>
      </c>
      <c r="O12" s="234">
        <v>55.168999999999997</v>
      </c>
      <c r="P12" s="234">
        <v>55.131999999999998</v>
      </c>
      <c r="Q12" s="146">
        <v>3.6999999999999998E-2</v>
      </c>
      <c r="R12" s="233">
        <v>73.832999999999998</v>
      </c>
      <c r="S12" s="234" t="s">
        <v>604</v>
      </c>
      <c r="T12" s="234" t="s">
        <v>604</v>
      </c>
      <c r="U12" s="234" t="s">
        <v>604</v>
      </c>
      <c r="V12" s="146" t="s">
        <v>604</v>
      </c>
      <c r="W12" s="215" t="s">
        <v>143</v>
      </c>
      <c r="AD12" s="315"/>
      <c r="AE12" s="315"/>
      <c r="AF12" s="315"/>
      <c r="AG12" s="315"/>
      <c r="AH12" s="315"/>
    </row>
    <row r="13" spans="1:34" ht="18.75" customHeight="1" x14ac:dyDescent="0.25">
      <c r="A13" s="205" t="s">
        <v>144</v>
      </c>
      <c r="B13" s="233">
        <v>72.706000000000003</v>
      </c>
      <c r="C13" s="234">
        <v>71.394999999999996</v>
      </c>
      <c r="D13" s="234">
        <v>1.31</v>
      </c>
      <c r="E13" s="234">
        <v>1.31</v>
      </c>
      <c r="F13" s="146">
        <v>0</v>
      </c>
      <c r="G13" s="234">
        <v>70.997</v>
      </c>
      <c r="H13" s="234">
        <v>69.647999999999996</v>
      </c>
      <c r="I13" s="234">
        <v>1.349</v>
      </c>
      <c r="J13" s="234">
        <v>1.349</v>
      </c>
      <c r="K13" s="146">
        <v>0</v>
      </c>
      <c r="L13" s="233"/>
      <c r="M13" s="234">
        <v>70.31</v>
      </c>
      <c r="N13" s="234">
        <v>68.923000000000002</v>
      </c>
      <c r="O13" s="234">
        <v>1.387</v>
      </c>
      <c r="P13" s="234">
        <v>1.387</v>
      </c>
      <c r="Q13" s="146">
        <v>0</v>
      </c>
      <c r="R13" s="233">
        <v>70.192999999999998</v>
      </c>
      <c r="S13" s="234">
        <v>68.850999999999999</v>
      </c>
      <c r="T13" s="234">
        <v>1.3420000000000001</v>
      </c>
      <c r="U13" s="234">
        <v>1.3420000000000001</v>
      </c>
      <c r="V13" s="146">
        <v>0</v>
      </c>
      <c r="W13" s="215" t="s">
        <v>145</v>
      </c>
      <c r="AD13" s="315"/>
      <c r="AE13" s="315"/>
      <c r="AF13" s="315"/>
      <c r="AG13" s="315"/>
      <c r="AH13" s="315"/>
    </row>
    <row r="14" spans="1:34" ht="18.75" customHeight="1" x14ac:dyDescent="0.25">
      <c r="A14" s="205" t="s">
        <v>146</v>
      </c>
      <c r="B14" s="235">
        <v>60.512</v>
      </c>
      <c r="C14" s="139">
        <v>3.9380000000000002</v>
      </c>
      <c r="D14" s="139">
        <v>56.573999999999998</v>
      </c>
      <c r="E14" s="139">
        <v>49.723999999999997</v>
      </c>
      <c r="F14" s="146">
        <v>6.85</v>
      </c>
      <c r="G14" s="139">
        <v>57.970999999999997</v>
      </c>
      <c r="H14" s="139">
        <v>3.3519999999999999</v>
      </c>
      <c r="I14" s="234">
        <v>54.618000000000002</v>
      </c>
      <c r="J14" s="139">
        <v>47.524000000000001</v>
      </c>
      <c r="K14" s="268">
        <v>7.0949999999999998</v>
      </c>
      <c r="L14" s="235"/>
      <c r="M14" s="234">
        <v>59.286999999999999</v>
      </c>
      <c r="N14" s="234">
        <v>1.994</v>
      </c>
      <c r="O14" s="234">
        <v>57.292999999999999</v>
      </c>
      <c r="P14" s="234">
        <v>49.612000000000002</v>
      </c>
      <c r="Q14" s="146">
        <v>7.681</v>
      </c>
      <c r="R14" s="233">
        <v>55.08</v>
      </c>
      <c r="S14" s="139">
        <v>1.7010000000000001</v>
      </c>
      <c r="T14" s="234">
        <v>53.378999999999998</v>
      </c>
      <c r="U14" s="234">
        <v>46.817999999999998</v>
      </c>
      <c r="V14" s="268">
        <v>6.5609999999999999</v>
      </c>
      <c r="W14" s="215" t="s">
        <v>147</v>
      </c>
      <c r="AD14" s="315"/>
      <c r="AE14" s="315"/>
      <c r="AF14" s="315"/>
      <c r="AG14" s="315"/>
      <c r="AH14" s="315"/>
    </row>
    <row r="15" spans="1:34" ht="18.75" customHeight="1" x14ac:dyDescent="0.25">
      <c r="A15" s="225" t="s">
        <v>383</v>
      </c>
      <c r="B15" s="235">
        <v>78.471000000000004</v>
      </c>
      <c r="C15" s="139">
        <v>10.856</v>
      </c>
      <c r="D15" s="139">
        <v>67.614999999999995</v>
      </c>
      <c r="E15" s="139">
        <v>61.862000000000002</v>
      </c>
      <c r="F15" s="146">
        <v>5.7539999999999996</v>
      </c>
      <c r="G15" s="139">
        <v>76.935000000000002</v>
      </c>
      <c r="H15" s="139">
        <v>6.04</v>
      </c>
      <c r="I15" s="234">
        <v>70.894999999999996</v>
      </c>
      <c r="J15" s="139">
        <v>64.424000000000007</v>
      </c>
      <c r="K15" s="268">
        <v>6.4710000000000001</v>
      </c>
      <c r="L15" s="235"/>
      <c r="M15" s="234">
        <v>76.644999999999996</v>
      </c>
      <c r="N15" s="234">
        <v>3.2530000000000001</v>
      </c>
      <c r="O15" s="234">
        <v>73.391999999999996</v>
      </c>
      <c r="P15" s="234">
        <v>67.091999999999999</v>
      </c>
      <c r="Q15" s="146">
        <v>6.3</v>
      </c>
      <c r="R15" s="233">
        <v>76.03</v>
      </c>
      <c r="S15" s="139">
        <v>3.056</v>
      </c>
      <c r="T15" s="234">
        <v>72.974000000000004</v>
      </c>
      <c r="U15" s="234">
        <v>66.710999999999999</v>
      </c>
      <c r="V15" s="268">
        <v>6.2629999999999999</v>
      </c>
      <c r="W15" s="226" t="s">
        <v>384</v>
      </c>
      <c r="AD15" s="315"/>
      <c r="AE15" s="315"/>
      <c r="AF15" s="315"/>
      <c r="AG15" s="315"/>
      <c r="AH15" s="315"/>
    </row>
    <row r="16" spans="1:34" ht="18.75" customHeight="1" x14ac:dyDescent="0.25">
      <c r="A16" s="225" t="s">
        <v>392</v>
      </c>
      <c r="B16" s="235">
        <v>74.748999999999995</v>
      </c>
      <c r="C16" s="139">
        <v>4.0999999999999996</v>
      </c>
      <c r="D16" s="139">
        <v>70.647999999999996</v>
      </c>
      <c r="E16" s="139">
        <v>68.903999999999996</v>
      </c>
      <c r="F16" s="146">
        <v>1.7450000000000001</v>
      </c>
      <c r="G16" s="139">
        <v>72.516000000000005</v>
      </c>
      <c r="H16" s="139">
        <v>4.2229999999999999</v>
      </c>
      <c r="I16" s="234">
        <v>68.293000000000006</v>
      </c>
      <c r="J16" s="139">
        <v>66.718999999999994</v>
      </c>
      <c r="K16" s="268">
        <v>1.5740000000000001</v>
      </c>
      <c r="L16" s="235"/>
      <c r="M16" s="234">
        <v>70.802000000000007</v>
      </c>
      <c r="N16" s="234">
        <v>2.7730000000000001</v>
      </c>
      <c r="O16" s="234">
        <v>68.028000000000006</v>
      </c>
      <c r="P16" s="234">
        <v>66.394999999999996</v>
      </c>
      <c r="Q16" s="146">
        <v>1.633</v>
      </c>
      <c r="R16" s="233">
        <v>70.718999999999994</v>
      </c>
      <c r="S16" s="234" t="s">
        <v>604</v>
      </c>
      <c r="T16" s="234" t="s">
        <v>604</v>
      </c>
      <c r="U16" s="234" t="s">
        <v>604</v>
      </c>
      <c r="V16" s="146" t="s">
        <v>604</v>
      </c>
      <c r="W16" s="226" t="s">
        <v>391</v>
      </c>
      <c r="AD16" s="315"/>
      <c r="AE16" s="315"/>
      <c r="AF16" s="315"/>
      <c r="AG16" s="315"/>
      <c r="AH16" s="315"/>
    </row>
    <row r="17" spans="1:34" ht="18.75" customHeight="1" x14ac:dyDescent="0.25">
      <c r="A17" s="205" t="s">
        <v>148</v>
      </c>
      <c r="B17" s="233">
        <v>86.75</v>
      </c>
      <c r="C17" s="234">
        <v>15.504</v>
      </c>
      <c r="D17" s="234">
        <v>71.245999999999995</v>
      </c>
      <c r="E17" s="234">
        <v>71.245999999999995</v>
      </c>
      <c r="F17" s="146">
        <v>0</v>
      </c>
      <c r="G17" s="234">
        <v>84.971000000000004</v>
      </c>
      <c r="H17" s="234">
        <v>13.526999999999999</v>
      </c>
      <c r="I17" s="234">
        <v>71.444000000000003</v>
      </c>
      <c r="J17" s="234">
        <v>71.444000000000003</v>
      </c>
      <c r="K17" s="146" t="s">
        <v>603</v>
      </c>
      <c r="L17" s="233"/>
      <c r="M17" s="234">
        <v>84.528000000000006</v>
      </c>
      <c r="N17" s="234">
        <v>11.849</v>
      </c>
      <c r="O17" s="234">
        <v>72.679000000000002</v>
      </c>
      <c r="P17" s="234">
        <v>72.679000000000002</v>
      </c>
      <c r="Q17" s="146">
        <v>0</v>
      </c>
      <c r="R17" s="233">
        <v>85.06</v>
      </c>
      <c r="S17" s="234">
        <v>10.451000000000001</v>
      </c>
      <c r="T17" s="234">
        <v>74.608999999999995</v>
      </c>
      <c r="U17" s="234">
        <v>74.608999999999995</v>
      </c>
      <c r="V17" s="146">
        <v>0</v>
      </c>
      <c r="W17" s="215" t="s">
        <v>149</v>
      </c>
      <c r="AD17" s="315"/>
      <c r="AE17" s="315"/>
      <c r="AF17" s="315"/>
      <c r="AG17" s="315"/>
      <c r="AH17" s="315"/>
    </row>
    <row r="18" spans="1:34" ht="18.75" customHeight="1" x14ac:dyDescent="0.25">
      <c r="A18" s="205" t="s">
        <v>150</v>
      </c>
      <c r="B18" s="233">
        <v>84.507000000000005</v>
      </c>
      <c r="C18" s="234">
        <v>84.507000000000005</v>
      </c>
      <c r="D18" s="234">
        <v>0</v>
      </c>
      <c r="E18" s="234">
        <v>0</v>
      </c>
      <c r="F18" s="146">
        <v>0</v>
      </c>
      <c r="G18" s="234">
        <v>84.43</v>
      </c>
      <c r="H18" s="234">
        <v>84.43</v>
      </c>
      <c r="I18" s="234">
        <v>0</v>
      </c>
      <c r="J18" s="234">
        <v>0</v>
      </c>
      <c r="K18" s="146">
        <v>0</v>
      </c>
      <c r="L18" s="233"/>
      <c r="M18" s="234">
        <v>83.284999999999997</v>
      </c>
      <c r="N18" s="234">
        <v>83.284999999999997</v>
      </c>
      <c r="O18" s="234">
        <v>0</v>
      </c>
      <c r="P18" s="234">
        <v>0</v>
      </c>
      <c r="Q18" s="146">
        <v>0</v>
      </c>
      <c r="R18" s="233">
        <v>83.433999999999997</v>
      </c>
      <c r="S18" s="234">
        <v>83.433999999999997</v>
      </c>
      <c r="T18" s="234">
        <v>0</v>
      </c>
      <c r="U18" s="234">
        <v>0</v>
      </c>
      <c r="V18" s="146">
        <v>0</v>
      </c>
      <c r="W18" s="215" t="s">
        <v>151</v>
      </c>
      <c r="AD18" s="315"/>
      <c r="AE18" s="315"/>
      <c r="AF18" s="315"/>
      <c r="AG18" s="315"/>
      <c r="AH18" s="315"/>
    </row>
    <row r="19" spans="1:34" ht="18.75" customHeight="1" x14ac:dyDescent="0.25">
      <c r="A19" s="205" t="s">
        <v>152</v>
      </c>
      <c r="B19" s="235">
        <v>76.119</v>
      </c>
      <c r="C19" s="234">
        <v>12.707000000000001</v>
      </c>
      <c r="D19" s="234">
        <v>63.411000000000001</v>
      </c>
      <c r="E19" s="234">
        <v>63.411000000000001</v>
      </c>
      <c r="F19" s="146">
        <v>0</v>
      </c>
      <c r="G19" s="139">
        <v>74.837000000000003</v>
      </c>
      <c r="H19" s="234">
        <v>9.9120000000000008</v>
      </c>
      <c r="I19" s="234">
        <v>64.924000000000007</v>
      </c>
      <c r="J19" s="139">
        <v>64.924000000000007</v>
      </c>
      <c r="K19" s="146">
        <v>0</v>
      </c>
      <c r="L19" s="233"/>
      <c r="M19" s="234">
        <v>75.837000000000003</v>
      </c>
      <c r="N19" s="234">
        <v>8.9830000000000005</v>
      </c>
      <c r="O19" s="234">
        <v>66.853999999999999</v>
      </c>
      <c r="P19" s="234">
        <v>66.853999999999999</v>
      </c>
      <c r="Q19" s="146">
        <v>0</v>
      </c>
      <c r="R19" s="233">
        <v>76.588999999999999</v>
      </c>
      <c r="S19" s="234">
        <v>8.827</v>
      </c>
      <c r="T19" s="234">
        <v>67.762</v>
      </c>
      <c r="U19" s="234">
        <v>67.762</v>
      </c>
      <c r="V19" s="146">
        <v>0</v>
      </c>
      <c r="W19" s="215" t="s">
        <v>153</v>
      </c>
      <c r="AD19" s="315"/>
      <c r="AE19" s="315"/>
      <c r="AF19" s="315"/>
      <c r="AG19" s="315"/>
      <c r="AH19" s="315"/>
    </row>
    <row r="20" spans="1:34" ht="18.75" customHeight="1" x14ac:dyDescent="0.25">
      <c r="A20" s="205" t="s">
        <v>154</v>
      </c>
      <c r="B20" s="233">
        <v>79.156000000000006</v>
      </c>
      <c r="C20" s="234">
        <v>65.521000000000001</v>
      </c>
      <c r="D20" s="234">
        <v>13.635</v>
      </c>
      <c r="E20" s="234">
        <v>13.324</v>
      </c>
      <c r="F20" s="146">
        <v>0.311</v>
      </c>
      <c r="G20" s="234">
        <v>79.591999999999999</v>
      </c>
      <c r="H20" s="234">
        <v>66.212000000000003</v>
      </c>
      <c r="I20" s="234">
        <v>13.38</v>
      </c>
      <c r="J20" s="234">
        <v>13.105</v>
      </c>
      <c r="K20" s="146">
        <v>0.27500000000000002</v>
      </c>
      <c r="L20" s="233"/>
      <c r="M20" s="234">
        <v>81.015000000000001</v>
      </c>
      <c r="N20" s="234">
        <v>68.686999999999998</v>
      </c>
      <c r="O20" s="234">
        <v>12.327999999999999</v>
      </c>
      <c r="P20" s="234">
        <v>12.061</v>
      </c>
      <c r="Q20" s="146">
        <v>0.26700000000000002</v>
      </c>
      <c r="R20" s="233">
        <v>81.363</v>
      </c>
      <c r="S20" s="234" t="s">
        <v>604</v>
      </c>
      <c r="T20" s="234" t="s">
        <v>604</v>
      </c>
      <c r="U20" s="234" t="s">
        <v>604</v>
      </c>
      <c r="V20" s="146" t="s">
        <v>604</v>
      </c>
      <c r="W20" s="215" t="s">
        <v>155</v>
      </c>
      <c r="AD20" s="315"/>
      <c r="AE20" s="315"/>
      <c r="AF20" s="315"/>
      <c r="AG20" s="315"/>
      <c r="AH20" s="315"/>
    </row>
    <row r="21" spans="1:34" ht="18.75" customHeight="1" x14ac:dyDescent="0.25">
      <c r="A21" s="205" t="s">
        <v>156</v>
      </c>
      <c r="B21" s="233">
        <v>84.551000000000002</v>
      </c>
      <c r="C21" s="234">
        <v>4.5110000000000001</v>
      </c>
      <c r="D21" s="234">
        <v>80.039000000000001</v>
      </c>
      <c r="E21" s="234">
        <v>73.903999999999996</v>
      </c>
      <c r="F21" s="146">
        <v>6.1360000000000001</v>
      </c>
      <c r="G21" s="234">
        <v>84.513000000000005</v>
      </c>
      <c r="H21" s="234">
        <v>4.3330000000000002</v>
      </c>
      <c r="I21" s="234">
        <v>80.180000000000007</v>
      </c>
      <c r="J21" s="234">
        <v>73.917000000000002</v>
      </c>
      <c r="K21" s="146">
        <v>6.2629999999999999</v>
      </c>
      <c r="L21" s="233"/>
      <c r="M21" s="234">
        <v>84.423000000000002</v>
      </c>
      <c r="N21" s="234">
        <v>4.4240000000000004</v>
      </c>
      <c r="O21" s="234">
        <v>79.998999999999995</v>
      </c>
      <c r="P21" s="234">
        <v>73.599999999999994</v>
      </c>
      <c r="Q21" s="146">
        <v>6.399</v>
      </c>
      <c r="R21" s="233">
        <v>84.42</v>
      </c>
      <c r="S21" s="139">
        <v>4.4950000000000001</v>
      </c>
      <c r="T21" s="234">
        <v>79.926000000000002</v>
      </c>
      <c r="U21" s="234">
        <v>73.28</v>
      </c>
      <c r="V21" s="268">
        <v>6.6459999999999999</v>
      </c>
      <c r="W21" s="215" t="s">
        <v>157</v>
      </c>
      <c r="AD21" s="315"/>
      <c r="AE21" s="315"/>
      <c r="AF21" s="315"/>
      <c r="AG21" s="315"/>
      <c r="AH21" s="315"/>
    </row>
    <row r="22" spans="1:34" ht="18.75" customHeight="1" x14ac:dyDescent="0.25">
      <c r="A22" s="205" t="s">
        <v>158</v>
      </c>
      <c r="B22" s="233">
        <v>85.858000000000004</v>
      </c>
      <c r="C22" s="234">
        <v>11.398</v>
      </c>
      <c r="D22" s="234">
        <v>74.459999999999994</v>
      </c>
      <c r="E22" s="234">
        <v>67.872</v>
      </c>
      <c r="F22" s="146">
        <v>6.5880000000000001</v>
      </c>
      <c r="G22" s="234">
        <v>86.718999999999994</v>
      </c>
      <c r="H22" s="234">
        <v>12.254</v>
      </c>
      <c r="I22" s="234">
        <v>74.465000000000003</v>
      </c>
      <c r="J22" s="234">
        <v>67.906000000000006</v>
      </c>
      <c r="K22" s="146">
        <v>6.5579999999999998</v>
      </c>
      <c r="L22" s="233"/>
      <c r="M22" s="234">
        <v>85.941000000000003</v>
      </c>
      <c r="N22" s="234">
        <v>7.9020000000000001</v>
      </c>
      <c r="O22" s="234">
        <v>78.037999999999997</v>
      </c>
      <c r="P22" s="234">
        <v>71.055000000000007</v>
      </c>
      <c r="Q22" s="146">
        <v>6.9829999999999997</v>
      </c>
      <c r="R22" s="233">
        <v>86.274000000000001</v>
      </c>
      <c r="S22" s="234" t="s">
        <v>604</v>
      </c>
      <c r="T22" s="234" t="s">
        <v>604</v>
      </c>
      <c r="U22" s="234" t="s">
        <v>604</v>
      </c>
      <c r="V22" s="146" t="s">
        <v>604</v>
      </c>
      <c r="W22" s="215" t="s">
        <v>159</v>
      </c>
      <c r="AD22" s="315"/>
      <c r="AE22" s="315"/>
      <c r="AF22" s="315"/>
      <c r="AG22" s="315"/>
      <c r="AH22" s="315"/>
    </row>
    <row r="23" spans="1:34" ht="18.75" customHeight="1" x14ac:dyDescent="0.25">
      <c r="A23" s="205" t="s">
        <v>160</v>
      </c>
      <c r="B23" s="233">
        <v>62.136000000000003</v>
      </c>
      <c r="C23" s="234">
        <v>30.35</v>
      </c>
      <c r="D23" s="234">
        <v>31.786000000000001</v>
      </c>
      <c r="E23" s="234">
        <v>31.786000000000001</v>
      </c>
      <c r="F23" s="146">
        <v>0</v>
      </c>
      <c r="G23" s="234">
        <v>61.956000000000003</v>
      </c>
      <c r="H23" s="234">
        <v>30.234000000000002</v>
      </c>
      <c r="I23" s="234">
        <v>31.722000000000001</v>
      </c>
      <c r="J23" s="234">
        <v>31.722000000000001</v>
      </c>
      <c r="K23" s="146">
        <v>0</v>
      </c>
      <c r="L23" s="233"/>
      <c r="M23" s="234">
        <v>60.869</v>
      </c>
      <c r="N23" s="234">
        <v>28.609000000000002</v>
      </c>
      <c r="O23" s="234">
        <v>32.26</v>
      </c>
      <c r="P23" s="234">
        <v>32.26</v>
      </c>
      <c r="Q23" s="146">
        <v>0</v>
      </c>
      <c r="R23" s="233">
        <v>59.69</v>
      </c>
      <c r="S23" s="234" t="s">
        <v>604</v>
      </c>
      <c r="T23" s="234" t="s">
        <v>604</v>
      </c>
      <c r="U23" s="234" t="s">
        <v>604</v>
      </c>
      <c r="V23" s="146" t="s">
        <v>604</v>
      </c>
      <c r="W23" s="215" t="s">
        <v>161</v>
      </c>
      <c r="AD23" s="315"/>
      <c r="AE23" s="315"/>
      <c r="AF23" s="315"/>
      <c r="AG23" s="315"/>
      <c r="AH23" s="315"/>
    </row>
    <row r="24" spans="1:34" ht="18.75" customHeight="1" x14ac:dyDescent="0.25">
      <c r="A24" s="205" t="s">
        <v>162</v>
      </c>
      <c r="B24" s="233">
        <v>72.453000000000003</v>
      </c>
      <c r="C24" s="234">
        <v>14.526</v>
      </c>
      <c r="D24" s="234">
        <v>57.927</v>
      </c>
      <c r="E24" s="234">
        <v>57.927</v>
      </c>
      <c r="F24" s="146">
        <v>0</v>
      </c>
      <c r="G24" s="234">
        <v>72.972999999999999</v>
      </c>
      <c r="H24" s="234">
        <v>11.319000000000001</v>
      </c>
      <c r="I24" s="234">
        <v>61.654000000000003</v>
      </c>
      <c r="J24" s="234">
        <v>61.654000000000003</v>
      </c>
      <c r="K24" s="146">
        <v>0</v>
      </c>
      <c r="L24" s="233"/>
      <c r="M24" s="234">
        <v>73.709000000000003</v>
      </c>
      <c r="N24" s="234">
        <v>11.566000000000001</v>
      </c>
      <c r="O24" s="234">
        <v>62.143000000000001</v>
      </c>
      <c r="P24" s="234">
        <v>62.143000000000001</v>
      </c>
      <c r="Q24" s="146">
        <v>0</v>
      </c>
      <c r="R24" s="233">
        <v>73.233999999999995</v>
      </c>
      <c r="S24" s="234">
        <v>10.066000000000001</v>
      </c>
      <c r="T24" s="234">
        <v>63.167999999999999</v>
      </c>
      <c r="U24" s="234">
        <v>63.167999999999999</v>
      </c>
      <c r="V24" s="146">
        <v>0</v>
      </c>
      <c r="W24" s="215" t="s">
        <v>163</v>
      </c>
      <c r="AD24" s="315"/>
      <c r="AE24" s="315"/>
      <c r="AF24" s="315"/>
      <c r="AG24" s="315"/>
      <c r="AH24" s="315"/>
    </row>
    <row r="25" spans="1:34" ht="18.75" customHeight="1" x14ac:dyDescent="0.25">
      <c r="A25" s="205" t="s">
        <v>164</v>
      </c>
      <c r="B25" s="233">
        <v>83.781999999999996</v>
      </c>
      <c r="C25" s="234">
        <v>83.781999999999996</v>
      </c>
      <c r="D25" s="234">
        <v>0</v>
      </c>
      <c r="E25" s="234">
        <v>0</v>
      </c>
      <c r="F25" s="146">
        <v>0</v>
      </c>
      <c r="G25" s="234">
        <v>84.680999999999997</v>
      </c>
      <c r="H25" s="234">
        <v>84.680999999999997</v>
      </c>
      <c r="I25" s="234">
        <v>0</v>
      </c>
      <c r="J25" s="234">
        <v>0</v>
      </c>
      <c r="K25" s="146">
        <v>0</v>
      </c>
      <c r="L25" s="233"/>
      <c r="M25" s="234">
        <v>83.625</v>
      </c>
      <c r="N25" s="234">
        <v>83.625</v>
      </c>
      <c r="O25" s="234">
        <v>0</v>
      </c>
      <c r="P25" s="234">
        <v>0</v>
      </c>
      <c r="Q25" s="146">
        <v>0</v>
      </c>
      <c r="R25" s="233">
        <v>83.465999999999994</v>
      </c>
      <c r="S25" s="234">
        <v>83.465999999999994</v>
      </c>
      <c r="T25" s="234">
        <v>0</v>
      </c>
      <c r="U25" s="234">
        <v>0</v>
      </c>
      <c r="V25" s="146">
        <v>0</v>
      </c>
      <c r="W25" s="215" t="s">
        <v>165</v>
      </c>
      <c r="AD25" s="315"/>
      <c r="AE25" s="315"/>
      <c r="AF25" s="315"/>
      <c r="AG25" s="315"/>
      <c r="AH25" s="315"/>
    </row>
    <row r="26" spans="1:34" ht="18.75" customHeight="1" x14ac:dyDescent="0.25">
      <c r="A26" s="205" t="s">
        <v>166</v>
      </c>
      <c r="B26" s="233">
        <v>76.680999999999997</v>
      </c>
      <c r="C26" s="234">
        <v>76.116</v>
      </c>
      <c r="D26" s="234">
        <v>0.56499999999999995</v>
      </c>
      <c r="E26" s="234">
        <v>0.56499999999999995</v>
      </c>
      <c r="F26" s="146">
        <v>0</v>
      </c>
      <c r="G26" s="234">
        <v>76.507999999999996</v>
      </c>
      <c r="H26" s="234">
        <v>75.941000000000003</v>
      </c>
      <c r="I26" s="234">
        <v>0.56599999999999995</v>
      </c>
      <c r="J26" s="234">
        <v>0.56599999999999995</v>
      </c>
      <c r="K26" s="146">
        <v>0</v>
      </c>
      <c r="L26" s="233"/>
      <c r="M26" s="234">
        <v>76.593000000000004</v>
      </c>
      <c r="N26" s="234">
        <v>75.998000000000005</v>
      </c>
      <c r="O26" s="234">
        <v>0.59499999999999997</v>
      </c>
      <c r="P26" s="234">
        <v>0.59499999999999997</v>
      </c>
      <c r="Q26" s="146">
        <v>0</v>
      </c>
      <c r="R26" s="233">
        <v>77.66</v>
      </c>
      <c r="S26" s="234" t="s">
        <v>604</v>
      </c>
      <c r="T26" s="234" t="s">
        <v>604</v>
      </c>
      <c r="U26" s="234" t="s">
        <v>604</v>
      </c>
      <c r="V26" s="146" t="s">
        <v>604</v>
      </c>
      <c r="W26" s="215" t="s">
        <v>167</v>
      </c>
      <c r="AD26" s="315"/>
      <c r="AE26" s="315"/>
      <c r="AF26" s="315"/>
      <c r="AG26" s="315"/>
      <c r="AH26" s="315"/>
    </row>
    <row r="27" spans="1:34" ht="18.75" customHeight="1" x14ac:dyDescent="0.25">
      <c r="A27" s="205" t="s">
        <v>168</v>
      </c>
      <c r="B27" s="233">
        <v>71.47</v>
      </c>
      <c r="C27" s="234">
        <v>25.331</v>
      </c>
      <c r="D27" s="234">
        <v>46.14</v>
      </c>
      <c r="E27" s="234">
        <v>46.14</v>
      </c>
      <c r="F27" s="146">
        <v>0</v>
      </c>
      <c r="G27" s="234">
        <v>62.081000000000003</v>
      </c>
      <c r="H27" s="234">
        <v>17.504999999999999</v>
      </c>
      <c r="I27" s="234">
        <v>44.576000000000001</v>
      </c>
      <c r="J27" s="234">
        <v>44.576000000000001</v>
      </c>
      <c r="K27" s="146">
        <v>0</v>
      </c>
      <c r="L27" s="233"/>
      <c r="M27" s="234">
        <v>65.239999999999995</v>
      </c>
      <c r="N27" s="234">
        <v>14.680999999999999</v>
      </c>
      <c r="O27" s="234">
        <v>50.56</v>
      </c>
      <c r="P27" s="234">
        <v>50.56</v>
      </c>
      <c r="Q27" s="146">
        <v>0</v>
      </c>
      <c r="R27" s="233">
        <v>68.686000000000007</v>
      </c>
      <c r="S27" s="234" t="s">
        <v>604</v>
      </c>
      <c r="T27" s="234" t="s">
        <v>604</v>
      </c>
      <c r="U27" s="234" t="s">
        <v>604</v>
      </c>
      <c r="V27" s="146" t="s">
        <v>604</v>
      </c>
      <c r="W27" s="215" t="s">
        <v>169</v>
      </c>
      <c r="AD27" s="315"/>
      <c r="AE27" s="315"/>
      <c r="AF27" s="315"/>
      <c r="AG27" s="315"/>
      <c r="AH27" s="315"/>
    </row>
    <row r="28" spans="1:34" ht="18.75" customHeight="1" x14ac:dyDescent="0.25">
      <c r="A28" s="205" t="s">
        <v>170</v>
      </c>
      <c r="B28" s="233">
        <v>74.525999999999996</v>
      </c>
      <c r="C28" s="234">
        <v>74.367000000000004</v>
      </c>
      <c r="D28" s="234">
        <v>0.159</v>
      </c>
      <c r="E28" s="234">
        <v>0.159</v>
      </c>
      <c r="F28" s="146">
        <v>0</v>
      </c>
      <c r="G28" s="234">
        <v>73.709999999999994</v>
      </c>
      <c r="H28" s="234">
        <v>73.531999999999996</v>
      </c>
      <c r="I28" s="234">
        <v>0.17799999999999999</v>
      </c>
      <c r="J28" s="234">
        <v>0.17799999999999999</v>
      </c>
      <c r="K28" s="146">
        <v>0</v>
      </c>
      <c r="L28" s="233"/>
      <c r="M28" s="234">
        <v>73.076999999999998</v>
      </c>
      <c r="N28" s="234">
        <v>72.882999999999996</v>
      </c>
      <c r="O28" s="234">
        <v>0.193</v>
      </c>
      <c r="P28" s="234">
        <v>0.193</v>
      </c>
      <c r="Q28" s="146">
        <v>0</v>
      </c>
      <c r="R28" s="233">
        <v>74.254000000000005</v>
      </c>
      <c r="S28" s="139">
        <v>74.06</v>
      </c>
      <c r="T28" s="234">
        <v>0.19400000000000001</v>
      </c>
      <c r="U28" s="234">
        <v>0.19400000000000001</v>
      </c>
      <c r="V28" s="268">
        <v>0</v>
      </c>
      <c r="W28" s="215" t="s">
        <v>171</v>
      </c>
      <c r="AD28" s="315"/>
      <c r="AE28" s="315"/>
      <c r="AF28" s="315"/>
      <c r="AG28" s="315"/>
      <c r="AH28" s="315"/>
    </row>
    <row r="29" spans="1:34" ht="18.75" customHeight="1" x14ac:dyDescent="0.25">
      <c r="A29" s="205" t="s">
        <v>172</v>
      </c>
      <c r="B29" s="233">
        <v>86.263999999999996</v>
      </c>
      <c r="C29" s="234">
        <v>14.955</v>
      </c>
      <c r="D29" s="234">
        <v>71.308999999999997</v>
      </c>
      <c r="E29" s="234">
        <v>71.308999999999997</v>
      </c>
      <c r="F29" s="146">
        <v>0</v>
      </c>
      <c r="G29" s="234">
        <v>86.02</v>
      </c>
      <c r="H29" s="234">
        <v>14.929</v>
      </c>
      <c r="I29" s="234">
        <v>71.090999999999994</v>
      </c>
      <c r="J29" s="234">
        <v>71.090999999999994</v>
      </c>
      <c r="K29" s="146">
        <v>0</v>
      </c>
      <c r="L29" s="233"/>
      <c r="M29" s="234">
        <v>84.825000000000003</v>
      </c>
      <c r="N29" s="234">
        <v>7.5540000000000003</v>
      </c>
      <c r="O29" s="234">
        <v>77.271000000000001</v>
      </c>
      <c r="P29" s="234" t="s">
        <v>604</v>
      </c>
      <c r="Q29" s="146" t="s">
        <v>604</v>
      </c>
      <c r="R29" s="233">
        <v>84.772999999999996</v>
      </c>
      <c r="S29" s="234" t="s">
        <v>604</v>
      </c>
      <c r="T29" s="234" t="s">
        <v>604</v>
      </c>
      <c r="U29" s="234" t="s">
        <v>604</v>
      </c>
      <c r="V29" s="146" t="s">
        <v>604</v>
      </c>
      <c r="W29" s="215" t="s">
        <v>173</v>
      </c>
      <c r="AD29" s="315"/>
      <c r="AE29" s="315"/>
      <c r="AF29" s="315"/>
      <c r="AG29" s="315"/>
      <c r="AH29" s="315"/>
    </row>
    <row r="30" spans="1:34" ht="18.75" customHeight="1" x14ac:dyDescent="0.25">
      <c r="A30" s="205" t="s">
        <v>174</v>
      </c>
      <c r="B30" s="233">
        <v>62.146000000000001</v>
      </c>
      <c r="C30" s="234">
        <v>15.948</v>
      </c>
      <c r="D30" s="234">
        <v>46.198</v>
      </c>
      <c r="E30" s="234">
        <v>44.819000000000003</v>
      </c>
      <c r="F30" s="146">
        <v>1.379</v>
      </c>
      <c r="G30" s="234">
        <v>63.570999999999998</v>
      </c>
      <c r="H30" s="234">
        <v>17.538</v>
      </c>
      <c r="I30" s="234">
        <v>46.033000000000001</v>
      </c>
      <c r="J30" s="234">
        <v>44.732999999999997</v>
      </c>
      <c r="K30" s="146">
        <v>1.3</v>
      </c>
      <c r="L30" s="233"/>
      <c r="M30" s="234">
        <v>60.420999999999999</v>
      </c>
      <c r="N30" s="234">
        <v>11.459</v>
      </c>
      <c r="O30" s="234">
        <v>48.962000000000003</v>
      </c>
      <c r="P30" s="234">
        <v>47.578000000000003</v>
      </c>
      <c r="Q30" s="146">
        <v>1.385</v>
      </c>
      <c r="R30" s="233">
        <v>59.959000000000003</v>
      </c>
      <c r="S30" s="234">
        <v>11.159000000000001</v>
      </c>
      <c r="T30" s="234">
        <v>48.8</v>
      </c>
      <c r="U30" s="234">
        <v>47.417999999999999</v>
      </c>
      <c r="V30" s="146">
        <v>1.3819999999999999</v>
      </c>
      <c r="W30" s="215" t="s">
        <v>175</v>
      </c>
      <c r="AD30" s="315"/>
      <c r="AE30" s="315"/>
      <c r="AF30" s="315"/>
      <c r="AG30" s="315"/>
      <c r="AH30" s="315"/>
    </row>
    <row r="31" spans="1:34" ht="18.75" customHeight="1" x14ac:dyDescent="0.25">
      <c r="A31" s="205" t="s">
        <v>176</v>
      </c>
      <c r="B31" s="235">
        <v>69.465000000000003</v>
      </c>
      <c r="C31" s="139">
        <v>69.465000000000003</v>
      </c>
      <c r="D31" s="139">
        <v>0</v>
      </c>
      <c r="E31" s="139">
        <v>0</v>
      </c>
      <c r="F31" s="146">
        <v>0</v>
      </c>
      <c r="G31" s="139">
        <v>64.91</v>
      </c>
      <c r="H31" s="139">
        <v>64.91</v>
      </c>
      <c r="I31" s="234">
        <v>0</v>
      </c>
      <c r="J31" s="139">
        <v>0</v>
      </c>
      <c r="K31" s="268">
        <v>0</v>
      </c>
      <c r="L31" s="235"/>
      <c r="M31" s="234">
        <v>59.597999999999999</v>
      </c>
      <c r="N31" s="234">
        <v>59.597999999999999</v>
      </c>
      <c r="O31" s="234">
        <v>0</v>
      </c>
      <c r="P31" s="234">
        <v>0</v>
      </c>
      <c r="Q31" s="146">
        <v>0</v>
      </c>
      <c r="R31" s="233">
        <v>60.548000000000002</v>
      </c>
      <c r="S31" s="234" t="s">
        <v>604</v>
      </c>
      <c r="T31" s="234" t="s">
        <v>604</v>
      </c>
      <c r="U31" s="234" t="s">
        <v>604</v>
      </c>
      <c r="V31" s="146" t="s">
        <v>604</v>
      </c>
      <c r="W31" s="215" t="s">
        <v>177</v>
      </c>
      <c r="AD31" s="315"/>
      <c r="AE31" s="315"/>
      <c r="AF31" s="315"/>
      <c r="AG31" s="315"/>
      <c r="AH31" s="315"/>
    </row>
    <row r="32" spans="1:34" ht="18.75" customHeight="1" x14ac:dyDescent="0.25">
      <c r="A32" s="205" t="s">
        <v>306</v>
      </c>
      <c r="B32" s="235">
        <v>68.778999999999996</v>
      </c>
      <c r="C32" s="139">
        <v>12.159000000000001</v>
      </c>
      <c r="D32" s="139">
        <v>56.619</v>
      </c>
      <c r="E32" s="139">
        <v>56.619</v>
      </c>
      <c r="F32" s="146">
        <v>0</v>
      </c>
      <c r="G32" s="139">
        <v>66.536000000000001</v>
      </c>
      <c r="H32" s="139">
        <v>9.1620000000000008</v>
      </c>
      <c r="I32" s="234">
        <v>57.374000000000002</v>
      </c>
      <c r="J32" s="139">
        <v>57.374000000000002</v>
      </c>
      <c r="K32" s="268">
        <v>0</v>
      </c>
      <c r="L32" s="235"/>
      <c r="M32" s="234">
        <v>67.311000000000007</v>
      </c>
      <c r="N32" s="234">
        <v>7.0910000000000002</v>
      </c>
      <c r="O32" s="234">
        <v>60.22</v>
      </c>
      <c r="P32" s="234">
        <v>60.22</v>
      </c>
      <c r="Q32" s="146">
        <v>0</v>
      </c>
      <c r="R32" s="233">
        <v>66.909000000000006</v>
      </c>
      <c r="S32" s="234" t="s">
        <v>604</v>
      </c>
      <c r="T32" s="234" t="s">
        <v>604</v>
      </c>
      <c r="U32" s="234" t="s">
        <v>604</v>
      </c>
      <c r="V32" s="146" t="s">
        <v>604</v>
      </c>
      <c r="W32" s="215" t="s">
        <v>305</v>
      </c>
      <c r="AD32" s="315"/>
      <c r="AE32" s="315"/>
      <c r="AF32" s="315"/>
      <c r="AG32" s="315"/>
      <c r="AH32" s="315"/>
    </row>
    <row r="33" spans="1:34" ht="18.75" customHeight="1" x14ac:dyDescent="0.25">
      <c r="A33" s="205" t="s">
        <v>178</v>
      </c>
      <c r="B33" s="233">
        <v>86.17</v>
      </c>
      <c r="C33" s="234">
        <v>9.016</v>
      </c>
      <c r="D33" s="234">
        <v>77.153999999999996</v>
      </c>
      <c r="E33" s="234">
        <v>77.153999999999996</v>
      </c>
      <c r="F33" s="146">
        <v>0</v>
      </c>
      <c r="G33" s="234">
        <v>86.108999999999995</v>
      </c>
      <c r="H33" s="234">
        <v>7.4269999999999996</v>
      </c>
      <c r="I33" s="234">
        <v>78.682000000000002</v>
      </c>
      <c r="J33" s="234">
        <v>78.682000000000002</v>
      </c>
      <c r="K33" s="146">
        <v>0</v>
      </c>
      <c r="L33" s="233"/>
      <c r="M33" s="234">
        <v>85.575999999999993</v>
      </c>
      <c r="N33" s="234">
        <v>6.8789999999999996</v>
      </c>
      <c r="O33" s="234">
        <v>78.697000000000003</v>
      </c>
      <c r="P33" s="234">
        <v>78.697000000000003</v>
      </c>
      <c r="Q33" s="146">
        <v>0</v>
      </c>
      <c r="R33" s="233">
        <v>85.786000000000001</v>
      </c>
      <c r="S33" s="139">
        <v>6.3579999999999997</v>
      </c>
      <c r="T33" s="234">
        <v>79.429000000000002</v>
      </c>
      <c r="U33" s="234">
        <v>79.429000000000002</v>
      </c>
      <c r="V33" s="268">
        <v>0</v>
      </c>
      <c r="W33" s="215" t="s">
        <v>179</v>
      </c>
      <c r="AD33" s="315"/>
      <c r="AE33" s="315"/>
      <c r="AF33" s="315"/>
      <c r="AG33" s="315"/>
      <c r="AH33" s="315"/>
    </row>
    <row r="34" spans="1:34" ht="18.75" customHeight="1" x14ac:dyDescent="0.25">
      <c r="A34" s="205" t="s">
        <v>180</v>
      </c>
      <c r="B34" s="235">
        <v>50.209000000000003</v>
      </c>
      <c r="C34" s="234">
        <v>23.51</v>
      </c>
      <c r="D34" s="234">
        <v>26.699000000000002</v>
      </c>
      <c r="E34" s="234">
        <v>26.699000000000002</v>
      </c>
      <c r="F34" s="146">
        <v>0</v>
      </c>
      <c r="G34" s="139">
        <v>51.892000000000003</v>
      </c>
      <c r="H34" s="234">
        <v>24.010999999999999</v>
      </c>
      <c r="I34" s="234">
        <v>27.881</v>
      </c>
      <c r="J34" s="139">
        <v>27.881</v>
      </c>
      <c r="K34" s="146">
        <v>0</v>
      </c>
      <c r="L34" s="233"/>
      <c r="M34" s="234">
        <v>50.920999999999999</v>
      </c>
      <c r="N34" s="234" t="s">
        <v>604</v>
      </c>
      <c r="O34" s="234" t="s">
        <v>604</v>
      </c>
      <c r="P34" s="234" t="s">
        <v>604</v>
      </c>
      <c r="Q34" s="146" t="s">
        <v>604</v>
      </c>
      <c r="R34" s="233">
        <v>51.609000000000002</v>
      </c>
      <c r="S34" s="234" t="s">
        <v>604</v>
      </c>
      <c r="T34" s="234" t="s">
        <v>604</v>
      </c>
      <c r="U34" s="234" t="s">
        <v>604</v>
      </c>
      <c r="V34" s="146" t="s">
        <v>604</v>
      </c>
      <c r="W34" s="215" t="s">
        <v>181</v>
      </c>
      <c r="AD34" s="315"/>
      <c r="AE34" s="315"/>
      <c r="AF34" s="315"/>
      <c r="AG34" s="315"/>
      <c r="AH34" s="315"/>
    </row>
    <row r="35" spans="1:34" ht="18.75" customHeight="1" x14ac:dyDescent="0.25">
      <c r="A35" s="205" t="s">
        <v>182</v>
      </c>
      <c r="B35" s="233">
        <v>83.807000000000002</v>
      </c>
      <c r="C35" s="234">
        <v>13.44</v>
      </c>
      <c r="D35" s="234">
        <v>70.367999999999995</v>
      </c>
      <c r="E35" s="234">
        <v>22.062000000000001</v>
      </c>
      <c r="F35" s="146">
        <v>48.305999999999997</v>
      </c>
      <c r="G35" s="234">
        <v>82.816000000000003</v>
      </c>
      <c r="H35" s="234">
        <v>10.013</v>
      </c>
      <c r="I35" s="234">
        <v>72.802999999999997</v>
      </c>
      <c r="J35" s="234">
        <v>23.170999999999999</v>
      </c>
      <c r="K35" s="146">
        <v>49.631999999999998</v>
      </c>
      <c r="L35" s="233"/>
      <c r="M35" s="234">
        <v>82.691999999999993</v>
      </c>
      <c r="N35" s="234">
        <v>8.0909999999999993</v>
      </c>
      <c r="O35" s="234">
        <v>74.600999999999999</v>
      </c>
      <c r="P35" s="234">
        <v>24.062000000000001</v>
      </c>
      <c r="Q35" s="146">
        <v>50.539000000000001</v>
      </c>
      <c r="R35" s="233">
        <v>83.171999999999997</v>
      </c>
      <c r="S35" s="139">
        <v>8.0310000000000006</v>
      </c>
      <c r="T35" s="234">
        <v>75.141000000000005</v>
      </c>
      <c r="U35" s="234">
        <v>24.696000000000002</v>
      </c>
      <c r="V35" s="268">
        <v>50.445</v>
      </c>
      <c r="W35" s="215" t="s">
        <v>183</v>
      </c>
      <c r="AD35" s="315"/>
      <c r="AE35" s="315"/>
      <c r="AF35" s="315"/>
      <c r="AG35" s="315"/>
      <c r="AH35" s="315"/>
    </row>
    <row r="36" spans="1:34" ht="18.75" customHeight="1" x14ac:dyDescent="0.25">
      <c r="A36" s="205" t="s">
        <v>184</v>
      </c>
      <c r="B36" s="233">
        <v>79.031000000000006</v>
      </c>
      <c r="C36" s="234">
        <v>69.531000000000006</v>
      </c>
      <c r="D36" s="234">
        <v>9.5</v>
      </c>
      <c r="E36" s="234">
        <v>9.5</v>
      </c>
      <c r="F36" s="146">
        <v>0</v>
      </c>
      <c r="G36" s="234">
        <v>81.912000000000006</v>
      </c>
      <c r="H36" s="234">
        <v>74</v>
      </c>
      <c r="I36" s="234">
        <v>7.9119999999999999</v>
      </c>
      <c r="J36" s="234">
        <v>7.9119999999999999</v>
      </c>
      <c r="K36" s="146">
        <v>0</v>
      </c>
      <c r="L36" s="233"/>
      <c r="M36" s="234">
        <v>80.552999999999997</v>
      </c>
      <c r="N36" s="234">
        <v>72.236999999999995</v>
      </c>
      <c r="O36" s="234">
        <v>8.3160000000000007</v>
      </c>
      <c r="P36" s="234">
        <v>8.3160000000000007</v>
      </c>
      <c r="Q36" s="146">
        <v>0</v>
      </c>
      <c r="R36" s="233">
        <v>79.787999999999997</v>
      </c>
      <c r="S36" s="139">
        <v>71.263999999999996</v>
      </c>
      <c r="T36" s="234">
        <v>8.5239999999999991</v>
      </c>
      <c r="U36" s="234">
        <v>8.5239999999999991</v>
      </c>
      <c r="V36" s="268">
        <v>0</v>
      </c>
      <c r="W36" s="215" t="s">
        <v>185</v>
      </c>
      <c r="AD36" s="315"/>
      <c r="AE36" s="315"/>
      <c r="AF36" s="315"/>
      <c r="AG36" s="315"/>
      <c r="AH36" s="315"/>
    </row>
    <row r="37" spans="1:34" ht="18.75" customHeight="1" x14ac:dyDescent="0.25">
      <c r="A37" s="205" t="s">
        <v>186</v>
      </c>
      <c r="B37" s="233">
        <v>85.900999999999996</v>
      </c>
      <c r="C37" s="234">
        <v>85.900999999999996</v>
      </c>
      <c r="D37" s="234">
        <v>0</v>
      </c>
      <c r="E37" s="234">
        <v>0</v>
      </c>
      <c r="F37" s="146">
        <v>0</v>
      </c>
      <c r="G37" s="234">
        <v>85.677999999999997</v>
      </c>
      <c r="H37" s="234">
        <v>85.677999999999997</v>
      </c>
      <c r="I37" s="234">
        <v>0</v>
      </c>
      <c r="J37" s="234">
        <v>0</v>
      </c>
      <c r="K37" s="146">
        <v>0</v>
      </c>
      <c r="L37" s="233"/>
      <c r="M37" s="234">
        <v>86.222999999999999</v>
      </c>
      <c r="N37" s="234" t="s">
        <v>604</v>
      </c>
      <c r="O37" s="234" t="s">
        <v>604</v>
      </c>
      <c r="P37" s="234" t="s">
        <v>604</v>
      </c>
      <c r="Q37" s="146" t="s">
        <v>604</v>
      </c>
      <c r="R37" s="233">
        <v>86.01</v>
      </c>
      <c r="S37" s="234" t="s">
        <v>604</v>
      </c>
      <c r="T37" s="234" t="s">
        <v>604</v>
      </c>
      <c r="U37" s="234" t="s">
        <v>604</v>
      </c>
      <c r="V37" s="146" t="s">
        <v>604</v>
      </c>
      <c r="W37" s="215" t="s">
        <v>187</v>
      </c>
      <c r="AD37" s="315"/>
      <c r="AE37" s="315"/>
      <c r="AF37" s="315"/>
      <c r="AG37" s="315"/>
      <c r="AH37" s="315"/>
    </row>
    <row r="38" spans="1:34" ht="18.75" customHeight="1" x14ac:dyDescent="0.25">
      <c r="A38" s="205" t="s">
        <v>188</v>
      </c>
      <c r="B38" s="233">
        <v>72.463999999999999</v>
      </c>
      <c r="C38" s="234">
        <v>15.134</v>
      </c>
      <c r="D38" s="234">
        <v>57.33</v>
      </c>
      <c r="E38" s="234">
        <v>56.975000000000001</v>
      </c>
      <c r="F38" s="146">
        <v>0.35499999999999998</v>
      </c>
      <c r="G38" s="234">
        <v>74.281999999999996</v>
      </c>
      <c r="H38" s="234">
        <v>12.458</v>
      </c>
      <c r="I38" s="234">
        <v>61.823999999999998</v>
      </c>
      <c r="J38" s="234">
        <v>61.509</v>
      </c>
      <c r="K38" s="146">
        <v>0.314</v>
      </c>
      <c r="L38" s="233"/>
      <c r="M38" s="234">
        <v>77.567999999999998</v>
      </c>
      <c r="N38" s="234">
        <v>10.973000000000001</v>
      </c>
      <c r="O38" s="234">
        <v>66.594999999999999</v>
      </c>
      <c r="P38" s="234">
        <v>66.316999999999993</v>
      </c>
      <c r="Q38" s="146">
        <v>0.27800000000000002</v>
      </c>
      <c r="R38" s="233">
        <v>78.019000000000005</v>
      </c>
      <c r="S38" s="139">
        <v>17.606000000000002</v>
      </c>
      <c r="T38" s="234">
        <v>60.412999999999997</v>
      </c>
      <c r="U38" s="234">
        <v>60.146000000000001</v>
      </c>
      <c r="V38" s="268">
        <v>0.26700000000000002</v>
      </c>
      <c r="W38" s="215" t="s">
        <v>189</v>
      </c>
      <c r="AD38" s="315"/>
      <c r="AE38" s="315"/>
      <c r="AF38" s="315"/>
      <c r="AG38" s="315"/>
      <c r="AH38" s="315"/>
    </row>
    <row r="39" spans="1:34" ht="18.75" customHeight="1" x14ac:dyDescent="0.25">
      <c r="A39" s="205" t="s">
        <v>190</v>
      </c>
      <c r="B39" s="233">
        <v>62.524000000000001</v>
      </c>
      <c r="C39" s="234">
        <v>60.121000000000002</v>
      </c>
      <c r="D39" s="234">
        <v>2.4039999999999999</v>
      </c>
      <c r="E39" s="234">
        <v>2.4039999999999999</v>
      </c>
      <c r="F39" s="146">
        <v>0</v>
      </c>
      <c r="G39" s="234">
        <v>62.408999999999999</v>
      </c>
      <c r="H39" s="234">
        <v>59.804000000000002</v>
      </c>
      <c r="I39" s="234">
        <v>2.605</v>
      </c>
      <c r="J39" s="234">
        <v>2.605</v>
      </c>
      <c r="K39" s="146">
        <v>0</v>
      </c>
      <c r="L39" s="233"/>
      <c r="M39" s="234">
        <v>61.506999999999998</v>
      </c>
      <c r="N39" s="234">
        <v>58.85</v>
      </c>
      <c r="O39" s="234">
        <v>2.657</v>
      </c>
      <c r="P39" s="234">
        <v>2.657</v>
      </c>
      <c r="Q39" s="146">
        <v>0</v>
      </c>
      <c r="R39" s="233">
        <v>62.204999999999998</v>
      </c>
      <c r="S39" s="234">
        <v>59.472999999999999</v>
      </c>
      <c r="T39" s="234">
        <v>2.7309999999999999</v>
      </c>
      <c r="U39" s="234">
        <v>2.7309999999999999</v>
      </c>
      <c r="V39" s="146">
        <v>0</v>
      </c>
      <c r="W39" s="215" t="s">
        <v>191</v>
      </c>
      <c r="AD39" s="315"/>
      <c r="AE39" s="315"/>
      <c r="AF39" s="315"/>
      <c r="AG39" s="315"/>
      <c r="AH39" s="315"/>
    </row>
    <row r="40" spans="1:34" ht="18.75" customHeight="1" x14ac:dyDescent="0.25">
      <c r="A40" s="205" t="s">
        <v>498</v>
      </c>
      <c r="B40" s="233">
        <v>64.59382454</v>
      </c>
      <c r="C40" s="234">
        <v>52.560959449999999</v>
      </c>
      <c r="D40" s="234">
        <v>8.2924728299999995</v>
      </c>
      <c r="E40" s="234">
        <v>8.2924728299999995</v>
      </c>
      <c r="F40" s="146">
        <v>0</v>
      </c>
      <c r="G40" s="233">
        <v>64.063168279999999</v>
      </c>
      <c r="H40" s="234">
        <v>51.225530510000013</v>
      </c>
      <c r="I40" s="234">
        <v>8.889619999999999</v>
      </c>
      <c r="J40" s="234">
        <v>8.889619999999999</v>
      </c>
      <c r="K40" s="146">
        <v>0</v>
      </c>
      <c r="L40" s="233"/>
      <c r="M40" s="234">
        <v>62.390986130000002</v>
      </c>
      <c r="N40" s="234">
        <v>49.888437450000005</v>
      </c>
      <c r="O40" s="234">
        <v>8.5721313600000002</v>
      </c>
      <c r="P40" s="234">
        <v>8.5721313600000002</v>
      </c>
      <c r="Q40" s="146">
        <v>0</v>
      </c>
      <c r="R40" s="234" t="s">
        <v>604</v>
      </c>
      <c r="S40" s="234" t="s">
        <v>604</v>
      </c>
      <c r="T40" s="234" t="s">
        <v>604</v>
      </c>
      <c r="U40" s="234" t="s">
        <v>604</v>
      </c>
      <c r="V40" s="234" t="s">
        <v>604</v>
      </c>
      <c r="W40" s="215" t="s">
        <v>499</v>
      </c>
    </row>
    <row r="41" spans="1:34" ht="18.75" customHeight="1" x14ac:dyDescent="0.25">
      <c r="A41" s="205" t="s">
        <v>192</v>
      </c>
      <c r="B41" s="233">
        <v>79.734999999999999</v>
      </c>
      <c r="C41" s="234">
        <v>9.4459999999999997</v>
      </c>
      <c r="D41" s="234">
        <v>70.287999999999997</v>
      </c>
      <c r="E41" s="234">
        <v>70.287999999999997</v>
      </c>
      <c r="F41" s="146">
        <v>0</v>
      </c>
      <c r="G41" s="234">
        <v>79.879000000000005</v>
      </c>
      <c r="H41" s="234">
        <v>10.199</v>
      </c>
      <c r="I41" s="234">
        <v>69.680000000000007</v>
      </c>
      <c r="J41" s="234">
        <v>69.680000000000007</v>
      </c>
      <c r="K41" s="146">
        <v>0</v>
      </c>
      <c r="L41" s="233"/>
      <c r="M41" s="234">
        <v>78.944999999999993</v>
      </c>
      <c r="N41" s="234">
        <v>3.9689999999999999</v>
      </c>
      <c r="O41" s="234">
        <v>74.975999999999999</v>
      </c>
      <c r="P41" s="234">
        <v>74.975999999999999</v>
      </c>
      <c r="Q41" s="146">
        <v>0</v>
      </c>
      <c r="R41" s="233">
        <v>81.227000000000004</v>
      </c>
      <c r="S41" s="234" t="s">
        <v>604</v>
      </c>
      <c r="T41" s="234" t="s">
        <v>604</v>
      </c>
      <c r="U41" s="234" t="s">
        <v>604</v>
      </c>
      <c r="V41" s="146" t="s">
        <v>604</v>
      </c>
      <c r="W41" s="215" t="s">
        <v>193</v>
      </c>
      <c r="Y41" s="318"/>
      <c r="Z41" s="318"/>
      <c r="AA41" s="318"/>
      <c r="AB41" s="318"/>
      <c r="AD41" s="315"/>
      <c r="AE41" s="315"/>
      <c r="AF41" s="315"/>
      <c r="AG41" s="315"/>
      <c r="AH41" s="315"/>
    </row>
    <row r="42" spans="1:34" ht="18.75" customHeight="1" x14ac:dyDescent="0.25">
      <c r="A42" s="205" t="s">
        <v>194</v>
      </c>
      <c r="B42" s="235">
        <v>73.783000000000001</v>
      </c>
      <c r="C42" s="139">
        <v>12.805</v>
      </c>
      <c r="D42" s="139">
        <v>60.978000000000002</v>
      </c>
      <c r="E42" s="139">
        <v>60.978000000000002</v>
      </c>
      <c r="F42" s="146">
        <v>0</v>
      </c>
      <c r="G42" s="139">
        <v>73.968000000000004</v>
      </c>
      <c r="H42" s="139">
        <v>10.817</v>
      </c>
      <c r="I42" s="234">
        <v>63.151000000000003</v>
      </c>
      <c r="J42" s="139">
        <v>63.151000000000003</v>
      </c>
      <c r="K42" s="268">
        <v>0</v>
      </c>
      <c r="L42" s="235"/>
      <c r="M42" s="234">
        <v>73.578999999999994</v>
      </c>
      <c r="N42" s="234">
        <v>8.7620000000000005</v>
      </c>
      <c r="O42" s="234">
        <v>64.816999999999993</v>
      </c>
      <c r="P42" s="234">
        <v>64.816999999999993</v>
      </c>
      <c r="Q42" s="146">
        <v>0</v>
      </c>
      <c r="R42" s="233">
        <v>86.974999999999994</v>
      </c>
      <c r="S42" s="139">
        <v>7.1920000000000002</v>
      </c>
      <c r="T42" s="234">
        <v>79.783000000000001</v>
      </c>
      <c r="U42" s="234">
        <v>79.783000000000001</v>
      </c>
      <c r="V42" s="268">
        <v>0</v>
      </c>
      <c r="W42" s="215" t="s">
        <v>195</v>
      </c>
      <c r="Y42" s="318"/>
      <c r="Z42" s="318"/>
      <c r="AA42" s="318"/>
      <c r="AB42" s="318"/>
      <c r="AD42" s="315"/>
      <c r="AE42" s="315"/>
      <c r="AF42" s="315"/>
      <c r="AG42" s="315"/>
      <c r="AH42" s="315"/>
    </row>
    <row r="43" spans="1:34" ht="18.75" customHeight="1" x14ac:dyDescent="0.25">
      <c r="A43" s="205" t="s">
        <v>196</v>
      </c>
      <c r="B43" s="233">
        <v>72.611000000000004</v>
      </c>
      <c r="C43" s="234">
        <v>69.006</v>
      </c>
      <c r="D43" s="234">
        <v>3.605</v>
      </c>
      <c r="E43" s="234">
        <v>3.605</v>
      </c>
      <c r="F43" s="146">
        <v>0</v>
      </c>
      <c r="G43" s="234">
        <v>72.935000000000002</v>
      </c>
      <c r="H43" s="234">
        <v>69.286000000000001</v>
      </c>
      <c r="I43" s="234">
        <v>3.65</v>
      </c>
      <c r="J43" s="234">
        <v>3.65</v>
      </c>
      <c r="K43" s="146">
        <v>0</v>
      </c>
      <c r="L43" s="233"/>
      <c r="M43" s="234">
        <v>73.183999999999997</v>
      </c>
      <c r="N43" s="234">
        <v>69.5</v>
      </c>
      <c r="O43" s="234">
        <v>3.6840000000000002</v>
      </c>
      <c r="P43" s="234">
        <v>3.6840000000000002</v>
      </c>
      <c r="Q43" s="146">
        <v>0</v>
      </c>
      <c r="R43" s="233">
        <v>72.832999999999998</v>
      </c>
      <c r="S43" s="234" t="s">
        <v>604</v>
      </c>
      <c r="T43" s="234" t="s">
        <v>604</v>
      </c>
      <c r="U43" s="234" t="s">
        <v>604</v>
      </c>
      <c r="V43" s="146" t="s">
        <v>604</v>
      </c>
      <c r="W43" s="215" t="s">
        <v>197</v>
      </c>
      <c r="Y43" s="318"/>
      <c r="Z43" s="318"/>
      <c r="AA43" s="318"/>
      <c r="AB43" s="318"/>
      <c r="AD43" s="315"/>
      <c r="AE43" s="315"/>
      <c r="AF43" s="315"/>
      <c r="AG43" s="315"/>
      <c r="AH43" s="315"/>
    </row>
    <row r="44" spans="1:34" ht="18.75" customHeight="1" x14ac:dyDescent="0.25">
      <c r="A44" s="205" t="s">
        <v>198</v>
      </c>
      <c r="B44" s="233">
        <v>85.772000000000006</v>
      </c>
      <c r="C44" s="234">
        <v>85.772000000000006</v>
      </c>
      <c r="D44" s="234">
        <v>0</v>
      </c>
      <c r="E44" s="234">
        <v>0</v>
      </c>
      <c r="F44" s="146">
        <v>0</v>
      </c>
      <c r="G44" s="234">
        <v>85.864999999999995</v>
      </c>
      <c r="H44" s="234">
        <v>85.864999999999995</v>
      </c>
      <c r="I44" s="234">
        <v>0</v>
      </c>
      <c r="J44" s="234">
        <v>0</v>
      </c>
      <c r="K44" s="146">
        <v>0</v>
      </c>
      <c r="L44" s="233"/>
      <c r="M44" s="234">
        <v>86.081999999999994</v>
      </c>
      <c r="N44" s="234">
        <v>86.081999999999994</v>
      </c>
      <c r="O44" s="234">
        <v>0</v>
      </c>
      <c r="P44" s="234">
        <v>0</v>
      </c>
      <c r="Q44" s="146">
        <v>0</v>
      </c>
      <c r="R44" s="233">
        <v>85.653000000000006</v>
      </c>
      <c r="S44" s="234">
        <v>85.653000000000006</v>
      </c>
      <c r="T44" s="234">
        <v>0</v>
      </c>
      <c r="U44" s="234">
        <v>0</v>
      </c>
      <c r="V44" s="146">
        <v>0</v>
      </c>
      <c r="W44" s="215" t="s">
        <v>199</v>
      </c>
      <c r="Y44" s="318"/>
      <c r="Z44" s="318"/>
      <c r="AD44" s="315"/>
      <c r="AE44" s="315"/>
      <c r="AF44" s="315"/>
      <c r="AG44" s="315"/>
      <c r="AH44" s="315"/>
    </row>
    <row r="45" spans="1:34" ht="18.75" customHeight="1" x14ac:dyDescent="0.25">
      <c r="A45" s="205" t="s">
        <v>200</v>
      </c>
      <c r="B45" s="233">
        <v>68.578000000000003</v>
      </c>
      <c r="C45" s="234">
        <v>25.661999999999999</v>
      </c>
      <c r="D45" s="234">
        <v>42.915999999999997</v>
      </c>
      <c r="E45" s="234">
        <v>2.9849999999999999</v>
      </c>
      <c r="F45" s="146">
        <v>39.930999999999997</v>
      </c>
      <c r="G45" s="234">
        <v>68.325999999999993</v>
      </c>
      <c r="H45" s="234">
        <v>25.242000000000001</v>
      </c>
      <c r="I45" s="234">
        <v>43.084000000000003</v>
      </c>
      <c r="J45" s="234">
        <v>2.8679999999999999</v>
      </c>
      <c r="K45" s="146">
        <v>40.216000000000001</v>
      </c>
      <c r="L45" s="233"/>
      <c r="M45" s="234">
        <v>67.510000000000005</v>
      </c>
      <c r="N45" s="234">
        <v>22.934999999999999</v>
      </c>
      <c r="O45" s="234">
        <v>44.576000000000001</v>
      </c>
      <c r="P45" s="234">
        <v>2.9569999999999999</v>
      </c>
      <c r="Q45" s="146">
        <v>41.618000000000002</v>
      </c>
      <c r="R45" s="233">
        <v>67.960999999999999</v>
      </c>
      <c r="S45" s="139">
        <v>22.76</v>
      </c>
      <c r="T45" s="234">
        <v>45.201999999999998</v>
      </c>
      <c r="U45" s="234">
        <v>2.97</v>
      </c>
      <c r="V45" s="268">
        <v>42.231999999999999</v>
      </c>
      <c r="W45" s="215" t="s">
        <v>201</v>
      </c>
      <c r="Y45" s="318"/>
      <c r="Z45" s="318"/>
      <c r="AA45" s="318"/>
      <c r="AB45" s="318"/>
      <c r="AC45" s="318"/>
      <c r="AD45" s="315"/>
      <c r="AE45" s="315"/>
      <c r="AF45" s="315"/>
      <c r="AG45" s="315"/>
      <c r="AH45" s="315"/>
    </row>
    <row r="46" spans="1:34" ht="18.75" customHeight="1" x14ac:dyDescent="0.25">
      <c r="A46" s="205" t="s">
        <v>202</v>
      </c>
      <c r="B46" s="233">
        <v>78.802000000000007</v>
      </c>
      <c r="C46" s="234">
        <v>28.637</v>
      </c>
      <c r="D46" s="234">
        <v>50.164999999999999</v>
      </c>
      <c r="E46" s="234">
        <v>50.164999999999999</v>
      </c>
      <c r="F46" s="146">
        <v>0</v>
      </c>
      <c r="G46" s="234">
        <v>75.159000000000006</v>
      </c>
      <c r="H46" s="234">
        <v>26.97</v>
      </c>
      <c r="I46" s="234">
        <v>48.189</v>
      </c>
      <c r="J46" s="234">
        <v>48.189</v>
      </c>
      <c r="K46" s="146">
        <v>0</v>
      </c>
      <c r="L46" s="233"/>
      <c r="M46" s="234">
        <v>75.923000000000002</v>
      </c>
      <c r="N46" s="234">
        <v>29.753</v>
      </c>
      <c r="O46" s="234">
        <v>46.17</v>
      </c>
      <c r="P46" s="234">
        <v>46.17</v>
      </c>
      <c r="Q46" s="146">
        <v>0</v>
      </c>
      <c r="R46" s="233">
        <v>78.003</v>
      </c>
      <c r="S46" s="234" t="s">
        <v>604</v>
      </c>
      <c r="T46" s="234" t="s">
        <v>604</v>
      </c>
      <c r="U46" s="234" t="s">
        <v>604</v>
      </c>
      <c r="V46" s="146" t="s">
        <v>604</v>
      </c>
      <c r="W46" s="215" t="s">
        <v>401</v>
      </c>
      <c r="Y46" s="318"/>
      <c r="Z46" s="318"/>
      <c r="AA46" s="318"/>
      <c r="AB46" s="318"/>
      <c r="AD46" s="315"/>
      <c r="AE46" s="315"/>
      <c r="AF46" s="315"/>
      <c r="AG46" s="315"/>
      <c r="AH46" s="315"/>
    </row>
    <row r="47" spans="1:34" ht="18.75" customHeight="1" x14ac:dyDescent="0.25">
      <c r="A47" s="205" t="s">
        <v>203</v>
      </c>
      <c r="B47" s="233">
        <v>83.2</v>
      </c>
      <c r="C47" s="234">
        <v>83.2</v>
      </c>
      <c r="D47" s="234">
        <v>0</v>
      </c>
      <c r="E47" s="234">
        <v>0</v>
      </c>
      <c r="F47" s="146">
        <v>0</v>
      </c>
      <c r="G47" s="234">
        <v>81.519000000000005</v>
      </c>
      <c r="H47" s="234">
        <v>81.519000000000005</v>
      </c>
      <c r="I47" s="234">
        <v>0</v>
      </c>
      <c r="J47" s="234">
        <v>0</v>
      </c>
      <c r="K47" s="146">
        <v>0</v>
      </c>
      <c r="L47" s="233"/>
      <c r="M47" s="234">
        <v>81.221000000000004</v>
      </c>
      <c r="N47" s="234">
        <v>81.221000000000004</v>
      </c>
      <c r="O47" s="234">
        <v>0</v>
      </c>
      <c r="P47" s="234">
        <v>0</v>
      </c>
      <c r="Q47" s="146">
        <v>0</v>
      </c>
      <c r="R47" s="233">
        <v>81.302000000000007</v>
      </c>
      <c r="S47" s="234">
        <v>81.302000000000007</v>
      </c>
      <c r="T47" s="234">
        <v>0</v>
      </c>
      <c r="U47" s="234">
        <v>0</v>
      </c>
      <c r="V47" s="146">
        <v>0</v>
      </c>
      <c r="W47" s="215" t="s">
        <v>204</v>
      </c>
      <c r="Y47" s="318"/>
      <c r="Z47" s="318"/>
      <c r="AD47" s="315"/>
      <c r="AE47" s="315"/>
      <c r="AF47" s="315"/>
      <c r="AG47" s="315"/>
      <c r="AH47" s="315"/>
    </row>
    <row r="48" spans="1:34" ht="18.75" customHeight="1" x14ac:dyDescent="0.25">
      <c r="A48" s="206" t="s">
        <v>205</v>
      </c>
      <c r="B48" s="140">
        <v>83.664000000000001</v>
      </c>
      <c r="C48" s="140">
        <v>30.831</v>
      </c>
      <c r="D48" s="140">
        <v>52.832999999999998</v>
      </c>
      <c r="E48" s="140">
        <v>22.891999999999999</v>
      </c>
      <c r="F48" s="273">
        <v>29.94</v>
      </c>
      <c r="G48" s="140">
        <v>83.808999999999997</v>
      </c>
      <c r="H48" s="140">
        <v>29.978000000000002</v>
      </c>
      <c r="I48" s="140">
        <v>53.831000000000003</v>
      </c>
      <c r="J48" s="140">
        <v>23.268000000000001</v>
      </c>
      <c r="K48" s="273">
        <v>30.562999999999999</v>
      </c>
      <c r="L48" s="235"/>
      <c r="M48" s="140">
        <v>83.381</v>
      </c>
      <c r="N48" s="140">
        <v>28.396000000000001</v>
      </c>
      <c r="O48" s="140">
        <v>54.984999999999999</v>
      </c>
      <c r="P48" s="140">
        <v>23.335000000000001</v>
      </c>
      <c r="Q48" s="273">
        <v>31.649000000000001</v>
      </c>
      <c r="R48" s="236">
        <v>83.319000000000003</v>
      </c>
      <c r="S48" s="234" t="s">
        <v>604</v>
      </c>
      <c r="T48" s="234" t="s">
        <v>604</v>
      </c>
      <c r="U48" s="234" t="s">
        <v>604</v>
      </c>
      <c r="V48" s="150" t="s">
        <v>604</v>
      </c>
      <c r="W48" s="216" t="s">
        <v>206</v>
      </c>
      <c r="Y48" s="318"/>
      <c r="Z48" s="318"/>
      <c r="AA48" s="318"/>
      <c r="AB48" s="318"/>
      <c r="AC48" s="318"/>
      <c r="AD48" s="315"/>
      <c r="AE48" s="315"/>
      <c r="AF48" s="315"/>
      <c r="AG48" s="315"/>
      <c r="AH48" s="315"/>
    </row>
    <row r="49" spans="1:23" s="227" customFormat="1" ht="14.1" customHeight="1" x14ac:dyDescent="0.2">
      <c r="A49" s="744" t="s">
        <v>623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/>
      <c r="L49" s="289"/>
      <c r="M49" s="746" t="s">
        <v>621</v>
      </c>
      <c r="N49" s="746"/>
      <c r="O49" s="746"/>
      <c r="P49" s="746"/>
      <c r="Q49" s="746"/>
      <c r="R49" s="746"/>
      <c r="S49" s="746"/>
      <c r="T49" s="746"/>
      <c r="U49" s="746"/>
      <c r="V49" s="746"/>
      <c r="W49" s="746"/>
    </row>
    <row r="50" spans="1:23" s="203" customFormat="1" ht="12" x14ac:dyDescent="0.2">
      <c r="A50" s="772" t="s">
        <v>635</v>
      </c>
      <c r="B50" s="772"/>
      <c r="C50" s="772"/>
      <c r="D50" s="772"/>
      <c r="E50" s="772"/>
      <c r="F50" s="772"/>
      <c r="G50" s="772"/>
      <c r="H50" s="772"/>
      <c r="I50" s="772"/>
      <c r="J50" s="772"/>
      <c r="K50" s="772"/>
      <c r="L50" s="294"/>
      <c r="M50" s="739" t="s">
        <v>636</v>
      </c>
      <c r="N50" s="739"/>
      <c r="O50" s="739"/>
      <c r="P50" s="739"/>
      <c r="Q50" s="739"/>
      <c r="R50" s="739"/>
      <c r="S50" s="739"/>
      <c r="T50" s="739"/>
      <c r="U50" s="739"/>
      <c r="V50" s="739"/>
      <c r="W50" s="739"/>
    </row>
    <row r="51" spans="1:23" x14ac:dyDescent="0.25"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</row>
  </sheetData>
  <mergeCells count="32">
    <mergeCell ref="A49:K49"/>
    <mergeCell ref="S5:V5"/>
    <mergeCell ref="S6:S7"/>
    <mergeCell ref="T6:T7"/>
    <mergeCell ref="M49:W49"/>
    <mergeCell ref="N6:N7"/>
    <mergeCell ref="O6:O7"/>
    <mergeCell ref="M5:M7"/>
    <mergeCell ref="N5:Q5"/>
    <mergeCell ref="R5:R7"/>
    <mergeCell ref="G5:G7"/>
    <mergeCell ref="H5:K5"/>
    <mergeCell ref="C6:C7"/>
    <mergeCell ref="D6:D7"/>
    <mergeCell ref="H6:H7"/>
    <mergeCell ref="I6:I7"/>
    <mergeCell ref="A50:K50"/>
    <mergeCell ref="M50:W50"/>
    <mergeCell ref="A1:K1"/>
    <mergeCell ref="M1:W1"/>
    <mergeCell ref="A3:A8"/>
    <mergeCell ref="B3:F3"/>
    <mergeCell ref="G3:K3"/>
    <mergeCell ref="M3:Q3"/>
    <mergeCell ref="R3:V3"/>
    <mergeCell ref="W3:W8"/>
    <mergeCell ref="B4:F4"/>
    <mergeCell ref="G4:K4"/>
    <mergeCell ref="M4:Q4"/>
    <mergeCell ref="R4:V4"/>
    <mergeCell ref="B5:B7"/>
    <mergeCell ref="C5:F5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79" fitToWidth="0" fitToHeight="0" orientation="portrait" r:id="rId1"/>
  <colBreaks count="1" manualBreakCount="1">
    <brk id="12" max="4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DA3C-44FB-49A8-AE9F-6D4617D87077}">
  <sheetPr>
    <tabColor theme="9"/>
  </sheetPr>
  <dimension ref="A1:AB52"/>
  <sheetViews>
    <sheetView view="pageBreakPreview" zoomScale="70" zoomScaleNormal="85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Q9" sqref="Q9:R9"/>
    </sheetView>
  </sheetViews>
  <sheetFormatPr defaultColWidth="9" defaultRowHeight="15.75" x14ac:dyDescent="0.25"/>
  <cols>
    <col min="1" max="1" width="12" style="21" customWidth="1"/>
    <col min="2" max="2" width="13.25" style="21" customWidth="1"/>
    <col min="3" max="3" width="14.25" style="21" customWidth="1"/>
    <col min="4" max="4" width="11.375" style="21" customWidth="1"/>
    <col min="5" max="5" width="12" style="21" customWidth="1"/>
    <col min="6" max="6" width="13.75" style="21" customWidth="1"/>
    <col min="7" max="7" width="14.125" style="21" customWidth="1"/>
    <col min="8" max="8" width="11.375" style="21" customWidth="1"/>
    <col min="9" max="9" width="12.25" style="21" customWidth="1"/>
    <col min="10" max="10" width="0.375" style="21" customWidth="1"/>
    <col min="11" max="11" width="13.25" style="21" customWidth="1"/>
    <col min="12" max="12" width="14.375" style="21" customWidth="1"/>
    <col min="13" max="14" width="11.375" style="21" customWidth="1"/>
    <col min="15" max="15" width="13.25" style="21" customWidth="1"/>
    <col min="16" max="16" width="14.875" style="21" customWidth="1"/>
    <col min="17" max="18" width="11.375" style="21" customWidth="1"/>
    <col min="19" max="19" width="11.875" style="21" customWidth="1"/>
    <col min="20" max="16384" width="9" style="21"/>
  </cols>
  <sheetData>
    <row r="1" spans="1:28" ht="23.45" customHeight="1" x14ac:dyDescent="0.25">
      <c r="A1" s="773" t="s">
        <v>588</v>
      </c>
      <c r="B1" s="773"/>
      <c r="C1" s="773"/>
      <c r="D1" s="773"/>
      <c r="E1" s="773"/>
      <c r="F1" s="773"/>
      <c r="G1" s="773"/>
      <c r="H1" s="773"/>
      <c r="I1" s="773"/>
      <c r="J1" s="281"/>
      <c r="K1" s="761" t="s">
        <v>436</v>
      </c>
      <c r="L1" s="761"/>
      <c r="M1" s="761"/>
      <c r="N1" s="761"/>
      <c r="O1" s="761"/>
      <c r="P1" s="761"/>
      <c r="Q1" s="761"/>
      <c r="R1" s="761"/>
      <c r="S1" s="761"/>
      <c r="T1" s="261"/>
    </row>
    <row r="2" spans="1:28" ht="16.149999999999999" customHeight="1" x14ac:dyDescent="0.25">
      <c r="A2" s="47" t="s">
        <v>208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0"/>
      <c r="M2" s="49"/>
      <c r="N2" s="50"/>
      <c r="O2" s="50"/>
      <c r="P2" s="50"/>
      <c r="Q2" s="50"/>
      <c r="R2" s="49"/>
      <c r="S2" s="50" t="s">
        <v>209</v>
      </c>
    </row>
    <row r="3" spans="1:28" s="22" customFormat="1" ht="15.6" customHeight="1" x14ac:dyDescent="0.25">
      <c r="A3" s="762" t="s">
        <v>469</v>
      </c>
      <c r="B3" s="765" t="s">
        <v>546</v>
      </c>
      <c r="C3" s="766"/>
      <c r="D3" s="766"/>
      <c r="E3" s="767"/>
      <c r="F3" s="765" t="s">
        <v>487</v>
      </c>
      <c r="G3" s="766"/>
      <c r="H3" s="766"/>
      <c r="I3" s="767"/>
      <c r="J3" s="290"/>
      <c r="K3" s="766" t="s">
        <v>488</v>
      </c>
      <c r="L3" s="766"/>
      <c r="M3" s="766"/>
      <c r="N3" s="766"/>
      <c r="O3" s="765" t="s">
        <v>489</v>
      </c>
      <c r="P3" s="766"/>
      <c r="Q3" s="766"/>
      <c r="R3" s="766"/>
      <c r="S3" s="768" t="s">
        <v>470</v>
      </c>
    </row>
    <row r="4" spans="1:28" ht="14.45" customHeight="1" x14ac:dyDescent="0.25">
      <c r="A4" s="763"/>
      <c r="B4" s="756">
        <v>2013</v>
      </c>
      <c r="C4" s="757"/>
      <c r="D4" s="757"/>
      <c r="E4" s="758"/>
      <c r="F4" s="756">
        <v>2014</v>
      </c>
      <c r="G4" s="757"/>
      <c r="H4" s="757"/>
      <c r="I4" s="758"/>
      <c r="J4" s="290"/>
      <c r="K4" s="757">
        <v>2015</v>
      </c>
      <c r="L4" s="757"/>
      <c r="M4" s="757"/>
      <c r="N4" s="757"/>
      <c r="O4" s="756">
        <v>2016</v>
      </c>
      <c r="P4" s="757"/>
      <c r="Q4" s="757"/>
      <c r="R4" s="757"/>
      <c r="S4" s="769"/>
    </row>
    <row r="5" spans="1:28" ht="15" customHeight="1" x14ac:dyDescent="0.25">
      <c r="A5" s="763"/>
      <c r="B5" s="733" t="s">
        <v>590</v>
      </c>
      <c r="C5" s="740"/>
      <c r="D5" s="740"/>
      <c r="E5" s="741"/>
      <c r="F5" s="733" t="s">
        <v>590</v>
      </c>
      <c r="G5" s="740"/>
      <c r="H5" s="740"/>
      <c r="I5" s="741"/>
      <c r="J5" s="291"/>
      <c r="K5" s="742" t="s">
        <v>590</v>
      </c>
      <c r="L5" s="740"/>
      <c r="M5" s="740"/>
      <c r="N5" s="740"/>
      <c r="O5" s="733" t="s">
        <v>590</v>
      </c>
      <c r="P5" s="740"/>
      <c r="Q5" s="740"/>
      <c r="R5" s="740"/>
      <c r="S5" s="769"/>
    </row>
    <row r="6" spans="1:28" ht="16.5" customHeight="1" x14ac:dyDescent="0.25">
      <c r="A6" s="763"/>
      <c r="B6" s="750"/>
      <c r="C6" s="753" t="s">
        <v>596</v>
      </c>
      <c r="D6" s="751" t="s">
        <v>592</v>
      </c>
      <c r="E6" s="751" t="s">
        <v>571</v>
      </c>
      <c r="F6" s="750"/>
      <c r="G6" s="753" t="s">
        <v>596</v>
      </c>
      <c r="H6" s="751" t="s">
        <v>592</v>
      </c>
      <c r="I6" s="751" t="s">
        <v>571</v>
      </c>
      <c r="J6" s="296"/>
      <c r="K6" s="755"/>
      <c r="L6" s="753" t="s">
        <v>596</v>
      </c>
      <c r="M6" s="751" t="s">
        <v>592</v>
      </c>
      <c r="N6" s="751" t="s">
        <v>571</v>
      </c>
      <c r="O6" s="750"/>
      <c r="P6" s="753" t="s">
        <v>596</v>
      </c>
      <c r="Q6" s="751" t="s">
        <v>592</v>
      </c>
      <c r="R6" s="751" t="s">
        <v>571</v>
      </c>
      <c r="S6" s="769"/>
    </row>
    <row r="7" spans="1:28" ht="29.25" customHeight="1" x14ac:dyDescent="0.25">
      <c r="A7" s="763"/>
      <c r="B7" s="750"/>
      <c r="C7" s="754"/>
      <c r="D7" s="752"/>
      <c r="E7" s="752"/>
      <c r="F7" s="750"/>
      <c r="G7" s="754"/>
      <c r="H7" s="752"/>
      <c r="I7" s="752"/>
      <c r="J7" s="296"/>
      <c r="K7" s="755"/>
      <c r="L7" s="754"/>
      <c r="M7" s="752"/>
      <c r="N7" s="752"/>
      <c r="O7" s="750"/>
      <c r="P7" s="754"/>
      <c r="Q7" s="752"/>
      <c r="R7" s="752"/>
      <c r="S7" s="769"/>
    </row>
    <row r="8" spans="1:28" ht="46.5" customHeight="1" x14ac:dyDescent="0.25">
      <c r="A8" s="764"/>
      <c r="B8" s="260" t="s">
        <v>591</v>
      </c>
      <c r="C8" s="260" t="s">
        <v>594</v>
      </c>
      <c r="D8" s="260" t="s">
        <v>593</v>
      </c>
      <c r="E8" s="260" t="s">
        <v>595</v>
      </c>
      <c r="F8" s="260" t="s">
        <v>591</v>
      </c>
      <c r="G8" s="260" t="s">
        <v>594</v>
      </c>
      <c r="H8" s="260" t="s">
        <v>593</v>
      </c>
      <c r="I8" s="260" t="s">
        <v>595</v>
      </c>
      <c r="J8" s="293"/>
      <c r="K8" s="288" t="s">
        <v>591</v>
      </c>
      <c r="L8" s="260" t="s">
        <v>594</v>
      </c>
      <c r="M8" s="260" t="s">
        <v>593</v>
      </c>
      <c r="N8" s="260" t="s">
        <v>595</v>
      </c>
      <c r="O8" s="260" t="s">
        <v>591</v>
      </c>
      <c r="P8" s="260" t="s">
        <v>594</v>
      </c>
      <c r="Q8" s="260" t="s">
        <v>593</v>
      </c>
      <c r="R8" s="260" t="s">
        <v>595</v>
      </c>
      <c r="S8" s="770"/>
    </row>
    <row r="9" spans="1:28" ht="18.75" customHeight="1" x14ac:dyDescent="0.25">
      <c r="A9" s="204" t="s">
        <v>136</v>
      </c>
      <c r="B9" s="233">
        <v>41.27</v>
      </c>
      <c r="C9" s="234">
        <v>0.12</v>
      </c>
      <c r="D9" s="787" t="s">
        <v>631</v>
      </c>
      <c r="E9" s="788"/>
      <c r="F9" s="233">
        <v>41.05</v>
      </c>
      <c r="G9" s="234">
        <v>0.12</v>
      </c>
      <c r="H9" s="787" t="s">
        <v>632</v>
      </c>
      <c r="I9" s="788"/>
      <c r="J9" s="298"/>
      <c r="K9" s="269">
        <v>40.840000000000003</v>
      </c>
      <c r="L9" s="270">
        <v>0.12</v>
      </c>
      <c r="M9" s="787" t="s">
        <v>633</v>
      </c>
      <c r="N9" s="788"/>
      <c r="O9" s="271">
        <v>40.75</v>
      </c>
      <c r="P9" s="269">
        <v>0.12</v>
      </c>
      <c r="Q9" s="789" t="s">
        <v>634</v>
      </c>
      <c r="R9" s="790"/>
      <c r="S9" s="215" t="s">
        <v>137</v>
      </c>
    </row>
    <row r="10" spans="1:28" ht="18.75" customHeight="1" x14ac:dyDescent="0.25">
      <c r="A10" s="205" t="s">
        <v>138</v>
      </c>
      <c r="B10" s="233">
        <v>35.03</v>
      </c>
      <c r="C10" s="234">
        <v>2.3479999999999999</v>
      </c>
      <c r="D10" s="234">
        <v>13.154999999999999</v>
      </c>
      <c r="E10" s="146">
        <v>19.527000000000001</v>
      </c>
      <c r="F10" s="233">
        <v>32.439</v>
      </c>
      <c r="G10" s="234">
        <v>2.234</v>
      </c>
      <c r="H10" s="234">
        <v>12.356999999999999</v>
      </c>
      <c r="I10" s="146">
        <v>17.847000000000001</v>
      </c>
      <c r="J10" s="233"/>
      <c r="K10" s="234">
        <v>31.189</v>
      </c>
      <c r="L10" s="234">
        <v>1.996</v>
      </c>
      <c r="M10" s="234">
        <v>12.276</v>
      </c>
      <c r="N10" s="234">
        <v>16.916</v>
      </c>
      <c r="O10" s="233">
        <v>30.905999999999999</v>
      </c>
      <c r="P10" s="234">
        <v>2.028</v>
      </c>
      <c r="Q10" s="234">
        <v>12.244999999999999</v>
      </c>
      <c r="R10" s="234">
        <v>16.634</v>
      </c>
      <c r="S10" s="215" t="s">
        <v>139</v>
      </c>
      <c r="Y10" s="315"/>
      <c r="Z10" s="315"/>
      <c r="AA10" s="315"/>
      <c r="AB10" s="315"/>
    </row>
    <row r="11" spans="1:28" ht="18.75" customHeight="1" x14ac:dyDescent="0.25">
      <c r="A11" s="205" t="s">
        <v>140</v>
      </c>
      <c r="B11" s="233">
        <v>26.152000000000001</v>
      </c>
      <c r="C11" s="234">
        <v>1.4649999999999999</v>
      </c>
      <c r="D11" s="234">
        <v>5.0830000000000002</v>
      </c>
      <c r="E11" s="146">
        <v>19.603999999999999</v>
      </c>
      <c r="F11" s="233">
        <v>26.222000000000001</v>
      </c>
      <c r="G11" s="234">
        <v>1.498</v>
      </c>
      <c r="H11" s="234">
        <v>5.1109999999999998</v>
      </c>
      <c r="I11" s="146">
        <v>19.613</v>
      </c>
      <c r="J11" s="233"/>
      <c r="K11" s="234">
        <v>26.391999999999999</v>
      </c>
      <c r="L11" s="234">
        <v>1.508</v>
      </c>
      <c r="M11" s="234">
        <v>5.0389999999999997</v>
      </c>
      <c r="N11" s="234">
        <v>19.844999999999999</v>
      </c>
      <c r="O11" s="233">
        <v>26.645</v>
      </c>
      <c r="P11" s="234">
        <v>1.5449999999999999</v>
      </c>
      <c r="Q11" s="234">
        <v>5.0540000000000003</v>
      </c>
      <c r="R11" s="234">
        <v>20.045999999999999</v>
      </c>
      <c r="S11" s="215" t="s">
        <v>141</v>
      </c>
      <c r="Y11" s="315"/>
      <c r="Z11" s="315"/>
      <c r="AA11" s="315"/>
      <c r="AB11" s="315"/>
    </row>
    <row r="12" spans="1:28" ht="18.75" customHeight="1" x14ac:dyDescent="0.25">
      <c r="A12" s="205" t="s">
        <v>142</v>
      </c>
      <c r="B12" s="233">
        <v>24.875</v>
      </c>
      <c r="C12" s="234">
        <v>0.14099999999999999</v>
      </c>
      <c r="D12" s="234">
        <v>4.181</v>
      </c>
      <c r="E12" s="146">
        <v>20.553000000000001</v>
      </c>
      <c r="F12" s="233">
        <v>24.411999999999999</v>
      </c>
      <c r="G12" s="234">
        <v>0.13200000000000001</v>
      </c>
      <c r="H12" s="234">
        <v>4.2709999999999999</v>
      </c>
      <c r="I12" s="146">
        <v>20.007999999999999</v>
      </c>
      <c r="J12" s="233"/>
      <c r="K12" s="234">
        <v>24.106000000000002</v>
      </c>
      <c r="L12" s="234">
        <v>0.14199999999999999</v>
      </c>
      <c r="M12" s="234">
        <v>4.524</v>
      </c>
      <c r="N12" s="234">
        <v>19.440000000000001</v>
      </c>
      <c r="O12" s="233">
        <v>23.774000000000001</v>
      </c>
      <c r="P12" s="139">
        <v>0.15</v>
      </c>
      <c r="Q12" s="234">
        <v>4.6829999999999998</v>
      </c>
      <c r="R12" s="234">
        <v>18.940999999999999</v>
      </c>
      <c r="S12" s="215" t="s">
        <v>143</v>
      </c>
      <c r="Y12" s="315"/>
      <c r="Z12" s="315"/>
      <c r="AA12" s="315"/>
      <c r="AB12" s="315"/>
    </row>
    <row r="13" spans="1:28" ht="18.75" customHeight="1" x14ac:dyDescent="0.25">
      <c r="A13" s="205" t="s">
        <v>144</v>
      </c>
      <c r="B13" s="233">
        <v>29.041</v>
      </c>
      <c r="C13" s="234">
        <v>1.962</v>
      </c>
      <c r="D13" s="234">
        <v>12.516999999999999</v>
      </c>
      <c r="E13" s="146">
        <v>14.561999999999999</v>
      </c>
      <c r="F13" s="233">
        <v>29.202000000000002</v>
      </c>
      <c r="G13" s="234">
        <v>2.0049999999999999</v>
      </c>
      <c r="H13" s="234">
        <v>12.484</v>
      </c>
      <c r="I13" s="146">
        <v>14.712999999999999</v>
      </c>
      <c r="J13" s="233"/>
      <c r="K13" s="234">
        <v>29.108000000000001</v>
      </c>
      <c r="L13" s="234">
        <v>2.0170000000000003</v>
      </c>
      <c r="M13" s="234">
        <v>12.39</v>
      </c>
      <c r="N13" s="234">
        <v>14.702</v>
      </c>
      <c r="O13" s="233">
        <v>30.11</v>
      </c>
      <c r="P13" s="234">
        <v>2.0270000000000001</v>
      </c>
      <c r="Q13" s="234">
        <v>12.476000000000001</v>
      </c>
      <c r="R13" s="234">
        <v>15.606999999999999</v>
      </c>
      <c r="S13" s="215" t="s">
        <v>145</v>
      </c>
      <c r="Y13" s="315"/>
      <c r="Z13" s="315"/>
      <c r="AA13" s="315"/>
      <c r="AB13" s="315"/>
    </row>
    <row r="14" spans="1:28" ht="18.75" customHeight="1" x14ac:dyDescent="0.25">
      <c r="A14" s="205" t="s">
        <v>146</v>
      </c>
      <c r="B14" s="235">
        <v>40.645000000000003</v>
      </c>
      <c r="C14" s="139">
        <v>0.318</v>
      </c>
      <c r="D14" s="139">
        <v>6.6890000000000001</v>
      </c>
      <c r="E14" s="268">
        <v>33.637999999999998</v>
      </c>
      <c r="F14" s="235">
        <v>41.052</v>
      </c>
      <c r="G14" s="139">
        <v>0.307</v>
      </c>
      <c r="H14" s="234">
        <v>6.4770000000000003</v>
      </c>
      <c r="I14" s="268">
        <v>34.268999999999998</v>
      </c>
      <c r="J14" s="235"/>
      <c r="K14" s="234">
        <v>41.253999999999998</v>
      </c>
      <c r="L14" s="234">
        <v>0.3</v>
      </c>
      <c r="M14" s="234">
        <v>6.444</v>
      </c>
      <c r="N14" s="234">
        <v>34.509</v>
      </c>
      <c r="O14" s="233">
        <v>41.508000000000003</v>
      </c>
      <c r="P14" s="139">
        <v>0.29499999999999998</v>
      </c>
      <c r="Q14" s="234">
        <v>6.4630000000000001</v>
      </c>
      <c r="R14" s="234">
        <v>34.750999999999998</v>
      </c>
      <c r="S14" s="215" t="s">
        <v>147</v>
      </c>
      <c r="Y14" s="315"/>
      <c r="Z14" s="315"/>
      <c r="AA14" s="315"/>
      <c r="AB14" s="315"/>
    </row>
    <row r="15" spans="1:28" ht="18.75" customHeight="1" x14ac:dyDescent="0.25">
      <c r="A15" s="225" t="s">
        <v>383</v>
      </c>
      <c r="B15" s="235">
        <v>24.413</v>
      </c>
      <c r="C15" s="139">
        <v>0</v>
      </c>
      <c r="D15" s="139">
        <v>7.26</v>
      </c>
      <c r="E15" s="268">
        <v>17.152999999999999</v>
      </c>
      <c r="F15" s="235">
        <v>23.815999999999999</v>
      </c>
      <c r="G15" s="139">
        <v>0</v>
      </c>
      <c r="H15" s="234">
        <v>7.5389999999999997</v>
      </c>
      <c r="I15" s="268">
        <v>16.277000000000001</v>
      </c>
      <c r="J15" s="235"/>
      <c r="K15" s="234">
        <v>23.696999999999999</v>
      </c>
      <c r="L15" s="234">
        <v>0</v>
      </c>
      <c r="M15" s="234">
        <v>8.2959999999999994</v>
      </c>
      <c r="N15" s="234">
        <v>15.401</v>
      </c>
      <c r="O15" s="233">
        <v>23.905999999999999</v>
      </c>
      <c r="P15" s="139">
        <v>0</v>
      </c>
      <c r="Q15" s="234">
        <v>8.2940000000000005</v>
      </c>
      <c r="R15" s="234">
        <v>15.612</v>
      </c>
      <c r="S15" s="226" t="s">
        <v>384</v>
      </c>
      <c r="Y15" s="315"/>
      <c r="Z15" s="315"/>
      <c r="AA15" s="315"/>
      <c r="AB15" s="315"/>
    </row>
    <row r="16" spans="1:28" ht="18.75" customHeight="1" x14ac:dyDescent="0.25">
      <c r="A16" s="225" t="s">
        <v>392</v>
      </c>
      <c r="B16" s="235">
        <v>25.106999999999999</v>
      </c>
      <c r="C16" s="139">
        <v>0.308</v>
      </c>
      <c r="D16" s="139">
        <v>1.77</v>
      </c>
      <c r="E16" s="268">
        <v>23.027999999999999</v>
      </c>
      <c r="F16" s="235">
        <v>27.036000000000001</v>
      </c>
      <c r="G16" s="139">
        <v>0.314</v>
      </c>
      <c r="H16" s="234">
        <v>2.52</v>
      </c>
      <c r="I16" s="268">
        <v>24.202000000000002</v>
      </c>
      <c r="J16" s="235"/>
      <c r="K16" s="234">
        <v>25.152000000000001</v>
      </c>
      <c r="L16" s="234">
        <v>0.316</v>
      </c>
      <c r="M16" s="234">
        <v>2.4369999999999998</v>
      </c>
      <c r="N16" s="234">
        <v>22.399000000000001</v>
      </c>
      <c r="O16" s="233">
        <v>24.899000000000001</v>
      </c>
      <c r="P16" s="234">
        <v>0.307</v>
      </c>
      <c r="Q16" s="234">
        <v>2.58</v>
      </c>
      <c r="R16" s="234">
        <v>22.012</v>
      </c>
      <c r="S16" s="226" t="s">
        <v>391</v>
      </c>
      <c r="Y16" s="315"/>
      <c r="Z16" s="315"/>
      <c r="AA16" s="315"/>
      <c r="AB16" s="315"/>
    </row>
    <row r="17" spans="1:28" ht="18.75" customHeight="1" x14ac:dyDescent="0.25">
      <c r="A17" s="205" t="s">
        <v>148</v>
      </c>
      <c r="B17" s="233">
        <v>15.201000000000001</v>
      </c>
      <c r="C17" s="234">
        <v>0.71599999999999997</v>
      </c>
      <c r="D17" s="234">
        <v>0.153</v>
      </c>
      <c r="E17" s="146">
        <v>14.332000000000001</v>
      </c>
      <c r="F17" s="233">
        <v>15.685</v>
      </c>
      <c r="G17" s="234">
        <v>1.0640000000000001</v>
      </c>
      <c r="H17" s="234">
        <v>0.16300000000000001</v>
      </c>
      <c r="I17" s="146">
        <v>14.459</v>
      </c>
      <c r="J17" s="233"/>
      <c r="K17" s="234">
        <v>15.292999999999999</v>
      </c>
      <c r="L17" s="234">
        <v>0.63900000000000001</v>
      </c>
      <c r="M17" s="234">
        <v>0.14099999999999999</v>
      </c>
      <c r="N17" s="234">
        <v>14.513999999999999</v>
      </c>
      <c r="O17" s="233">
        <v>15.151</v>
      </c>
      <c r="P17" s="234">
        <v>0.72899999999999998</v>
      </c>
      <c r="Q17" s="234">
        <v>0.13700000000000001</v>
      </c>
      <c r="R17" s="234">
        <v>14.285</v>
      </c>
      <c r="S17" s="215" t="s">
        <v>149</v>
      </c>
      <c r="Y17" s="315"/>
      <c r="Z17" s="315"/>
      <c r="AA17" s="315"/>
      <c r="AB17" s="315"/>
    </row>
    <row r="18" spans="1:28" ht="18.75" customHeight="1" x14ac:dyDescent="0.25">
      <c r="A18" s="205" t="s">
        <v>150</v>
      </c>
      <c r="B18" s="233">
        <v>15.567</v>
      </c>
      <c r="C18" s="234">
        <v>0.15</v>
      </c>
      <c r="D18" s="234">
        <v>2.0449999999999999</v>
      </c>
      <c r="E18" s="146">
        <v>13.372</v>
      </c>
      <c r="F18" s="233">
        <v>15.582000000000001</v>
      </c>
      <c r="G18" s="234">
        <v>0.13800000000000001</v>
      </c>
      <c r="H18" s="234">
        <v>2.0819999999999999</v>
      </c>
      <c r="I18" s="146">
        <v>13.362</v>
      </c>
      <c r="J18" s="233"/>
      <c r="K18" s="234">
        <v>15.769</v>
      </c>
      <c r="L18" s="234">
        <v>0.14099999999999999</v>
      </c>
      <c r="M18" s="234">
        <v>2.1480000000000001</v>
      </c>
      <c r="N18" s="234">
        <v>13.48</v>
      </c>
      <c r="O18" s="233">
        <v>15.840999999999999</v>
      </c>
      <c r="P18" s="234">
        <v>0.13</v>
      </c>
      <c r="Q18" s="234">
        <v>2.17</v>
      </c>
      <c r="R18" s="234">
        <v>13.54</v>
      </c>
      <c r="S18" s="215" t="s">
        <v>151</v>
      </c>
      <c r="Y18" s="315"/>
      <c r="Z18" s="315"/>
      <c r="AA18" s="315"/>
      <c r="AB18" s="315"/>
    </row>
    <row r="19" spans="1:28" ht="18.75" customHeight="1" x14ac:dyDescent="0.25">
      <c r="A19" s="205" t="s">
        <v>152</v>
      </c>
      <c r="B19" s="235">
        <v>25.335999999999999</v>
      </c>
      <c r="C19" s="234">
        <v>1.4669999999999999</v>
      </c>
      <c r="D19" s="234">
        <v>0.26300000000000001</v>
      </c>
      <c r="E19" s="146">
        <v>23.605</v>
      </c>
      <c r="F19" s="235">
        <v>25.146999999999998</v>
      </c>
      <c r="G19" s="234">
        <v>1.399</v>
      </c>
      <c r="H19" s="234">
        <v>0.22500000000000001</v>
      </c>
      <c r="I19" s="268">
        <v>23.521999999999998</v>
      </c>
      <c r="J19" s="235"/>
      <c r="K19" s="234">
        <v>25.303000000000001</v>
      </c>
      <c r="L19" s="234">
        <v>1.3029999999999999</v>
      </c>
      <c r="M19" s="234">
        <v>0.28100000000000003</v>
      </c>
      <c r="N19" s="234">
        <v>23.719000000000001</v>
      </c>
      <c r="O19" s="233">
        <v>25.353000000000002</v>
      </c>
      <c r="P19" s="234">
        <v>1.3459999999999999</v>
      </c>
      <c r="Q19" s="234">
        <v>0.26900000000000002</v>
      </c>
      <c r="R19" s="234">
        <v>23.738</v>
      </c>
      <c r="S19" s="215" t="s">
        <v>153</v>
      </c>
      <c r="Y19" s="315"/>
      <c r="Z19" s="315"/>
      <c r="AA19" s="315"/>
      <c r="AB19" s="315"/>
    </row>
    <row r="20" spans="1:28" ht="18.75" customHeight="1" x14ac:dyDescent="0.25">
      <c r="A20" s="205" t="s">
        <v>154</v>
      </c>
      <c r="B20" s="233">
        <v>22.05</v>
      </c>
      <c r="C20" s="234">
        <v>2.6639999999999997</v>
      </c>
      <c r="D20" s="234">
        <v>1.591</v>
      </c>
      <c r="E20" s="146">
        <v>17.794</v>
      </c>
      <c r="F20" s="233">
        <v>21.984000000000002</v>
      </c>
      <c r="G20" s="234">
        <v>2.6589999999999998</v>
      </c>
      <c r="H20" s="234">
        <v>1.6870000000000001</v>
      </c>
      <c r="I20" s="146">
        <v>17.637</v>
      </c>
      <c r="J20" s="233"/>
      <c r="K20" s="234">
        <v>23.06</v>
      </c>
      <c r="L20" s="234">
        <v>2.7510000000000003</v>
      </c>
      <c r="M20" s="234">
        <v>1.68</v>
      </c>
      <c r="N20" s="234">
        <v>18.629000000000001</v>
      </c>
      <c r="O20" s="233">
        <v>23.774000000000001</v>
      </c>
      <c r="P20" s="234">
        <v>2.7219999999999995</v>
      </c>
      <c r="Q20" s="234">
        <v>1.778</v>
      </c>
      <c r="R20" s="234">
        <v>19.273</v>
      </c>
      <c r="S20" s="215" t="s">
        <v>155</v>
      </c>
      <c r="Y20" s="315"/>
      <c r="Z20" s="315"/>
      <c r="AA20" s="315"/>
      <c r="AB20" s="315"/>
    </row>
    <row r="21" spans="1:28" ht="18.75" customHeight="1" x14ac:dyDescent="0.25">
      <c r="A21" s="205" t="s">
        <v>156</v>
      </c>
      <c r="B21" s="233">
        <v>24.533999999999999</v>
      </c>
      <c r="C21" s="234">
        <v>0.72799999999999998</v>
      </c>
      <c r="D21" s="234">
        <v>12.654</v>
      </c>
      <c r="E21" s="146">
        <v>11.151999999999999</v>
      </c>
      <c r="F21" s="233">
        <v>24.327000000000002</v>
      </c>
      <c r="G21" s="234">
        <v>0.71699999999999997</v>
      </c>
      <c r="H21" s="234">
        <v>12.505000000000001</v>
      </c>
      <c r="I21" s="146">
        <v>11.105</v>
      </c>
      <c r="J21" s="233"/>
      <c r="K21" s="234">
        <v>24.225999999999999</v>
      </c>
      <c r="L21" s="234">
        <v>0.70499999999999996</v>
      </c>
      <c r="M21" s="234">
        <v>12.542</v>
      </c>
      <c r="N21" s="234">
        <v>10.978</v>
      </c>
      <c r="O21" s="233">
        <v>17.888999999999999</v>
      </c>
      <c r="P21" s="139">
        <v>0.69699999999999995</v>
      </c>
      <c r="Q21" s="234">
        <v>6.4790000000000001</v>
      </c>
      <c r="R21" s="234">
        <v>10.714</v>
      </c>
      <c r="S21" s="215" t="s">
        <v>157</v>
      </c>
      <c r="Y21" s="315"/>
      <c r="Z21" s="315"/>
      <c r="AA21" s="315"/>
      <c r="AB21" s="315"/>
    </row>
    <row r="22" spans="1:28" ht="18.75" customHeight="1" x14ac:dyDescent="0.25">
      <c r="A22" s="205" t="s">
        <v>158</v>
      </c>
      <c r="B22" s="233">
        <v>15.85</v>
      </c>
      <c r="C22" s="234">
        <v>1.5999999999999999</v>
      </c>
      <c r="D22" s="234">
        <v>1.5640000000000001</v>
      </c>
      <c r="E22" s="146">
        <v>12.685</v>
      </c>
      <c r="F22" s="233">
        <v>15.446</v>
      </c>
      <c r="G22" s="234">
        <v>1.6020000000000001</v>
      </c>
      <c r="H22" s="234">
        <v>1.494</v>
      </c>
      <c r="I22" s="146">
        <v>12.35</v>
      </c>
      <c r="J22" s="233"/>
      <c r="K22" s="234">
        <v>15.42</v>
      </c>
      <c r="L22" s="234">
        <v>1.5760000000000001</v>
      </c>
      <c r="M22" s="234">
        <v>1.492</v>
      </c>
      <c r="N22" s="234">
        <v>12.351000000000001</v>
      </c>
      <c r="O22" s="233">
        <v>15.231</v>
      </c>
      <c r="P22" s="139">
        <v>1.597</v>
      </c>
      <c r="Q22" s="234">
        <v>1.448</v>
      </c>
      <c r="R22" s="234">
        <v>12.185</v>
      </c>
      <c r="S22" s="215" t="s">
        <v>159</v>
      </c>
      <c r="Y22" s="315"/>
      <c r="Z22" s="315"/>
      <c r="AA22" s="315"/>
      <c r="AB22" s="315"/>
    </row>
    <row r="23" spans="1:28" ht="18.75" customHeight="1" x14ac:dyDescent="0.25">
      <c r="A23" s="205" t="s">
        <v>160</v>
      </c>
      <c r="B23" s="233">
        <v>37.097999999999999</v>
      </c>
      <c r="C23" s="234">
        <v>9.6000000000000002E-2</v>
      </c>
      <c r="D23" s="234">
        <v>3.262</v>
      </c>
      <c r="E23" s="146">
        <v>33.738999999999997</v>
      </c>
      <c r="F23" s="233">
        <v>41.137</v>
      </c>
      <c r="G23" s="234">
        <v>0.11199999999999999</v>
      </c>
      <c r="H23" s="234">
        <v>3.8250000000000002</v>
      </c>
      <c r="I23" s="146">
        <v>37.200000000000003</v>
      </c>
      <c r="J23" s="233"/>
      <c r="K23" s="234">
        <v>39.963999999999999</v>
      </c>
      <c r="L23" s="234">
        <v>0.19500000000000001</v>
      </c>
      <c r="M23" s="234">
        <v>3.734</v>
      </c>
      <c r="N23" s="234">
        <v>36.033999999999999</v>
      </c>
      <c r="O23" s="233">
        <v>38.357999999999997</v>
      </c>
      <c r="P23" s="234">
        <v>0.2</v>
      </c>
      <c r="Q23" s="234">
        <v>3.85</v>
      </c>
      <c r="R23" s="234">
        <v>34.308</v>
      </c>
      <c r="S23" s="215" t="s">
        <v>161</v>
      </c>
      <c r="Y23" s="315"/>
      <c r="Z23" s="315"/>
      <c r="AA23" s="315"/>
      <c r="AB23" s="315"/>
    </row>
    <row r="24" spans="1:28" ht="18.75" customHeight="1" x14ac:dyDescent="0.25">
      <c r="A24" s="205" t="s">
        <v>162</v>
      </c>
      <c r="B24" s="233">
        <v>33.375999999999998</v>
      </c>
      <c r="C24" s="234">
        <v>2.2549999999999999</v>
      </c>
      <c r="D24" s="234">
        <v>2.7360000000000002</v>
      </c>
      <c r="E24" s="146">
        <v>28.385000000000002</v>
      </c>
      <c r="F24" s="233">
        <v>32.923999999999999</v>
      </c>
      <c r="G24" s="234">
        <v>2.004</v>
      </c>
      <c r="H24" s="234">
        <v>2.5590000000000002</v>
      </c>
      <c r="I24" s="146">
        <v>28.361000000000001</v>
      </c>
      <c r="J24" s="233"/>
      <c r="K24" s="234">
        <v>31.832999999999998</v>
      </c>
      <c r="L24" s="234">
        <v>1.9990000000000001</v>
      </c>
      <c r="M24" s="234">
        <v>2.3460000000000001</v>
      </c>
      <c r="N24" s="234">
        <v>27.488</v>
      </c>
      <c r="O24" s="233">
        <v>31.920999999999999</v>
      </c>
      <c r="P24" s="234">
        <v>1.9830000000000001</v>
      </c>
      <c r="Q24" s="234">
        <v>2.2490000000000001</v>
      </c>
      <c r="R24" s="234">
        <v>27.689</v>
      </c>
      <c r="S24" s="215" t="s">
        <v>163</v>
      </c>
      <c r="Y24" s="315"/>
      <c r="Z24" s="315"/>
      <c r="AA24" s="315"/>
      <c r="AB24" s="315"/>
    </row>
    <row r="25" spans="1:28" ht="18.75" customHeight="1" x14ac:dyDescent="0.25">
      <c r="A25" s="205" t="s">
        <v>164</v>
      </c>
      <c r="B25" s="233">
        <v>19.645</v>
      </c>
      <c r="C25" s="234">
        <v>1.502</v>
      </c>
      <c r="D25" s="234">
        <v>0</v>
      </c>
      <c r="E25" s="146">
        <v>18.143000000000001</v>
      </c>
      <c r="F25" s="233">
        <v>19.361000000000001</v>
      </c>
      <c r="G25" s="234">
        <v>1.514</v>
      </c>
      <c r="H25" s="234">
        <v>0</v>
      </c>
      <c r="I25" s="146">
        <v>17.847000000000001</v>
      </c>
      <c r="J25" s="233"/>
      <c r="K25" s="234">
        <v>19.045000000000002</v>
      </c>
      <c r="L25" s="234">
        <v>1.538</v>
      </c>
      <c r="M25" s="234">
        <v>0</v>
      </c>
      <c r="N25" s="234">
        <v>17.507999999999999</v>
      </c>
      <c r="O25" s="233">
        <v>18.359000000000002</v>
      </c>
      <c r="P25" s="234">
        <v>1.6120000000000001</v>
      </c>
      <c r="Q25" s="234">
        <v>0</v>
      </c>
      <c r="R25" s="234">
        <v>16.747</v>
      </c>
      <c r="S25" s="215" t="s">
        <v>165</v>
      </c>
      <c r="Y25" s="315"/>
      <c r="Z25" s="315"/>
      <c r="AA25" s="315"/>
      <c r="AB25" s="315"/>
    </row>
    <row r="26" spans="1:28" ht="18.75" customHeight="1" x14ac:dyDescent="0.25">
      <c r="A26" s="205" t="s">
        <v>166</v>
      </c>
      <c r="B26" s="233">
        <v>28.957000000000001</v>
      </c>
      <c r="C26" s="234">
        <v>2.0529999999999999</v>
      </c>
      <c r="D26" s="234">
        <v>13.143000000000001</v>
      </c>
      <c r="E26" s="146">
        <v>13.76</v>
      </c>
      <c r="F26" s="233">
        <v>28.713999999999999</v>
      </c>
      <c r="G26" s="234">
        <v>2.0419999999999998</v>
      </c>
      <c r="H26" s="234">
        <v>12.685</v>
      </c>
      <c r="I26" s="146">
        <v>13.987</v>
      </c>
      <c r="J26" s="233"/>
      <c r="K26" s="234">
        <v>28.204999999999998</v>
      </c>
      <c r="L26" s="234">
        <v>1.9180000000000001</v>
      </c>
      <c r="M26" s="234">
        <v>12.776</v>
      </c>
      <c r="N26" s="234">
        <v>13.510999999999999</v>
      </c>
      <c r="O26" s="233">
        <v>27.844000000000001</v>
      </c>
      <c r="P26" s="234">
        <v>1.944</v>
      </c>
      <c r="Q26" s="234">
        <v>12.428000000000001</v>
      </c>
      <c r="R26" s="234">
        <v>13.472</v>
      </c>
      <c r="S26" s="215" t="s">
        <v>167</v>
      </c>
      <c r="Y26" s="315"/>
      <c r="Z26" s="315"/>
      <c r="AA26" s="315"/>
      <c r="AB26" s="315"/>
    </row>
    <row r="27" spans="1:28" ht="18.75" customHeight="1" x14ac:dyDescent="0.25">
      <c r="A27" s="205" t="s">
        <v>168</v>
      </c>
      <c r="B27" s="233">
        <v>35.194000000000003</v>
      </c>
      <c r="C27" s="234">
        <v>1.331</v>
      </c>
      <c r="D27" s="234">
        <v>11.208</v>
      </c>
      <c r="E27" s="146">
        <v>22.654</v>
      </c>
      <c r="F27" s="233">
        <v>35.534999999999997</v>
      </c>
      <c r="G27" s="234">
        <v>1.1930000000000001</v>
      </c>
      <c r="H27" s="234">
        <v>11.332000000000001</v>
      </c>
      <c r="I27" s="146">
        <v>23.01</v>
      </c>
      <c r="J27" s="233"/>
      <c r="K27" s="234">
        <v>35.179000000000002</v>
      </c>
      <c r="L27" s="234">
        <v>1.1380000000000001</v>
      </c>
      <c r="M27" s="234">
        <v>11.539</v>
      </c>
      <c r="N27" s="234">
        <v>22.501000000000001</v>
      </c>
      <c r="O27" s="233">
        <v>35.344999999999999</v>
      </c>
      <c r="P27" s="234">
        <v>1.0640000000000001</v>
      </c>
      <c r="Q27" s="234">
        <v>11.459</v>
      </c>
      <c r="R27" s="234">
        <v>22.823</v>
      </c>
      <c r="S27" s="215" t="s">
        <v>169</v>
      </c>
      <c r="Y27" s="315"/>
      <c r="Z27" s="315"/>
      <c r="AA27" s="315"/>
      <c r="AB27" s="315"/>
    </row>
    <row r="28" spans="1:28" ht="18.75" customHeight="1" x14ac:dyDescent="0.25">
      <c r="A28" s="205" t="s">
        <v>170</v>
      </c>
      <c r="B28" s="233">
        <v>24.818999999999999</v>
      </c>
      <c r="C28" s="234">
        <v>0.54800000000000004</v>
      </c>
      <c r="D28" s="234">
        <v>1.5289999999999999</v>
      </c>
      <c r="E28" s="146">
        <v>22.742000000000001</v>
      </c>
      <c r="F28" s="233">
        <v>25.065999999999999</v>
      </c>
      <c r="G28" s="234">
        <v>0.621</v>
      </c>
      <c r="H28" s="234">
        <v>1.488</v>
      </c>
      <c r="I28" s="146">
        <v>22.956</v>
      </c>
      <c r="J28" s="233"/>
      <c r="K28" s="234">
        <v>25.984000000000002</v>
      </c>
      <c r="L28" s="234">
        <v>0.65700000000000003</v>
      </c>
      <c r="M28" s="234">
        <v>1.5309999999999999</v>
      </c>
      <c r="N28" s="234">
        <v>23.795999999999999</v>
      </c>
      <c r="O28" s="233">
        <v>26.062000000000001</v>
      </c>
      <c r="P28" s="139">
        <v>0.69000000000000006</v>
      </c>
      <c r="Q28" s="234">
        <v>1.6779999999999999</v>
      </c>
      <c r="R28" s="234">
        <v>23.693999999999999</v>
      </c>
      <c r="S28" s="215" t="s">
        <v>171</v>
      </c>
      <c r="Y28" s="315"/>
      <c r="Z28" s="315"/>
      <c r="AA28" s="315"/>
      <c r="AB28" s="315"/>
    </row>
    <row r="29" spans="1:28" ht="18.75" customHeight="1" x14ac:dyDescent="0.25">
      <c r="A29" s="205" t="s">
        <v>172</v>
      </c>
      <c r="B29" s="233">
        <v>15.739000000000001</v>
      </c>
      <c r="C29" s="234">
        <v>0.83699999999999997</v>
      </c>
      <c r="D29" s="234">
        <v>2.2010000000000001</v>
      </c>
      <c r="E29" s="146">
        <v>12.701000000000001</v>
      </c>
      <c r="F29" s="233">
        <v>15.882</v>
      </c>
      <c r="G29" s="234">
        <v>0.81699999999999995</v>
      </c>
      <c r="H29" s="234">
        <v>2.1960000000000002</v>
      </c>
      <c r="I29" s="146">
        <v>12.87</v>
      </c>
      <c r="J29" s="233"/>
      <c r="K29" s="234">
        <v>15.917</v>
      </c>
      <c r="L29" s="234">
        <v>0.78500000000000003</v>
      </c>
      <c r="M29" s="234">
        <v>2.1850000000000001</v>
      </c>
      <c r="N29" s="234">
        <v>12.948</v>
      </c>
      <c r="O29" s="233">
        <v>15.962999999999999</v>
      </c>
      <c r="P29" s="139">
        <v>0.86</v>
      </c>
      <c r="Q29" s="234">
        <v>2.2490000000000001</v>
      </c>
      <c r="R29" s="234">
        <v>12.853999999999999</v>
      </c>
      <c r="S29" s="215" t="s">
        <v>173</v>
      </c>
      <c r="Y29" s="315"/>
      <c r="Z29" s="315"/>
      <c r="AA29" s="315"/>
      <c r="AB29" s="315"/>
    </row>
    <row r="30" spans="1:28" ht="18.75" customHeight="1" x14ac:dyDescent="0.25">
      <c r="A30" s="205" t="s">
        <v>174</v>
      </c>
      <c r="B30" s="233">
        <v>44.082000000000001</v>
      </c>
      <c r="C30" s="234">
        <v>0.13300000000000001</v>
      </c>
      <c r="D30" s="234">
        <v>5.67</v>
      </c>
      <c r="E30" s="146">
        <v>38.279000000000003</v>
      </c>
      <c r="F30" s="233">
        <v>43.959000000000003</v>
      </c>
      <c r="G30" s="234">
        <v>0.13700000000000001</v>
      </c>
      <c r="H30" s="234">
        <v>6.258</v>
      </c>
      <c r="I30" s="146">
        <v>37.564</v>
      </c>
      <c r="J30" s="233"/>
      <c r="K30" s="234">
        <v>44.21</v>
      </c>
      <c r="L30" s="234">
        <v>0.14399999999999999</v>
      </c>
      <c r="M30" s="234">
        <v>6.35</v>
      </c>
      <c r="N30" s="234">
        <v>37.716000000000001</v>
      </c>
      <c r="O30" s="233">
        <v>43.481999999999999</v>
      </c>
      <c r="P30" s="234">
        <v>0.14899999999999999</v>
      </c>
      <c r="Q30" s="234">
        <v>6.8410000000000002</v>
      </c>
      <c r="R30" s="234">
        <v>36.491999999999997</v>
      </c>
      <c r="S30" s="215" t="s">
        <v>175</v>
      </c>
      <c r="Y30" s="315"/>
      <c r="Z30" s="315"/>
      <c r="AA30" s="315"/>
      <c r="AB30" s="315"/>
    </row>
    <row r="31" spans="1:28" ht="18.75" customHeight="1" x14ac:dyDescent="0.25">
      <c r="A31" s="205" t="s">
        <v>176</v>
      </c>
      <c r="B31" s="235">
        <v>39.985999999999997</v>
      </c>
      <c r="C31" s="139">
        <v>0.18099999999999999</v>
      </c>
      <c r="D31" s="139">
        <v>1.333</v>
      </c>
      <c r="E31" s="268">
        <v>38.470999999999997</v>
      </c>
      <c r="F31" s="235">
        <v>40.328000000000003</v>
      </c>
      <c r="G31" s="139">
        <v>0.33900000000000002</v>
      </c>
      <c r="H31" s="234">
        <v>0.88200000000000001</v>
      </c>
      <c r="I31" s="268">
        <v>39.106000000000002</v>
      </c>
      <c r="J31" s="235"/>
      <c r="K31" s="234">
        <v>41.347000000000001</v>
      </c>
      <c r="L31" s="234">
        <v>8.3000000000000004E-2</v>
      </c>
      <c r="M31" s="234">
        <v>0.81</v>
      </c>
      <c r="N31" s="234">
        <v>40.454000000000001</v>
      </c>
      <c r="O31" s="233">
        <v>44.133000000000003</v>
      </c>
      <c r="P31" s="234">
        <v>0.17699999999999999</v>
      </c>
      <c r="Q31" s="234">
        <v>0.63300000000000001</v>
      </c>
      <c r="R31" s="234">
        <v>43.323</v>
      </c>
      <c r="S31" s="215" t="s">
        <v>177</v>
      </c>
      <c r="Y31" s="315"/>
      <c r="Z31" s="315"/>
      <c r="AA31" s="315"/>
      <c r="AB31" s="315"/>
    </row>
    <row r="32" spans="1:28" ht="18.75" customHeight="1" x14ac:dyDescent="0.25">
      <c r="A32" s="205" t="s">
        <v>306</v>
      </c>
      <c r="B32" s="235">
        <v>33.707999999999998</v>
      </c>
      <c r="C32" s="139">
        <v>6.8000000000000005E-2</v>
      </c>
      <c r="D32" s="139">
        <v>0.82</v>
      </c>
      <c r="E32" s="268">
        <v>32.82</v>
      </c>
      <c r="F32" s="235">
        <v>32.387</v>
      </c>
      <c r="G32" s="139">
        <v>6.6000000000000003E-2</v>
      </c>
      <c r="H32" s="234">
        <v>0.82899999999999996</v>
      </c>
      <c r="I32" s="268">
        <v>31.492000000000001</v>
      </c>
      <c r="J32" s="235"/>
      <c r="K32" s="234">
        <v>32.798000000000002</v>
      </c>
      <c r="L32" s="234">
        <v>6.5000000000000002E-2</v>
      </c>
      <c r="M32" s="234">
        <v>0.89300000000000002</v>
      </c>
      <c r="N32" s="234">
        <v>31.838999999999999</v>
      </c>
      <c r="O32" s="233">
        <v>33.387999999999998</v>
      </c>
      <c r="P32" s="139">
        <v>8.2000000000000003E-2</v>
      </c>
      <c r="Q32" s="234">
        <v>0.98899999999999999</v>
      </c>
      <c r="R32" s="234">
        <v>32.317</v>
      </c>
      <c r="S32" s="215" t="s">
        <v>305</v>
      </c>
      <c r="Y32" s="315"/>
      <c r="Z32" s="315"/>
      <c r="AA32" s="315"/>
      <c r="AB32" s="315"/>
    </row>
    <row r="33" spans="1:28" ht="18.75" customHeight="1" x14ac:dyDescent="0.25">
      <c r="A33" s="205" t="s">
        <v>178</v>
      </c>
      <c r="B33" s="233">
        <v>15.446</v>
      </c>
      <c r="C33" s="234">
        <v>0.88600000000000001</v>
      </c>
      <c r="D33" s="234">
        <v>3.3610000000000002</v>
      </c>
      <c r="E33" s="146">
        <v>11.199</v>
      </c>
      <c r="F33" s="233">
        <v>15.125999999999999</v>
      </c>
      <c r="G33" s="234">
        <v>0.91300000000000003</v>
      </c>
      <c r="H33" s="234">
        <v>3.141</v>
      </c>
      <c r="I33" s="146">
        <v>11.073</v>
      </c>
      <c r="J33" s="233"/>
      <c r="K33" s="234">
        <v>14.957000000000001</v>
      </c>
      <c r="L33" s="234">
        <v>0.96599999999999997</v>
      </c>
      <c r="M33" s="234">
        <v>3.2759999999999998</v>
      </c>
      <c r="N33" s="234">
        <v>10.715</v>
      </c>
      <c r="O33" s="233">
        <v>15.071999999999999</v>
      </c>
      <c r="P33" s="139">
        <v>0.93700000000000006</v>
      </c>
      <c r="Q33" s="234">
        <v>3.39</v>
      </c>
      <c r="R33" s="234">
        <v>10.744</v>
      </c>
      <c r="S33" s="215" t="s">
        <v>179</v>
      </c>
      <c r="Y33" s="315"/>
      <c r="Z33" s="315"/>
      <c r="AA33" s="315"/>
      <c r="AB33" s="315"/>
    </row>
    <row r="34" spans="1:28" ht="18.75" customHeight="1" x14ac:dyDescent="0.25">
      <c r="A34" s="205" t="s">
        <v>180</v>
      </c>
      <c r="B34" s="235">
        <v>46.249000000000002</v>
      </c>
      <c r="C34" s="234">
        <v>1.706</v>
      </c>
      <c r="D34" s="234">
        <v>4.6639999999999997</v>
      </c>
      <c r="E34" s="146">
        <v>39.878999999999998</v>
      </c>
      <c r="F34" s="235">
        <v>47.917999999999999</v>
      </c>
      <c r="G34" s="234">
        <v>1.742</v>
      </c>
      <c r="H34" s="234">
        <v>5.3049999999999997</v>
      </c>
      <c r="I34" s="268">
        <v>40.872</v>
      </c>
      <c r="J34" s="235"/>
      <c r="K34" s="234">
        <v>47.798999999999999</v>
      </c>
      <c r="L34" s="234">
        <v>1.67</v>
      </c>
      <c r="M34" s="234">
        <v>5.085</v>
      </c>
      <c r="N34" s="234">
        <v>41.043999999999997</v>
      </c>
      <c r="O34" s="233">
        <v>48.72</v>
      </c>
      <c r="P34" s="234">
        <v>1.68</v>
      </c>
      <c r="Q34" s="234">
        <v>5.6680000000000001</v>
      </c>
      <c r="R34" s="234">
        <v>41.372</v>
      </c>
      <c r="S34" s="215" t="s">
        <v>181</v>
      </c>
      <c r="Y34" s="315"/>
      <c r="Z34" s="315"/>
      <c r="AA34" s="315"/>
      <c r="AB34" s="315"/>
    </row>
    <row r="35" spans="1:28" ht="18.75" customHeight="1" x14ac:dyDescent="0.25">
      <c r="A35" s="205" t="s">
        <v>182</v>
      </c>
      <c r="B35" s="233">
        <v>18.853999999999999</v>
      </c>
      <c r="C35" s="234">
        <v>1.2370000000000001</v>
      </c>
      <c r="D35" s="234">
        <v>6.0810000000000004</v>
      </c>
      <c r="E35" s="146">
        <v>11.535</v>
      </c>
      <c r="F35" s="233">
        <v>18.920999999999999</v>
      </c>
      <c r="G35" s="234">
        <v>1.27</v>
      </c>
      <c r="H35" s="234">
        <v>6.0640000000000001</v>
      </c>
      <c r="I35" s="146">
        <v>11.587999999999999</v>
      </c>
      <c r="J35" s="233"/>
      <c r="K35" s="234">
        <v>18.617999999999999</v>
      </c>
      <c r="L35" s="234">
        <v>1.4019999999999999</v>
      </c>
      <c r="M35" s="234">
        <v>5.931</v>
      </c>
      <c r="N35" s="234">
        <v>11.286</v>
      </c>
      <c r="O35" s="233">
        <v>18.812000000000001</v>
      </c>
      <c r="P35" s="139">
        <v>1.4139999999999999</v>
      </c>
      <c r="Q35" s="234">
        <v>6.1219999999999999</v>
      </c>
      <c r="R35" s="234">
        <v>11.276</v>
      </c>
      <c r="S35" s="215" t="s">
        <v>183</v>
      </c>
      <c r="Y35" s="315"/>
      <c r="Z35" s="315"/>
      <c r="AA35" s="315"/>
      <c r="AB35" s="315"/>
    </row>
    <row r="36" spans="1:28" ht="18.75" customHeight="1" x14ac:dyDescent="0.25">
      <c r="A36" s="205" t="s">
        <v>184</v>
      </c>
      <c r="B36" s="233">
        <v>19.61</v>
      </c>
      <c r="C36" s="234">
        <v>2.742</v>
      </c>
      <c r="D36" s="234">
        <v>5.008</v>
      </c>
      <c r="E36" s="146">
        <v>11.859</v>
      </c>
      <c r="F36" s="233">
        <v>20.663</v>
      </c>
      <c r="G36" s="234">
        <v>2.7370000000000001</v>
      </c>
      <c r="H36" s="234">
        <v>5.085</v>
      </c>
      <c r="I36" s="146">
        <v>12.840999999999999</v>
      </c>
      <c r="J36" s="233"/>
      <c r="K36" s="234">
        <v>21.58</v>
      </c>
      <c r="L36" s="234">
        <v>2.7440000000000002</v>
      </c>
      <c r="M36" s="234">
        <v>5.0350000000000001</v>
      </c>
      <c r="N36" s="234">
        <v>13.801</v>
      </c>
      <c r="O36" s="233">
        <v>22.605</v>
      </c>
      <c r="P36" s="139">
        <v>2.734</v>
      </c>
      <c r="Q36" s="234">
        <v>5.2610000000000001</v>
      </c>
      <c r="R36" s="234">
        <v>14.61</v>
      </c>
      <c r="S36" s="215" t="s">
        <v>185</v>
      </c>
      <c r="Y36" s="315"/>
      <c r="Z36" s="315"/>
      <c r="AA36" s="315"/>
      <c r="AB36" s="315"/>
    </row>
    <row r="37" spans="1:28" ht="18.75" customHeight="1" x14ac:dyDescent="0.25">
      <c r="A37" s="205" t="s">
        <v>186</v>
      </c>
      <c r="B37" s="233">
        <v>14.977</v>
      </c>
      <c r="C37" s="234">
        <v>0.38300000000000001</v>
      </c>
      <c r="D37" s="234">
        <v>0</v>
      </c>
      <c r="E37" s="146">
        <v>14.593999999999999</v>
      </c>
      <c r="F37" s="233">
        <v>14.711</v>
      </c>
      <c r="G37" s="234">
        <v>0.33300000000000002</v>
      </c>
      <c r="H37" s="234">
        <v>0</v>
      </c>
      <c r="I37" s="146">
        <v>14.379</v>
      </c>
      <c r="J37" s="233"/>
      <c r="K37" s="234">
        <v>14.484999999999999</v>
      </c>
      <c r="L37" s="234">
        <v>0.34300000000000003</v>
      </c>
      <c r="M37" s="234">
        <v>0</v>
      </c>
      <c r="N37" s="234">
        <v>14.143000000000001</v>
      </c>
      <c r="O37" s="233">
        <v>14.621</v>
      </c>
      <c r="P37" s="234">
        <v>0.35</v>
      </c>
      <c r="Q37" s="234">
        <v>0</v>
      </c>
      <c r="R37" s="234">
        <v>14.271000000000001</v>
      </c>
      <c r="S37" s="215" t="s">
        <v>187</v>
      </c>
      <c r="Y37" s="315"/>
      <c r="Z37" s="315"/>
      <c r="AA37" s="315"/>
      <c r="AB37" s="315"/>
    </row>
    <row r="38" spans="1:28" ht="18.75" customHeight="1" x14ac:dyDescent="0.25">
      <c r="A38" s="205" t="s">
        <v>188</v>
      </c>
      <c r="B38" s="233">
        <v>29.341999999999999</v>
      </c>
      <c r="C38" s="234">
        <v>1.6850000000000001</v>
      </c>
      <c r="D38" s="234">
        <v>4.0119999999999996</v>
      </c>
      <c r="E38" s="146">
        <v>23.645</v>
      </c>
      <c r="F38" s="233">
        <v>29.341000000000001</v>
      </c>
      <c r="G38" s="234">
        <v>1.6850000000000001</v>
      </c>
      <c r="H38" s="234">
        <v>4.5309999999999997</v>
      </c>
      <c r="I38" s="146">
        <v>23.126000000000001</v>
      </c>
      <c r="J38" s="233"/>
      <c r="K38" s="234">
        <v>30.256</v>
      </c>
      <c r="L38" s="234">
        <v>2.2250000000000001</v>
      </c>
      <c r="M38" s="234">
        <v>4.9939999999999998</v>
      </c>
      <c r="N38" s="234">
        <v>23.036999999999999</v>
      </c>
      <c r="O38" s="233">
        <v>30.678999999999998</v>
      </c>
      <c r="P38" s="139">
        <v>2.4889999999999999</v>
      </c>
      <c r="Q38" s="234">
        <v>5.3710000000000004</v>
      </c>
      <c r="R38" s="234">
        <v>22.818999999999999</v>
      </c>
      <c r="S38" s="215" t="s">
        <v>189</v>
      </c>
      <c r="Y38" s="315"/>
      <c r="Z38" s="315"/>
      <c r="AA38" s="315"/>
      <c r="AB38" s="315"/>
    </row>
    <row r="39" spans="1:28" ht="18.75" customHeight="1" x14ac:dyDescent="0.25">
      <c r="A39" s="205" t="s">
        <v>190</v>
      </c>
      <c r="B39" s="233">
        <v>37.655000000000001</v>
      </c>
      <c r="C39" s="234">
        <v>0.90300000000000002</v>
      </c>
      <c r="D39" s="234">
        <v>7.9580000000000002</v>
      </c>
      <c r="E39" s="146">
        <v>28.794</v>
      </c>
      <c r="F39" s="233">
        <v>38.200000000000003</v>
      </c>
      <c r="G39" s="234">
        <v>0.88700000000000001</v>
      </c>
      <c r="H39" s="234">
        <v>7.9770000000000003</v>
      </c>
      <c r="I39" s="146">
        <v>29.335000000000001</v>
      </c>
      <c r="J39" s="233"/>
      <c r="K39" s="234">
        <v>38.270000000000003</v>
      </c>
      <c r="L39" s="234">
        <v>0.92299999999999993</v>
      </c>
      <c r="M39" s="234">
        <v>7.8120000000000003</v>
      </c>
      <c r="N39" s="234">
        <v>29.535</v>
      </c>
      <c r="O39" s="233">
        <v>38.335999999999999</v>
      </c>
      <c r="P39" s="234">
        <v>0.91799999999999993</v>
      </c>
      <c r="Q39" s="234">
        <v>7.9870000000000001</v>
      </c>
      <c r="R39" s="234">
        <v>29.431999999999999</v>
      </c>
      <c r="S39" s="215" t="s">
        <v>191</v>
      </c>
      <c r="Y39" s="315"/>
      <c r="Z39" s="315"/>
      <c r="AA39" s="315"/>
      <c r="AB39" s="315"/>
    </row>
    <row r="40" spans="1:28" ht="18.75" customHeight="1" x14ac:dyDescent="0.25">
      <c r="A40" s="205" t="s">
        <v>498</v>
      </c>
      <c r="B40" s="233">
        <f>C40+D40+E40</f>
        <v>52.625928187259504</v>
      </c>
      <c r="C40" s="234">
        <v>14.090047992833977</v>
      </c>
      <c r="D40" s="234">
        <v>2.3367643815569026</v>
      </c>
      <c r="E40" s="146">
        <v>36.199115812868627</v>
      </c>
      <c r="F40" s="233">
        <f>G40+H40+I40</f>
        <v>49.437541725205946</v>
      </c>
      <c r="G40" s="234">
        <v>13.823635565205954</v>
      </c>
      <c r="H40" s="234">
        <v>2.3138772699999999</v>
      </c>
      <c r="I40" s="146">
        <v>33.300028889999993</v>
      </c>
      <c r="J40" s="233"/>
      <c r="K40" s="234">
        <v>47.838443099999999</v>
      </c>
      <c r="L40" s="234">
        <v>12.591981729999999</v>
      </c>
      <c r="M40" s="234">
        <v>2.1603431699999995</v>
      </c>
      <c r="N40" s="234">
        <v>33.086118200000001</v>
      </c>
      <c r="O40" s="233">
        <v>47.803007559999998</v>
      </c>
      <c r="P40" s="234">
        <v>13.1453536</v>
      </c>
      <c r="Q40" s="234">
        <v>2.0341434999999999</v>
      </c>
      <c r="R40" s="234">
        <v>32.623510459999999</v>
      </c>
      <c r="S40" s="215" t="s">
        <v>499</v>
      </c>
    </row>
    <row r="41" spans="1:28" ht="18.75" customHeight="1" x14ac:dyDescent="0.25">
      <c r="A41" s="205" t="s">
        <v>192</v>
      </c>
      <c r="B41" s="233">
        <v>25.795000000000002</v>
      </c>
      <c r="C41" s="234">
        <v>2.4729999999999999</v>
      </c>
      <c r="D41" s="234">
        <v>0</v>
      </c>
      <c r="E41" s="146">
        <v>23.321999999999999</v>
      </c>
      <c r="F41" s="233">
        <v>19.773</v>
      </c>
      <c r="G41" s="234">
        <v>1.7650000000000001</v>
      </c>
      <c r="H41" s="234">
        <v>0</v>
      </c>
      <c r="I41" s="146">
        <v>18.007999999999999</v>
      </c>
      <c r="J41" s="233"/>
      <c r="K41" s="234">
        <v>20.283999999999999</v>
      </c>
      <c r="L41" s="234">
        <v>1.84</v>
      </c>
      <c r="M41" s="234">
        <v>0</v>
      </c>
      <c r="N41" s="234">
        <v>18.443999999999999</v>
      </c>
      <c r="O41" s="233">
        <v>19.64</v>
      </c>
      <c r="P41" s="139">
        <v>1.446</v>
      </c>
      <c r="Q41" s="234">
        <v>0</v>
      </c>
      <c r="R41" s="234">
        <v>18.193999999999999</v>
      </c>
      <c r="S41" s="215" t="s">
        <v>193</v>
      </c>
      <c r="Y41" s="315"/>
      <c r="Z41" s="315"/>
      <c r="AA41" s="315"/>
      <c r="AB41" s="315"/>
    </row>
    <row r="42" spans="1:28" ht="18.75" customHeight="1" x14ac:dyDescent="0.25">
      <c r="A42" s="205" t="s">
        <v>194</v>
      </c>
      <c r="B42" s="235">
        <v>28.625</v>
      </c>
      <c r="C42" s="139">
        <v>1.175</v>
      </c>
      <c r="D42" s="139">
        <v>14.994999999999999</v>
      </c>
      <c r="E42" s="268">
        <v>12.455</v>
      </c>
      <c r="F42" s="235">
        <v>28.885999999999999</v>
      </c>
      <c r="G42" s="139">
        <v>1.165</v>
      </c>
      <c r="H42" s="234">
        <v>14.738</v>
      </c>
      <c r="I42" s="268">
        <v>12.983000000000001</v>
      </c>
      <c r="J42" s="235"/>
      <c r="K42" s="234">
        <v>28.193999999999999</v>
      </c>
      <c r="L42" s="234">
        <v>1.282</v>
      </c>
      <c r="M42" s="234">
        <v>14.441000000000001</v>
      </c>
      <c r="N42" s="234">
        <v>12.471</v>
      </c>
      <c r="O42" s="233">
        <v>27.271999999999998</v>
      </c>
      <c r="P42" s="139">
        <v>1.278</v>
      </c>
      <c r="Q42" s="234">
        <v>14.013</v>
      </c>
      <c r="R42" s="234">
        <v>11.981</v>
      </c>
      <c r="S42" s="215" t="s">
        <v>195</v>
      </c>
      <c r="Y42" s="315"/>
      <c r="Z42" s="315"/>
      <c r="AA42" s="315"/>
      <c r="AB42" s="315"/>
    </row>
    <row r="43" spans="1:28" ht="18.75" customHeight="1" x14ac:dyDescent="0.25">
      <c r="A43" s="205" t="s">
        <v>196</v>
      </c>
      <c r="B43" s="233">
        <v>29.882999999999999</v>
      </c>
      <c r="C43" s="234">
        <v>0.35599999999999998</v>
      </c>
      <c r="D43" s="234">
        <v>5.2869999999999999</v>
      </c>
      <c r="E43" s="146">
        <v>24.24</v>
      </c>
      <c r="F43" s="233">
        <v>30.651</v>
      </c>
      <c r="G43" s="234">
        <v>0.35899999999999999</v>
      </c>
      <c r="H43" s="234">
        <v>5.6390000000000002</v>
      </c>
      <c r="I43" s="146">
        <v>24.652999999999999</v>
      </c>
      <c r="J43" s="233"/>
      <c r="K43" s="234">
        <v>29.669</v>
      </c>
      <c r="L43" s="234">
        <v>0.34599999999999997</v>
      </c>
      <c r="M43" s="234">
        <v>5.45</v>
      </c>
      <c r="N43" s="234">
        <v>23.873000000000001</v>
      </c>
      <c r="O43" s="233">
        <v>29.494</v>
      </c>
      <c r="P43" s="234">
        <v>0.35099999999999998</v>
      </c>
      <c r="Q43" s="234">
        <v>5.5259999999999998</v>
      </c>
      <c r="R43" s="234">
        <v>23.617000000000001</v>
      </c>
      <c r="S43" s="215" t="s">
        <v>197</v>
      </c>
      <c r="Y43" s="315"/>
      <c r="Z43" s="315"/>
      <c r="AA43" s="315"/>
      <c r="AB43" s="315"/>
    </row>
    <row r="44" spans="1:28" ht="18.75" customHeight="1" x14ac:dyDescent="0.25">
      <c r="A44" s="205" t="s">
        <v>198</v>
      </c>
      <c r="B44" s="233">
        <v>15.974</v>
      </c>
      <c r="C44" s="234">
        <v>0.48799999999999999</v>
      </c>
      <c r="D44" s="234">
        <v>0.55800000000000005</v>
      </c>
      <c r="E44" s="146">
        <v>14.928000000000001</v>
      </c>
      <c r="F44" s="233">
        <v>15.991</v>
      </c>
      <c r="G44" s="234">
        <v>0.49399999999999999</v>
      </c>
      <c r="H44" s="234">
        <v>0.55500000000000005</v>
      </c>
      <c r="I44" s="146">
        <v>14.943</v>
      </c>
      <c r="J44" s="233"/>
      <c r="K44" s="234">
        <v>16.192</v>
      </c>
      <c r="L44" s="234">
        <v>0.58099999999999996</v>
      </c>
      <c r="M44" s="234">
        <v>0.57999999999999996</v>
      </c>
      <c r="N44" s="234">
        <v>15.032</v>
      </c>
      <c r="O44" s="233">
        <v>15.919</v>
      </c>
      <c r="P44" s="234">
        <v>0.65799999999999992</v>
      </c>
      <c r="Q44" s="234">
        <v>0.627</v>
      </c>
      <c r="R44" s="234">
        <v>14.632999999999999</v>
      </c>
      <c r="S44" s="215" t="s">
        <v>199</v>
      </c>
      <c r="Y44" s="315"/>
      <c r="Z44" s="315"/>
      <c r="AA44" s="315"/>
      <c r="AB44" s="315"/>
    </row>
    <row r="45" spans="1:28" ht="18.75" customHeight="1" x14ac:dyDescent="0.25">
      <c r="A45" s="205" t="s">
        <v>200</v>
      </c>
      <c r="B45" s="233">
        <v>31.83</v>
      </c>
      <c r="C45" s="234">
        <v>2.109</v>
      </c>
      <c r="D45" s="234">
        <v>6.95</v>
      </c>
      <c r="E45" s="146">
        <v>22.771000000000001</v>
      </c>
      <c r="F45" s="233">
        <v>31.495999999999999</v>
      </c>
      <c r="G45" s="234">
        <v>1.923</v>
      </c>
      <c r="H45" s="234">
        <v>6.9589999999999996</v>
      </c>
      <c r="I45" s="146">
        <v>22.614000000000001</v>
      </c>
      <c r="J45" s="233"/>
      <c r="K45" s="234">
        <v>31.053999999999998</v>
      </c>
      <c r="L45" s="234">
        <v>2.0099999999999998</v>
      </c>
      <c r="M45" s="234">
        <v>6.9980000000000002</v>
      </c>
      <c r="N45" s="234">
        <v>22.045999999999999</v>
      </c>
      <c r="O45" s="233">
        <v>30.248000000000001</v>
      </c>
      <c r="P45" s="139">
        <v>1.853</v>
      </c>
      <c r="Q45" s="234">
        <v>7.1219999999999999</v>
      </c>
      <c r="R45" s="234">
        <v>21.271999999999998</v>
      </c>
      <c r="S45" s="215" t="s">
        <v>201</v>
      </c>
      <c r="Y45" s="315"/>
      <c r="Z45" s="315"/>
      <c r="AA45" s="315"/>
      <c r="AB45" s="315"/>
    </row>
    <row r="46" spans="1:28" ht="18.75" customHeight="1" x14ac:dyDescent="0.25">
      <c r="A46" s="205" t="s">
        <v>202</v>
      </c>
      <c r="B46" s="233">
        <v>21.65</v>
      </c>
      <c r="C46" s="234">
        <v>4.7229999999999999</v>
      </c>
      <c r="D46" s="234">
        <v>0</v>
      </c>
      <c r="E46" s="146">
        <v>16.927</v>
      </c>
      <c r="F46" s="233">
        <v>22.395</v>
      </c>
      <c r="G46" s="234" t="s">
        <v>604</v>
      </c>
      <c r="H46" s="234" t="s">
        <v>604</v>
      </c>
      <c r="I46" s="146">
        <v>17.725000000000001</v>
      </c>
      <c r="J46" s="233"/>
      <c r="K46" s="234">
        <v>21.866</v>
      </c>
      <c r="L46" s="234" t="s">
        <v>604</v>
      </c>
      <c r="M46" s="234" t="s">
        <v>604</v>
      </c>
      <c r="N46" s="234">
        <v>16.948</v>
      </c>
      <c r="O46" s="233">
        <v>21.558</v>
      </c>
      <c r="P46" s="234" t="s">
        <v>604</v>
      </c>
      <c r="Q46" s="234" t="s">
        <v>604</v>
      </c>
      <c r="R46" s="234">
        <v>16.466000000000001</v>
      </c>
      <c r="S46" s="215" t="s">
        <v>401</v>
      </c>
      <c r="Y46" s="315"/>
      <c r="Z46" s="315"/>
      <c r="AA46" s="315"/>
      <c r="AB46" s="315"/>
    </row>
    <row r="47" spans="1:28" ht="18.75" customHeight="1" x14ac:dyDescent="0.25">
      <c r="A47" s="205" t="s">
        <v>203</v>
      </c>
      <c r="B47" s="233">
        <v>21.093</v>
      </c>
      <c r="C47" s="234">
        <v>1.931</v>
      </c>
      <c r="D47" s="234">
        <v>3.403</v>
      </c>
      <c r="E47" s="146">
        <v>15.759</v>
      </c>
      <c r="F47" s="233">
        <v>20.989000000000001</v>
      </c>
      <c r="G47" s="234">
        <v>1.8839999999999999</v>
      </c>
      <c r="H47" s="234">
        <v>3.3610000000000002</v>
      </c>
      <c r="I47" s="146">
        <v>15.744</v>
      </c>
      <c r="J47" s="233"/>
      <c r="K47" s="234">
        <v>21.071000000000002</v>
      </c>
      <c r="L47" s="234">
        <v>1.9809999999999999</v>
      </c>
      <c r="M47" s="234">
        <v>3.2250000000000001</v>
      </c>
      <c r="N47" s="234">
        <v>15.866</v>
      </c>
      <c r="O47" s="233">
        <v>20.561</v>
      </c>
      <c r="P47" s="234">
        <v>2.1120000000000001</v>
      </c>
      <c r="Q47" s="234">
        <v>2.7690000000000001</v>
      </c>
      <c r="R47" s="234">
        <v>15.68</v>
      </c>
      <c r="S47" s="215" t="s">
        <v>204</v>
      </c>
      <c r="Y47" s="315"/>
      <c r="Z47" s="315"/>
      <c r="AA47" s="315"/>
      <c r="AB47" s="315"/>
    </row>
    <row r="48" spans="1:28" ht="18.75" customHeight="1" x14ac:dyDescent="0.25">
      <c r="A48" s="206" t="s">
        <v>205</v>
      </c>
      <c r="B48" s="236">
        <v>50.564999999999998</v>
      </c>
      <c r="C48" s="140">
        <f>B48-D48-E48</f>
        <v>37.221999999999994</v>
      </c>
      <c r="D48" s="140">
        <v>1.06</v>
      </c>
      <c r="E48" s="273">
        <v>12.282999999999999</v>
      </c>
      <c r="F48" s="236">
        <v>17.423999999999999</v>
      </c>
      <c r="G48" s="140">
        <f>F48-H48-I48</f>
        <v>4.4499999999999975</v>
      </c>
      <c r="H48" s="140">
        <v>0.998</v>
      </c>
      <c r="I48" s="273">
        <v>11.976000000000001</v>
      </c>
      <c r="J48" s="235"/>
      <c r="K48" s="140">
        <v>17.091000000000001</v>
      </c>
      <c r="L48" s="140">
        <f>K48-M48-N48</f>
        <v>4.354000000000001</v>
      </c>
      <c r="M48" s="140">
        <v>0.98299999999999998</v>
      </c>
      <c r="N48" s="140">
        <v>11.754</v>
      </c>
      <c r="O48" s="236">
        <v>17.161000000000001</v>
      </c>
      <c r="P48" s="140">
        <f>O48-Q48-R48</f>
        <v>4.5770000000000035</v>
      </c>
      <c r="Q48" s="140">
        <v>0.95799999999999996</v>
      </c>
      <c r="R48" s="140">
        <v>11.625999999999999</v>
      </c>
      <c r="S48" s="216" t="s">
        <v>206</v>
      </c>
      <c r="Y48" s="315"/>
      <c r="Z48" s="315"/>
      <c r="AA48" s="315"/>
      <c r="AB48" s="315"/>
    </row>
    <row r="49" spans="1:26" s="227" customFormat="1" ht="14.1" customHeight="1" x14ac:dyDescent="0.2">
      <c r="A49" s="775" t="s">
        <v>625</v>
      </c>
      <c r="B49" s="776"/>
      <c r="C49" s="776"/>
      <c r="D49" s="776"/>
      <c r="E49" s="776"/>
      <c r="F49" s="776"/>
      <c r="G49" s="776"/>
      <c r="H49" s="776"/>
      <c r="I49" s="776"/>
      <c r="J49" s="297"/>
      <c r="K49" s="746" t="s">
        <v>621</v>
      </c>
      <c r="L49" s="746"/>
      <c r="M49" s="746"/>
      <c r="N49" s="746"/>
      <c r="O49" s="746"/>
      <c r="P49" s="746"/>
      <c r="Q49" s="746"/>
      <c r="R49" s="746"/>
      <c r="S49" s="746"/>
      <c r="T49" s="319"/>
    </row>
    <row r="50" spans="1:26" s="203" customFormat="1" ht="12" customHeight="1" x14ac:dyDescent="0.2">
      <c r="A50" s="774" t="s">
        <v>597</v>
      </c>
      <c r="B50" s="774"/>
      <c r="C50" s="774"/>
      <c r="D50" s="774"/>
      <c r="E50" s="774"/>
      <c r="F50" s="774"/>
      <c r="G50" s="774"/>
      <c r="H50" s="774"/>
      <c r="I50" s="774"/>
      <c r="J50" s="282"/>
      <c r="K50" s="267" t="s">
        <v>598</v>
      </c>
      <c r="L50" s="14"/>
      <c r="M50" s="267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s="203" customFormat="1" ht="12" customHeight="1" x14ac:dyDescent="0.2">
      <c r="A51" s="774"/>
      <c r="B51" s="774"/>
      <c r="C51" s="774"/>
      <c r="D51" s="774"/>
      <c r="E51" s="774"/>
      <c r="F51" s="774"/>
      <c r="G51" s="774"/>
      <c r="H51" s="774"/>
      <c r="I51" s="774"/>
      <c r="J51" s="282"/>
      <c r="K51" s="41"/>
      <c r="L51" s="41"/>
    </row>
    <row r="52" spans="1:26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</sheetData>
  <mergeCells count="40">
    <mergeCell ref="A50:I50"/>
    <mergeCell ref="A51:I51"/>
    <mergeCell ref="P6:P7"/>
    <mergeCell ref="Q6:Q7"/>
    <mergeCell ref="A49:I49"/>
    <mergeCell ref="K49:S49"/>
    <mergeCell ref="E6:E7"/>
    <mergeCell ref="C6:C7"/>
    <mergeCell ref="G6:G7"/>
    <mergeCell ref="H6:H7"/>
    <mergeCell ref="L6:L7"/>
    <mergeCell ref="M6:M7"/>
    <mergeCell ref="K5:K7"/>
    <mergeCell ref="L5:N5"/>
    <mergeCell ref="N6:N7"/>
    <mergeCell ref="H9:I9"/>
    <mergeCell ref="A1:I1"/>
    <mergeCell ref="K1:S1"/>
    <mergeCell ref="A3:A8"/>
    <mergeCell ref="B3:E3"/>
    <mergeCell ref="B4:E4"/>
    <mergeCell ref="D6:D7"/>
    <mergeCell ref="F3:I3"/>
    <mergeCell ref="F4:I4"/>
    <mergeCell ref="G5:I5"/>
    <mergeCell ref="I6:I7"/>
    <mergeCell ref="B5:B7"/>
    <mergeCell ref="C5:E5"/>
    <mergeCell ref="F5:F7"/>
    <mergeCell ref="S3:S8"/>
    <mergeCell ref="K3:N3"/>
    <mergeCell ref="K4:N4"/>
    <mergeCell ref="D9:E9"/>
    <mergeCell ref="M9:N9"/>
    <mergeCell ref="Q9:R9"/>
    <mergeCell ref="O3:R3"/>
    <mergeCell ref="O4:R4"/>
    <mergeCell ref="O5:O7"/>
    <mergeCell ref="P5:R5"/>
    <mergeCell ref="R6:R7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827B-BB81-4ECD-AB08-BDACAB511650}">
  <sheetPr>
    <tabColor theme="9"/>
  </sheetPr>
  <dimension ref="A1:AB52"/>
  <sheetViews>
    <sheetView view="pageBreakPreview" zoomScale="70" zoomScaleNormal="85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Q9" sqref="Q9:R9"/>
    </sheetView>
  </sheetViews>
  <sheetFormatPr defaultColWidth="9" defaultRowHeight="15.75" x14ac:dyDescent="0.25"/>
  <cols>
    <col min="1" max="1" width="12" style="21" customWidth="1"/>
    <col min="2" max="2" width="13.25" style="21" customWidth="1"/>
    <col min="3" max="3" width="14.125" style="21" customWidth="1"/>
    <col min="4" max="5" width="11.375" style="21" customWidth="1"/>
    <col min="6" max="6" width="13.25" style="21" customWidth="1"/>
    <col min="7" max="7" width="15" style="21" customWidth="1"/>
    <col min="8" max="9" width="11.375" style="21" customWidth="1"/>
    <col min="10" max="10" width="0.5" style="21" customWidth="1"/>
    <col min="11" max="11" width="13.25" style="21" customWidth="1"/>
    <col min="12" max="12" width="15.125" style="21" customWidth="1"/>
    <col min="13" max="14" width="11.375" style="21" customWidth="1"/>
    <col min="15" max="15" width="13.25" style="21" customWidth="1"/>
    <col min="16" max="16" width="15.625" style="21" customWidth="1"/>
    <col min="17" max="18" width="11.375" style="21" customWidth="1"/>
    <col min="19" max="19" width="11.875" style="21" customWidth="1"/>
    <col min="20" max="16384" width="9" style="21"/>
  </cols>
  <sheetData>
    <row r="1" spans="1:28" ht="23.45" customHeight="1" x14ac:dyDescent="0.25">
      <c r="A1" s="773" t="s">
        <v>644</v>
      </c>
      <c r="B1" s="773"/>
      <c r="C1" s="773"/>
      <c r="D1" s="773"/>
      <c r="E1" s="773"/>
      <c r="F1" s="773"/>
      <c r="G1" s="773"/>
      <c r="H1" s="773"/>
      <c r="I1" s="773"/>
      <c r="J1" s="281"/>
      <c r="K1" s="761" t="s">
        <v>645</v>
      </c>
      <c r="L1" s="761"/>
      <c r="M1" s="761"/>
      <c r="N1" s="761"/>
      <c r="O1" s="761"/>
      <c r="P1" s="761"/>
      <c r="Q1" s="761"/>
      <c r="R1" s="761"/>
      <c r="S1" s="761"/>
      <c r="T1" s="261"/>
    </row>
    <row r="2" spans="1:28" ht="16.149999999999999" customHeight="1" x14ac:dyDescent="0.25">
      <c r="A2" s="47" t="s">
        <v>208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0"/>
      <c r="M2" s="49"/>
      <c r="N2" s="50"/>
      <c r="O2" s="50"/>
      <c r="P2" s="50"/>
      <c r="Q2" s="50"/>
      <c r="R2" s="49"/>
      <c r="S2" s="50" t="s">
        <v>209</v>
      </c>
    </row>
    <row r="3" spans="1:28" s="22" customFormat="1" ht="15.6" customHeight="1" x14ac:dyDescent="0.25">
      <c r="A3" s="762" t="s">
        <v>469</v>
      </c>
      <c r="B3" s="765" t="s">
        <v>490</v>
      </c>
      <c r="C3" s="766"/>
      <c r="D3" s="766"/>
      <c r="E3" s="767"/>
      <c r="F3" s="765" t="s">
        <v>491</v>
      </c>
      <c r="G3" s="766"/>
      <c r="H3" s="766"/>
      <c r="I3" s="767"/>
      <c r="J3" s="290"/>
      <c r="K3" s="766" t="s">
        <v>492</v>
      </c>
      <c r="L3" s="766"/>
      <c r="M3" s="766"/>
      <c r="N3" s="766"/>
      <c r="O3" s="765" t="s">
        <v>493</v>
      </c>
      <c r="P3" s="766"/>
      <c r="Q3" s="766"/>
      <c r="R3" s="766"/>
      <c r="S3" s="768" t="s">
        <v>470</v>
      </c>
    </row>
    <row r="4" spans="1:28" ht="14.45" customHeight="1" x14ac:dyDescent="0.25">
      <c r="A4" s="763"/>
      <c r="B4" s="756">
        <v>2017</v>
      </c>
      <c r="C4" s="757"/>
      <c r="D4" s="757"/>
      <c r="E4" s="758"/>
      <c r="F4" s="756">
        <v>2018</v>
      </c>
      <c r="G4" s="757"/>
      <c r="H4" s="757"/>
      <c r="I4" s="758"/>
      <c r="J4" s="290"/>
      <c r="K4" s="757">
        <v>2019</v>
      </c>
      <c r="L4" s="757"/>
      <c r="M4" s="757"/>
      <c r="N4" s="757"/>
      <c r="O4" s="756">
        <v>2020</v>
      </c>
      <c r="P4" s="757"/>
      <c r="Q4" s="757"/>
      <c r="R4" s="757"/>
      <c r="S4" s="769"/>
    </row>
    <row r="5" spans="1:28" ht="15" customHeight="1" x14ac:dyDescent="0.25">
      <c r="A5" s="763"/>
      <c r="B5" s="733" t="s">
        <v>590</v>
      </c>
      <c r="C5" s="740"/>
      <c r="D5" s="740"/>
      <c r="E5" s="741"/>
      <c r="F5" s="733" t="s">
        <v>590</v>
      </c>
      <c r="G5" s="740"/>
      <c r="H5" s="740"/>
      <c r="I5" s="741"/>
      <c r="J5" s="291"/>
      <c r="K5" s="742" t="s">
        <v>590</v>
      </c>
      <c r="L5" s="740"/>
      <c r="M5" s="740"/>
      <c r="N5" s="740"/>
      <c r="O5" s="733" t="s">
        <v>590</v>
      </c>
      <c r="P5" s="740"/>
      <c r="Q5" s="740"/>
      <c r="R5" s="740"/>
      <c r="S5" s="769"/>
    </row>
    <row r="6" spans="1:28" ht="16.5" customHeight="1" x14ac:dyDescent="0.25">
      <c r="A6" s="763"/>
      <c r="B6" s="750"/>
      <c r="C6" s="753" t="s">
        <v>596</v>
      </c>
      <c r="D6" s="751" t="s">
        <v>592</v>
      </c>
      <c r="E6" s="751" t="s">
        <v>571</v>
      </c>
      <c r="F6" s="750"/>
      <c r="G6" s="753" t="s">
        <v>596</v>
      </c>
      <c r="H6" s="751" t="s">
        <v>592</v>
      </c>
      <c r="I6" s="751" t="s">
        <v>571</v>
      </c>
      <c r="J6" s="296"/>
      <c r="K6" s="755"/>
      <c r="L6" s="753" t="s">
        <v>596</v>
      </c>
      <c r="M6" s="751" t="s">
        <v>592</v>
      </c>
      <c r="N6" s="751" t="s">
        <v>571</v>
      </c>
      <c r="O6" s="750"/>
      <c r="P6" s="753" t="s">
        <v>596</v>
      </c>
      <c r="Q6" s="751" t="s">
        <v>592</v>
      </c>
      <c r="R6" s="751" t="s">
        <v>571</v>
      </c>
      <c r="S6" s="769"/>
    </row>
    <row r="7" spans="1:28" ht="29.25" customHeight="1" x14ac:dyDescent="0.25">
      <c r="A7" s="763"/>
      <c r="B7" s="750"/>
      <c r="C7" s="754"/>
      <c r="D7" s="752"/>
      <c r="E7" s="752"/>
      <c r="F7" s="750"/>
      <c r="G7" s="754"/>
      <c r="H7" s="752"/>
      <c r="I7" s="752"/>
      <c r="J7" s="296"/>
      <c r="K7" s="755"/>
      <c r="L7" s="754"/>
      <c r="M7" s="752"/>
      <c r="N7" s="752"/>
      <c r="O7" s="750"/>
      <c r="P7" s="754"/>
      <c r="Q7" s="752"/>
      <c r="R7" s="752"/>
      <c r="S7" s="769"/>
    </row>
    <row r="8" spans="1:28" ht="46.5" customHeight="1" x14ac:dyDescent="0.25">
      <c r="A8" s="764"/>
      <c r="B8" s="260" t="s">
        <v>591</v>
      </c>
      <c r="C8" s="260" t="s">
        <v>594</v>
      </c>
      <c r="D8" s="260" t="s">
        <v>593</v>
      </c>
      <c r="E8" s="260" t="s">
        <v>595</v>
      </c>
      <c r="F8" s="260" t="s">
        <v>591</v>
      </c>
      <c r="G8" s="260" t="s">
        <v>594</v>
      </c>
      <c r="H8" s="260" t="s">
        <v>593</v>
      </c>
      <c r="I8" s="260" t="s">
        <v>595</v>
      </c>
      <c r="J8" s="293"/>
      <c r="K8" s="288" t="s">
        <v>591</v>
      </c>
      <c r="L8" s="260" t="s">
        <v>594</v>
      </c>
      <c r="M8" s="260" t="s">
        <v>593</v>
      </c>
      <c r="N8" s="260" t="s">
        <v>595</v>
      </c>
      <c r="O8" s="260" t="s">
        <v>591</v>
      </c>
      <c r="P8" s="260" t="s">
        <v>594</v>
      </c>
      <c r="Q8" s="260" t="s">
        <v>593</v>
      </c>
      <c r="R8" s="260" t="s">
        <v>595</v>
      </c>
      <c r="S8" s="770"/>
    </row>
    <row r="9" spans="1:28" ht="18.75" customHeight="1" x14ac:dyDescent="0.25">
      <c r="A9" s="204" t="s">
        <v>136</v>
      </c>
      <c r="B9" s="233">
        <v>41.23</v>
      </c>
      <c r="C9" s="234">
        <v>0.11</v>
      </c>
      <c r="D9" s="791" t="s">
        <v>628</v>
      </c>
      <c r="E9" s="792"/>
      <c r="F9" s="233">
        <v>41.17</v>
      </c>
      <c r="G9" s="234">
        <v>0.11</v>
      </c>
      <c r="H9" s="791" t="s">
        <v>628</v>
      </c>
      <c r="I9" s="792"/>
      <c r="J9" s="299"/>
      <c r="K9" s="269">
        <v>41.45</v>
      </c>
      <c r="L9" s="270">
        <v>0.11</v>
      </c>
      <c r="M9" s="791" t="s">
        <v>629</v>
      </c>
      <c r="N9" s="792"/>
      <c r="O9" s="271">
        <v>40.53</v>
      </c>
      <c r="P9" s="269">
        <v>0.11</v>
      </c>
      <c r="Q9" s="791" t="s">
        <v>630</v>
      </c>
      <c r="R9" s="792"/>
      <c r="S9" s="215" t="s">
        <v>137</v>
      </c>
    </row>
    <row r="10" spans="1:28" ht="18.75" customHeight="1" x14ac:dyDescent="0.25">
      <c r="A10" s="205" t="s">
        <v>138</v>
      </c>
      <c r="B10" s="233">
        <v>30.707000000000001</v>
      </c>
      <c r="C10" s="234">
        <v>2.3109999999999999</v>
      </c>
      <c r="D10" s="234">
        <v>12.082000000000001</v>
      </c>
      <c r="E10" s="146">
        <v>16.312999999999999</v>
      </c>
      <c r="F10" s="233">
        <v>30.655999999999999</v>
      </c>
      <c r="G10" s="234">
        <v>2.3890000000000002</v>
      </c>
      <c r="H10" s="234">
        <v>11.785</v>
      </c>
      <c r="I10" s="146">
        <v>16.483000000000001</v>
      </c>
      <c r="J10" s="233"/>
      <c r="K10" s="234">
        <v>28.331</v>
      </c>
      <c r="L10" s="234">
        <v>2.1319999999999997</v>
      </c>
      <c r="M10" s="234">
        <v>11.183</v>
      </c>
      <c r="N10" s="234">
        <v>15.016</v>
      </c>
      <c r="O10" s="233">
        <v>28.352</v>
      </c>
      <c r="P10" s="234">
        <v>2.2439999999999998</v>
      </c>
      <c r="Q10" s="234">
        <v>10.872</v>
      </c>
      <c r="R10" s="234">
        <v>15.234999999999999</v>
      </c>
      <c r="S10" s="215" t="s">
        <v>139</v>
      </c>
      <c r="Y10" s="315"/>
      <c r="Z10" s="315"/>
      <c r="AA10" s="315"/>
      <c r="AB10" s="315"/>
    </row>
    <row r="11" spans="1:28" ht="18.75" customHeight="1" x14ac:dyDescent="0.25">
      <c r="A11" s="205" t="s">
        <v>140</v>
      </c>
      <c r="B11" s="233">
        <v>26.803999999999998</v>
      </c>
      <c r="C11" s="234">
        <v>1.6619999999999999</v>
      </c>
      <c r="D11" s="234">
        <v>5.032</v>
      </c>
      <c r="E11" s="146">
        <v>20.11</v>
      </c>
      <c r="F11" s="233">
        <v>26.050999999999998</v>
      </c>
      <c r="G11" s="234">
        <v>1.6960000000000002</v>
      </c>
      <c r="H11" s="234">
        <v>5.0629999999999997</v>
      </c>
      <c r="I11" s="146">
        <v>19.292999999999999</v>
      </c>
      <c r="J11" s="233"/>
      <c r="K11" s="234">
        <v>25.593</v>
      </c>
      <c r="L11" s="234">
        <v>1.7330000000000001</v>
      </c>
      <c r="M11" s="234">
        <v>5.101</v>
      </c>
      <c r="N11" s="234">
        <v>18.759</v>
      </c>
      <c r="O11" s="233">
        <v>23.594000000000001</v>
      </c>
      <c r="P11" s="234">
        <v>1.8</v>
      </c>
      <c r="Q11" s="234">
        <v>4.6189999999999998</v>
      </c>
      <c r="R11" s="234">
        <v>17.173999999999999</v>
      </c>
      <c r="S11" s="215" t="s">
        <v>141</v>
      </c>
      <c r="Y11" s="315"/>
      <c r="Z11" s="315"/>
      <c r="AA11" s="315"/>
      <c r="AB11" s="315"/>
    </row>
    <row r="12" spans="1:28" ht="18.75" customHeight="1" x14ac:dyDescent="0.25">
      <c r="A12" s="205" t="s">
        <v>142</v>
      </c>
      <c r="B12" s="233">
        <v>24.042000000000002</v>
      </c>
      <c r="C12" s="234">
        <v>0.13500000000000001</v>
      </c>
      <c r="D12" s="234">
        <v>4.782</v>
      </c>
      <c r="E12" s="146">
        <v>19.126000000000001</v>
      </c>
      <c r="F12" s="233">
        <v>24.312000000000001</v>
      </c>
      <c r="G12" s="234">
        <v>0.13300000000000001</v>
      </c>
      <c r="H12" s="234">
        <v>4.8040000000000003</v>
      </c>
      <c r="I12" s="146">
        <v>19.373999999999999</v>
      </c>
      <c r="J12" s="233"/>
      <c r="K12" s="234">
        <v>25.625</v>
      </c>
      <c r="L12" s="234">
        <v>0.14000000000000001</v>
      </c>
      <c r="M12" s="234">
        <v>4.8849999999999998</v>
      </c>
      <c r="N12" s="234">
        <v>20.6</v>
      </c>
      <c r="O12" s="233">
        <v>23.956</v>
      </c>
      <c r="P12" s="139">
        <v>0.13800000000000001</v>
      </c>
      <c r="Q12" s="234">
        <v>4.5149999999999997</v>
      </c>
      <c r="R12" s="234">
        <v>19.303000000000001</v>
      </c>
      <c r="S12" s="215" t="s">
        <v>143</v>
      </c>
      <c r="Y12" s="315"/>
      <c r="Z12" s="315"/>
      <c r="AA12" s="315"/>
      <c r="AB12" s="315"/>
    </row>
    <row r="13" spans="1:28" ht="18.75" customHeight="1" x14ac:dyDescent="0.25">
      <c r="A13" s="205" t="s">
        <v>144</v>
      </c>
      <c r="B13" s="233">
        <v>30.344999999999999</v>
      </c>
      <c r="C13" s="234">
        <v>1.958</v>
      </c>
      <c r="D13" s="234">
        <v>12.558</v>
      </c>
      <c r="E13" s="146">
        <v>15.827999999999999</v>
      </c>
      <c r="F13" s="233">
        <v>30.378</v>
      </c>
      <c r="G13" s="234">
        <v>1.919</v>
      </c>
      <c r="H13" s="234">
        <v>12.888999999999999</v>
      </c>
      <c r="I13" s="146">
        <v>15.569000000000001</v>
      </c>
      <c r="J13" s="233"/>
      <c r="K13" s="234">
        <v>30.463000000000001</v>
      </c>
      <c r="L13" s="234">
        <v>1.956</v>
      </c>
      <c r="M13" s="234">
        <v>13.077999999999999</v>
      </c>
      <c r="N13" s="234">
        <v>15.428000000000001</v>
      </c>
      <c r="O13" s="233">
        <v>26.134</v>
      </c>
      <c r="P13" s="234">
        <v>1.659</v>
      </c>
      <c r="Q13" s="234">
        <v>10.824999999999999</v>
      </c>
      <c r="R13" s="234">
        <v>13.65</v>
      </c>
      <c r="S13" s="215" t="s">
        <v>145</v>
      </c>
      <c r="Y13" s="315"/>
      <c r="Z13" s="315"/>
      <c r="AA13" s="315"/>
      <c r="AB13" s="315"/>
    </row>
    <row r="14" spans="1:28" ht="18.75" customHeight="1" x14ac:dyDescent="0.25">
      <c r="A14" s="205" t="s">
        <v>146</v>
      </c>
      <c r="B14" s="235">
        <v>39.853999999999999</v>
      </c>
      <c r="C14" s="139">
        <v>0.247</v>
      </c>
      <c r="D14" s="139">
        <v>6.3019999999999996</v>
      </c>
      <c r="E14" s="268">
        <v>33.305</v>
      </c>
      <c r="F14" s="235">
        <v>39.186999999999998</v>
      </c>
      <c r="G14" s="139">
        <v>0.26100000000000001</v>
      </c>
      <c r="H14" s="234">
        <v>6.2290000000000001</v>
      </c>
      <c r="I14" s="268">
        <v>32.697000000000003</v>
      </c>
      <c r="J14" s="235"/>
      <c r="K14" s="234">
        <v>38.984999999999999</v>
      </c>
      <c r="L14" s="234">
        <v>0</v>
      </c>
      <c r="M14" s="234">
        <v>6.6429999999999998</v>
      </c>
      <c r="N14" s="234">
        <v>32.341999999999999</v>
      </c>
      <c r="O14" s="233">
        <v>34.72</v>
      </c>
      <c r="P14" s="139">
        <v>0.192</v>
      </c>
      <c r="Q14" s="234">
        <v>5.4859999999999998</v>
      </c>
      <c r="R14" s="234">
        <v>29.042000000000002</v>
      </c>
      <c r="S14" s="215" t="s">
        <v>147</v>
      </c>
      <c r="Y14" s="315"/>
      <c r="Z14" s="315"/>
      <c r="AA14" s="315"/>
      <c r="AB14" s="315"/>
    </row>
    <row r="15" spans="1:28" ht="18.75" customHeight="1" x14ac:dyDescent="0.25">
      <c r="A15" s="225" t="s">
        <v>383</v>
      </c>
      <c r="B15" s="235">
        <v>23.390999999999998</v>
      </c>
      <c r="C15" s="139">
        <v>0</v>
      </c>
      <c r="D15" s="139">
        <v>8.0280000000000005</v>
      </c>
      <c r="E15" s="268">
        <v>15.363</v>
      </c>
      <c r="F15" s="235">
        <v>23.494</v>
      </c>
      <c r="G15" s="139">
        <v>0</v>
      </c>
      <c r="H15" s="234">
        <v>8.4450000000000003</v>
      </c>
      <c r="I15" s="268">
        <v>15.048</v>
      </c>
      <c r="J15" s="235"/>
      <c r="K15" s="234">
        <v>23.491</v>
      </c>
      <c r="L15" s="234">
        <v>0</v>
      </c>
      <c r="M15" s="234">
        <v>8.7409999999999997</v>
      </c>
      <c r="N15" s="234">
        <v>14.75</v>
      </c>
      <c r="O15" s="233">
        <v>22.625</v>
      </c>
      <c r="P15" s="139">
        <v>0</v>
      </c>
      <c r="Q15" s="234">
        <v>8.11</v>
      </c>
      <c r="R15" s="234">
        <v>14.515000000000001</v>
      </c>
      <c r="S15" s="226" t="s">
        <v>384</v>
      </c>
      <c r="Y15" s="315"/>
      <c r="Z15" s="315"/>
      <c r="AA15" s="315"/>
      <c r="AB15" s="315"/>
    </row>
    <row r="16" spans="1:28" ht="18.75" customHeight="1" x14ac:dyDescent="0.25">
      <c r="A16" s="225" t="s">
        <v>392</v>
      </c>
      <c r="B16" s="235">
        <v>25.033000000000001</v>
      </c>
      <c r="C16" s="139">
        <v>0.85599999999999998</v>
      </c>
      <c r="D16" s="139">
        <v>2.9220000000000002</v>
      </c>
      <c r="E16" s="268">
        <v>21.254999999999999</v>
      </c>
      <c r="F16" s="235">
        <v>26.175999999999998</v>
      </c>
      <c r="G16" s="139">
        <v>0.747</v>
      </c>
      <c r="H16" s="234">
        <v>3.0129999999999999</v>
      </c>
      <c r="I16" s="268">
        <v>22.416</v>
      </c>
      <c r="J16" s="235"/>
      <c r="K16" s="234">
        <v>26.062999999999999</v>
      </c>
      <c r="L16" s="234">
        <v>0.502</v>
      </c>
      <c r="M16" s="234">
        <v>3.2360000000000002</v>
      </c>
      <c r="N16" s="234">
        <v>22.324999999999999</v>
      </c>
      <c r="O16" s="233">
        <v>24.204000000000001</v>
      </c>
      <c r="P16" s="234">
        <v>0.48499999999999999</v>
      </c>
      <c r="Q16" s="234">
        <v>3.431</v>
      </c>
      <c r="R16" s="234">
        <v>20.286999999999999</v>
      </c>
      <c r="S16" s="226" t="s">
        <v>391</v>
      </c>
      <c r="Y16" s="315"/>
      <c r="Z16" s="315"/>
      <c r="AA16" s="315"/>
      <c r="AB16" s="315"/>
    </row>
    <row r="17" spans="1:28" ht="18.75" customHeight="1" x14ac:dyDescent="0.25">
      <c r="A17" s="205" t="s">
        <v>148</v>
      </c>
      <c r="B17" s="233">
        <v>15.134</v>
      </c>
      <c r="C17" s="234">
        <v>0.85399999999999998</v>
      </c>
      <c r="D17" s="234">
        <v>0.14399999999999999</v>
      </c>
      <c r="E17" s="146">
        <v>14.135999999999999</v>
      </c>
      <c r="F17" s="233">
        <v>15.006</v>
      </c>
      <c r="G17" s="234">
        <v>0.70199999999999996</v>
      </c>
      <c r="H17" s="234">
        <v>0.14899999999999999</v>
      </c>
      <c r="I17" s="146">
        <v>14.154999999999999</v>
      </c>
      <c r="J17" s="233"/>
      <c r="K17" s="234">
        <v>15.125999999999999</v>
      </c>
      <c r="L17" s="234">
        <v>0.66199999999999992</v>
      </c>
      <c r="M17" s="234">
        <v>0.155</v>
      </c>
      <c r="N17" s="234">
        <v>14.308999999999999</v>
      </c>
      <c r="O17" s="233">
        <v>11.757</v>
      </c>
      <c r="P17" s="234">
        <v>0.58299999999999996</v>
      </c>
      <c r="Q17" s="234">
        <v>9.8000000000000004E-2</v>
      </c>
      <c r="R17" s="234">
        <v>11.076000000000001</v>
      </c>
      <c r="S17" s="215" t="s">
        <v>149</v>
      </c>
      <c r="Y17" s="315"/>
      <c r="Z17" s="315"/>
      <c r="AA17" s="315"/>
      <c r="AB17" s="315"/>
    </row>
    <row r="18" spans="1:28" ht="18.75" customHeight="1" x14ac:dyDescent="0.25">
      <c r="A18" s="205" t="s">
        <v>150</v>
      </c>
      <c r="B18" s="233">
        <v>16.042999999999999</v>
      </c>
      <c r="C18" s="234">
        <v>0.14899999999999999</v>
      </c>
      <c r="D18" s="234">
        <v>2.2010000000000001</v>
      </c>
      <c r="E18" s="146">
        <v>13.694000000000001</v>
      </c>
      <c r="F18" s="233">
        <v>16.25</v>
      </c>
      <c r="G18" s="234">
        <v>0.17100000000000001</v>
      </c>
      <c r="H18" s="234">
        <v>2.2549999999999999</v>
      </c>
      <c r="I18" s="146">
        <v>13.824</v>
      </c>
      <c r="J18" s="233"/>
      <c r="K18" s="234">
        <v>16.291</v>
      </c>
      <c r="L18" s="234">
        <v>0.13300000000000001</v>
      </c>
      <c r="M18" s="234">
        <v>2.3639999999999999</v>
      </c>
      <c r="N18" s="234">
        <v>13.794</v>
      </c>
      <c r="O18" s="233">
        <v>15.657</v>
      </c>
      <c r="P18" s="234">
        <v>0.123</v>
      </c>
      <c r="Q18" s="234">
        <v>2.157</v>
      </c>
      <c r="R18" s="234">
        <v>13.377000000000001</v>
      </c>
      <c r="S18" s="215" t="s">
        <v>151</v>
      </c>
      <c r="Y18" s="315"/>
      <c r="Z18" s="315"/>
      <c r="AA18" s="315"/>
      <c r="AB18" s="315"/>
    </row>
    <row r="19" spans="1:28" ht="18.75" customHeight="1" x14ac:dyDescent="0.25">
      <c r="A19" s="205" t="s">
        <v>152</v>
      </c>
      <c r="B19" s="235">
        <v>26.427</v>
      </c>
      <c r="C19" s="234">
        <v>1.361</v>
      </c>
      <c r="D19" s="234">
        <v>0.25900000000000001</v>
      </c>
      <c r="E19" s="146">
        <v>24.806999999999999</v>
      </c>
      <c r="F19" s="235">
        <v>26.324999999999999</v>
      </c>
      <c r="G19" s="234">
        <v>1.4910000000000001</v>
      </c>
      <c r="H19" s="234">
        <v>0.32100000000000001</v>
      </c>
      <c r="I19" s="268">
        <v>24.513000000000002</v>
      </c>
      <c r="J19" s="235"/>
      <c r="K19" s="234">
        <v>25.555</v>
      </c>
      <c r="L19" s="234">
        <v>1.319</v>
      </c>
      <c r="M19" s="234">
        <v>0.311</v>
      </c>
      <c r="N19" s="234">
        <v>23.925000000000001</v>
      </c>
      <c r="O19" s="233">
        <v>22.896999999999998</v>
      </c>
      <c r="P19" s="234">
        <v>1.2469999999999999</v>
      </c>
      <c r="Q19" s="234">
        <v>0.221</v>
      </c>
      <c r="R19" s="234">
        <v>21.428000000000001</v>
      </c>
      <c r="S19" s="215" t="s">
        <v>153</v>
      </c>
      <c r="Y19" s="315"/>
      <c r="Z19" s="315"/>
      <c r="AA19" s="315"/>
      <c r="AB19" s="315"/>
    </row>
    <row r="20" spans="1:28" ht="18.75" customHeight="1" x14ac:dyDescent="0.25">
      <c r="A20" s="205" t="s">
        <v>154</v>
      </c>
      <c r="B20" s="233">
        <v>23.582000000000001</v>
      </c>
      <c r="C20" s="234">
        <v>2.6879999999999997</v>
      </c>
      <c r="D20" s="234">
        <v>1.8480000000000001</v>
      </c>
      <c r="E20" s="146">
        <v>19.045999999999999</v>
      </c>
      <c r="F20" s="233">
        <v>23.044</v>
      </c>
      <c r="G20" s="234">
        <v>2.7239999999999998</v>
      </c>
      <c r="H20" s="234">
        <v>1.9510000000000001</v>
      </c>
      <c r="I20" s="146">
        <v>18.369</v>
      </c>
      <c r="J20" s="233"/>
      <c r="K20" s="234">
        <v>22.126999999999999</v>
      </c>
      <c r="L20" s="234">
        <v>2.7050000000000001</v>
      </c>
      <c r="M20" s="234">
        <v>1.998</v>
      </c>
      <c r="N20" s="234">
        <v>17.423999999999999</v>
      </c>
      <c r="O20" s="233">
        <v>20.940999999999999</v>
      </c>
      <c r="P20" s="234">
        <v>2.6470000000000002</v>
      </c>
      <c r="Q20" s="234">
        <v>1.8280000000000001</v>
      </c>
      <c r="R20" s="234">
        <v>16.466000000000001</v>
      </c>
      <c r="S20" s="215" t="s">
        <v>155</v>
      </c>
      <c r="Y20" s="315"/>
      <c r="Z20" s="315"/>
      <c r="AA20" s="315"/>
      <c r="AB20" s="315"/>
    </row>
    <row r="21" spans="1:28" ht="18.75" customHeight="1" x14ac:dyDescent="0.25">
      <c r="A21" s="205" t="s">
        <v>156</v>
      </c>
      <c r="B21" s="233">
        <v>17.603999999999999</v>
      </c>
      <c r="C21" s="234">
        <v>0.63200000000000001</v>
      </c>
      <c r="D21" s="234">
        <v>6.3319999999999999</v>
      </c>
      <c r="E21" s="146">
        <v>10.64</v>
      </c>
      <c r="F21" s="233">
        <v>17.398</v>
      </c>
      <c r="G21" s="234">
        <v>0.629</v>
      </c>
      <c r="H21" s="234">
        <v>6.3230000000000004</v>
      </c>
      <c r="I21" s="146">
        <v>10.446</v>
      </c>
      <c r="J21" s="233"/>
      <c r="K21" s="234">
        <v>17.138000000000002</v>
      </c>
      <c r="L21" s="234">
        <v>0.628</v>
      </c>
      <c r="M21" s="234">
        <v>6.1920000000000002</v>
      </c>
      <c r="N21" s="234">
        <v>10.319000000000001</v>
      </c>
      <c r="O21" s="233">
        <v>15.734999999999999</v>
      </c>
      <c r="P21" s="139">
        <v>0.6</v>
      </c>
      <c r="Q21" s="234">
        <v>5.7110000000000003</v>
      </c>
      <c r="R21" s="234">
        <v>9.4239999999999995</v>
      </c>
      <c r="S21" s="215" t="s">
        <v>157</v>
      </c>
      <c r="Y21" s="315"/>
      <c r="Z21" s="315"/>
      <c r="AA21" s="315"/>
      <c r="AB21" s="315"/>
    </row>
    <row r="22" spans="1:28" ht="18.75" customHeight="1" x14ac:dyDescent="0.25">
      <c r="A22" s="205" t="s">
        <v>158</v>
      </c>
      <c r="B22" s="233">
        <v>15.1</v>
      </c>
      <c r="C22" s="234">
        <v>1.6560000000000001</v>
      </c>
      <c r="D22" s="234">
        <v>1.4259999999999999</v>
      </c>
      <c r="E22" s="146">
        <v>12.016999999999999</v>
      </c>
      <c r="F22" s="233">
        <v>15.282999999999999</v>
      </c>
      <c r="G22" s="234">
        <v>1.6579999999999999</v>
      </c>
      <c r="H22" s="234">
        <v>1.448</v>
      </c>
      <c r="I22" s="146">
        <v>12.176</v>
      </c>
      <c r="J22" s="233"/>
      <c r="K22" s="234">
        <v>15.355</v>
      </c>
      <c r="L22" s="234">
        <v>1.589</v>
      </c>
      <c r="M22" s="234">
        <v>1.39</v>
      </c>
      <c r="N22" s="234">
        <v>12.375</v>
      </c>
      <c r="O22" s="233">
        <v>14.253</v>
      </c>
      <c r="P22" s="139">
        <v>1.6139999999999999</v>
      </c>
      <c r="Q22" s="234">
        <v>1.3009999999999999</v>
      </c>
      <c r="R22" s="234">
        <v>11.337999999999999</v>
      </c>
      <c r="S22" s="215" t="s">
        <v>159</v>
      </c>
      <c r="Y22" s="315"/>
      <c r="Z22" s="315"/>
      <c r="AA22" s="315"/>
      <c r="AB22" s="315"/>
    </row>
    <row r="23" spans="1:28" ht="18.75" customHeight="1" x14ac:dyDescent="0.25">
      <c r="A23" s="205" t="s">
        <v>160</v>
      </c>
      <c r="B23" s="233">
        <v>39.264000000000003</v>
      </c>
      <c r="C23" s="234">
        <v>0.251</v>
      </c>
      <c r="D23" s="234">
        <v>4.0190000000000001</v>
      </c>
      <c r="E23" s="146">
        <v>34.994999999999997</v>
      </c>
      <c r="F23" s="233">
        <v>40.651000000000003</v>
      </c>
      <c r="G23" s="234">
        <v>0.249</v>
      </c>
      <c r="H23" s="234">
        <v>4.3220000000000001</v>
      </c>
      <c r="I23" s="146">
        <v>36.08</v>
      </c>
      <c r="J23" s="233"/>
      <c r="K23" s="234">
        <v>38.354999999999997</v>
      </c>
      <c r="L23" s="234">
        <v>0.24</v>
      </c>
      <c r="M23" s="234">
        <v>4.4729999999999999</v>
      </c>
      <c r="N23" s="234">
        <v>33.643000000000001</v>
      </c>
      <c r="O23" s="233">
        <v>38.024000000000001</v>
      </c>
      <c r="P23" s="234">
        <v>0.26400000000000001</v>
      </c>
      <c r="Q23" s="234">
        <v>4.3150000000000004</v>
      </c>
      <c r="R23" s="234">
        <v>33.445</v>
      </c>
      <c r="S23" s="215" t="s">
        <v>161</v>
      </c>
      <c r="Y23" s="315"/>
      <c r="Z23" s="315"/>
      <c r="AA23" s="315"/>
      <c r="AB23" s="315"/>
    </row>
    <row r="24" spans="1:28" ht="18.75" customHeight="1" x14ac:dyDescent="0.25">
      <c r="A24" s="205" t="s">
        <v>162</v>
      </c>
      <c r="B24" s="233">
        <v>31.097999999999999</v>
      </c>
      <c r="C24" s="234">
        <v>1.839</v>
      </c>
      <c r="D24" s="234">
        <v>2.0089999999999999</v>
      </c>
      <c r="E24" s="146">
        <v>27.248999999999999</v>
      </c>
      <c r="F24" s="233">
        <v>30.449000000000002</v>
      </c>
      <c r="G24" s="234">
        <v>1.758</v>
      </c>
      <c r="H24" s="234">
        <v>1.9019999999999999</v>
      </c>
      <c r="I24" s="146">
        <v>26.789000000000001</v>
      </c>
      <c r="J24" s="233"/>
      <c r="K24" s="234">
        <v>31.327999999999999</v>
      </c>
      <c r="L24" s="234">
        <v>1.7910000000000001</v>
      </c>
      <c r="M24" s="234">
        <v>1.75</v>
      </c>
      <c r="N24" s="234">
        <v>27.786999999999999</v>
      </c>
      <c r="O24" s="233">
        <v>29.207000000000001</v>
      </c>
      <c r="P24" s="234">
        <v>1.518</v>
      </c>
      <c r="Q24" s="234">
        <v>1.542</v>
      </c>
      <c r="R24" s="234">
        <v>26.146999999999998</v>
      </c>
      <c r="S24" s="215" t="s">
        <v>163</v>
      </c>
      <c r="Y24" s="315"/>
      <c r="Z24" s="315"/>
      <c r="AA24" s="315"/>
      <c r="AB24" s="315"/>
    </row>
    <row r="25" spans="1:28" ht="18.75" customHeight="1" x14ac:dyDescent="0.25">
      <c r="A25" s="205" t="s">
        <v>164</v>
      </c>
      <c r="B25" s="233">
        <v>18</v>
      </c>
      <c r="C25" s="234">
        <v>1.675</v>
      </c>
      <c r="D25" s="234">
        <v>0</v>
      </c>
      <c r="E25" s="146">
        <v>16.324999999999999</v>
      </c>
      <c r="F25" s="233">
        <v>17.494</v>
      </c>
      <c r="G25" s="234">
        <v>1.67</v>
      </c>
      <c r="H25" s="234">
        <v>0</v>
      </c>
      <c r="I25" s="146">
        <v>15.824</v>
      </c>
      <c r="J25" s="233"/>
      <c r="K25" s="234">
        <v>17.071000000000002</v>
      </c>
      <c r="L25" s="234">
        <v>1.645</v>
      </c>
      <c r="M25" s="234">
        <v>0</v>
      </c>
      <c r="N25" s="234">
        <v>15.426</v>
      </c>
      <c r="O25" s="233">
        <v>16.556999999999999</v>
      </c>
      <c r="P25" s="234">
        <v>1.6859999999999999</v>
      </c>
      <c r="Q25" s="234">
        <v>0</v>
      </c>
      <c r="R25" s="234">
        <v>14.871</v>
      </c>
      <c r="S25" s="215" t="s">
        <v>165</v>
      </c>
      <c r="Y25" s="315"/>
      <c r="Z25" s="315"/>
      <c r="AA25" s="315"/>
      <c r="AB25" s="315"/>
    </row>
    <row r="26" spans="1:28" ht="18.75" customHeight="1" x14ac:dyDescent="0.25">
      <c r="A26" s="205" t="s">
        <v>166</v>
      </c>
      <c r="B26" s="233">
        <v>27.428000000000001</v>
      </c>
      <c r="C26" s="234">
        <v>1.948</v>
      </c>
      <c r="D26" s="234">
        <v>12.372</v>
      </c>
      <c r="E26" s="146">
        <v>13.109</v>
      </c>
      <c r="F26" s="233">
        <v>26.404</v>
      </c>
      <c r="G26" s="234">
        <v>1.907</v>
      </c>
      <c r="H26" s="234">
        <v>11.84</v>
      </c>
      <c r="I26" s="146">
        <v>12.657999999999999</v>
      </c>
      <c r="J26" s="233"/>
      <c r="K26" s="234">
        <v>26.173999999999999</v>
      </c>
      <c r="L26" s="234">
        <v>1.7469999999999999</v>
      </c>
      <c r="M26" s="234">
        <v>11.77</v>
      </c>
      <c r="N26" s="234">
        <v>12.657</v>
      </c>
      <c r="O26" s="233">
        <v>22.388000000000002</v>
      </c>
      <c r="P26" s="234">
        <v>1.508</v>
      </c>
      <c r="Q26" s="234">
        <v>9.4440000000000008</v>
      </c>
      <c r="R26" s="234">
        <v>11.436</v>
      </c>
      <c r="S26" s="215" t="s">
        <v>167</v>
      </c>
      <c r="Y26" s="315"/>
      <c r="Z26" s="315"/>
      <c r="AA26" s="315"/>
      <c r="AB26" s="315"/>
    </row>
    <row r="27" spans="1:28" ht="18.75" customHeight="1" x14ac:dyDescent="0.25">
      <c r="A27" s="205" t="s">
        <v>168</v>
      </c>
      <c r="B27" s="233">
        <v>34.741</v>
      </c>
      <c r="C27" s="234">
        <v>0.92900000000000005</v>
      </c>
      <c r="D27" s="234">
        <v>11.38</v>
      </c>
      <c r="E27" s="146">
        <v>22.431000000000001</v>
      </c>
      <c r="F27" s="233">
        <v>33.948999999999998</v>
      </c>
      <c r="G27" s="234">
        <v>0.81300000000000006</v>
      </c>
      <c r="H27" s="234">
        <v>11.298999999999999</v>
      </c>
      <c r="I27" s="146">
        <v>21.837</v>
      </c>
      <c r="J27" s="233"/>
      <c r="K27" s="234">
        <v>33.767000000000003</v>
      </c>
      <c r="L27" s="234">
        <v>0.83000000000000007</v>
      </c>
      <c r="M27" s="234">
        <v>11.581</v>
      </c>
      <c r="N27" s="234">
        <v>21.356000000000002</v>
      </c>
      <c r="O27" s="233">
        <v>31.454000000000001</v>
      </c>
      <c r="P27" s="234">
        <v>0.36</v>
      </c>
      <c r="Q27" s="234">
        <v>10.667</v>
      </c>
      <c r="R27" s="234">
        <v>20.427</v>
      </c>
      <c r="S27" s="215" t="s">
        <v>169</v>
      </c>
      <c r="Y27" s="315"/>
      <c r="Z27" s="315"/>
      <c r="AA27" s="315"/>
      <c r="AB27" s="315"/>
    </row>
    <row r="28" spans="1:28" ht="18.75" customHeight="1" x14ac:dyDescent="0.25">
      <c r="A28" s="205" t="s">
        <v>170</v>
      </c>
      <c r="B28" s="233">
        <v>26.677</v>
      </c>
      <c r="C28" s="234">
        <v>0.74099999999999999</v>
      </c>
      <c r="D28" s="234">
        <v>1.8080000000000001</v>
      </c>
      <c r="E28" s="146">
        <v>24.128</v>
      </c>
      <c r="F28" s="233">
        <v>26.635999999999999</v>
      </c>
      <c r="G28" s="234">
        <v>0.76300000000000001</v>
      </c>
      <c r="H28" s="234">
        <v>1.9059999999999999</v>
      </c>
      <c r="I28" s="146">
        <v>23.966000000000001</v>
      </c>
      <c r="J28" s="233"/>
      <c r="K28" s="234">
        <v>26.757000000000001</v>
      </c>
      <c r="L28" s="234">
        <v>0.79899999999999993</v>
      </c>
      <c r="M28" s="234">
        <v>2.0819999999999999</v>
      </c>
      <c r="N28" s="234">
        <v>23.875</v>
      </c>
      <c r="O28" s="233">
        <v>24.173999999999999</v>
      </c>
      <c r="P28" s="139">
        <v>0.69599999999999995</v>
      </c>
      <c r="Q28" s="234">
        <v>1.994</v>
      </c>
      <c r="R28" s="234">
        <v>21.484000000000002</v>
      </c>
      <c r="S28" s="215" t="s">
        <v>171</v>
      </c>
      <c r="Y28" s="315"/>
      <c r="Z28" s="315"/>
      <c r="AA28" s="315"/>
      <c r="AB28" s="315"/>
    </row>
    <row r="29" spans="1:28" ht="18.75" customHeight="1" x14ac:dyDescent="0.25">
      <c r="A29" s="205" t="s">
        <v>172</v>
      </c>
      <c r="B29" s="233">
        <v>15.785</v>
      </c>
      <c r="C29" s="234">
        <v>0.86299999999999999</v>
      </c>
      <c r="D29" s="234">
        <v>2.2669999999999999</v>
      </c>
      <c r="E29" s="146">
        <v>12.654999999999999</v>
      </c>
      <c r="F29" s="233">
        <v>16.228999999999999</v>
      </c>
      <c r="G29" s="234">
        <v>0.93200000000000005</v>
      </c>
      <c r="H29" s="234">
        <v>2.3029999999999999</v>
      </c>
      <c r="I29" s="146">
        <v>12.994999999999999</v>
      </c>
      <c r="J29" s="233"/>
      <c r="K29" s="234">
        <v>16.036000000000001</v>
      </c>
      <c r="L29" s="234">
        <v>0.89400000000000002</v>
      </c>
      <c r="M29" s="234">
        <v>2.2400000000000002</v>
      </c>
      <c r="N29" s="234">
        <v>12.901999999999999</v>
      </c>
      <c r="O29" s="233">
        <v>14.603</v>
      </c>
      <c r="P29" s="139">
        <v>0.88500000000000001</v>
      </c>
      <c r="Q29" s="234">
        <v>2.1589999999999998</v>
      </c>
      <c r="R29" s="234">
        <v>11.558999999999999</v>
      </c>
      <c r="S29" s="215" t="s">
        <v>173</v>
      </c>
      <c r="Y29" s="315"/>
      <c r="Z29" s="315"/>
      <c r="AA29" s="315"/>
      <c r="AB29" s="315"/>
    </row>
    <row r="30" spans="1:28" ht="18.75" customHeight="1" x14ac:dyDescent="0.25">
      <c r="A30" s="205" t="s">
        <v>174</v>
      </c>
      <c r="B30" s="233">
        <v>42.804000000000002</v>
      </c>
      <c r="C30" s="234">
        <v>0.13900000000000001</v>
      </c>
      <c r="D30" s="234">
        <v>6.8689999999999998</v>
      </c>
      <c r="E30" s="146">
        <v>35.795999999999999</v>
      </c>
      <c r="F30" s="233">
        <v>42.008000000000003</v>
      </c>
      <c r="G30" s="234">
        <v>0.14099999999999999</v>
      </c>
      <c r="H30" s="234">
        <v>7.1890000000000001</v>
      </c>
      <c r="I30" s="146">
        <v>34.677999999999997</v>
      </c>
      <c r="J30" s="233"/>
      <c r="K30" s="234">
        <v>40.886000000000003</v>
      </c>
      <c r="L30" s="234">
        <v>0.13500000000000001</v>
      </c>
      <c r="M30" s="234">
        <v>7.91</v>
      </c>
      <c r="N30" s="234">
        <v>32.841999999999999</v>
      </c>
      <c r="O30" s="233">
        <v>40.32</v>
      </c>
      <c r="P30" s="234">
        <v>0.13400000000000001</v>
      </c>
      <c r="Q30" s="234">
        <v>8.3829999999999991</v>
      </c>
      <c r="R30" s="234">
        <v>31.803999999999998</v>
      </c>
      <c r="S30" s="215" t="s">
        <v>175</v>
      </c>
      <c r="Y30" s="315"/>
      <c r="Z30" s="315"/>
      <c r="AA30" s="315"/>
      <c r="AB30" s="315"/>
    </row>
    <row r="31" spans="1:28" ht="18.75" customHeight="1" x14ac:dyDescent="0.25">
      <c r="A31" s="205" t="s">
        <v>176</v>
      </c>
      <c r="B31" s="235">
        <v>42.670999999999999</v>
      </c>
      <c r="C31" s="139">
        <v>0.27400000000000002</v>
      </c>
      <c r="D31" s="139">
        <v>0.60799999999999998</v>
      </c>
      <c r="E31" s="268">
        <v>41.787999999999997</v>
      </c>
      <c r="F31" s="235">
        <v>40.119</v>
      </c>
      <c r="G31" s="139">
        <v>0.19</v>
      </c>
      <c r="H31" s="234">
        <v>0.75</v>
      </c>
      <c r="I31" s="268">
        <v>39.18</v>
      </c>
      <c r="J31" s="235"/>
      <c r="K31" s="234">
        <v>39.877000000000002</v>
      </c>
      <c r="L31" s="234">
        <v>0.127</v>
      </c>
      <c r="M31" s="234">
        <v>4.6449999999999996</v>
      </c>
      <c r="N31" s="234">
        <v>35.104999999999997</v>
      </c>
      <c r="O31" s="233">
        <v>36.392000000000003</v>
      </c>
      <c r="P31" s="234">
        <v>0.22700000000000001</v>
      </c>
      <c r="Q31" s="234">
        <v>4.2910000000000004</v>
      </c>
      <c r="R31" s="234">
        <v>31.873999999999999</v>
      </c>
      <c r="S31" s="215" t="s">
        <v>177</v>
      </c>
      <c r="Y31" s="315"/>
      <c r="Z31" s="315"/>
      <c r="AA31" s="315"/>
      <c r="AB31" s="315"/>
    </row>
    <row r="32" spans="1:28" ht="18.75" customHeight="1" x14ac:dyDescent="0.25">
      <c r="A32" s="205" t="s">
        <v>306</v>
      </c>
      <c r="B32" s="235">
        <v>33.840000000000003</v>
      </c>
      <c r="C32" s="139">
        <v>8.1000000000000003E-2</v>
      </c>
      <c r="D32" s="139">
        <v>1.1140000000000001</v>
      </c>
      <c r="E32" s="268">
        <v>32.645000000000003</v>
      </c>
      <c r="F32" s="235">
        <v>32.802</v>
      </c>
      <c r="G32" s="139">
        <v>6.0999999999999999E-2</v>
      </c>
      <c r="H32" s="234">
        <v>1.2250000000000001</v>
      </c>
      <c r="I32" s="268">
        <v>31.515999999999998</v>
      </c>
      <c r="J32" s="235"/>
      <c r="K32" s="234">
        <v>33.594999999999999</v>
      </c>
      <c r="L32" s="234">
        <v>6.0999999999999999E-2</v>
      </c>
      <c r="M32" s="234">
        <v>1.2629999999999999</v>
      </c>
      <c r="N32" s="234">
        <v>32.270000000000003</v>
      </c>
      <c r="O32" s="233">
        <v>29.806999999999999</v>
      </c>
      <c r="P32" s="139">
        <v>5.8000000000000003E-2</v>
      </c>
      <c r="Q32" s="234">
        <v>1.089</v>
      </c>
      <c r="R32" s="234">
        <v>28.661000000000001</v>
      </c>
      <c r="S32" s="215" t="s">
        <v>305</v>
      </c>
      <c r="Y32" s="315"/>
      <c r="Z32" s="315"/>
      <c r="AA32" s="315"/>
      <c r="AB32" s="315"/>
    </row>
    <row r="33" spans="1:28" ht="18.75" customHeight="1" x14ac:dyDescent="0.25">
      <c r="A33" s="205" t="s">
        <v>178</v>
      </c>
      <c r="B33" s="233">
        <v>14.667</v>
      </c>
      <c r="C33" s="234">
        <v>0.94</v>
      </c>
      <c r="D33" s="234">
        <v>3.0659999999999998</v>
      </c>
      <c r="E33" s="146">
        <v>10.661</v>
      </c>
      <c r="F33" s="233">
        <v>14.510999999999999</v>
      </c>
      <c r="G33" s="234">
        <v>0.96199999999999997</v>
      </c>
      <c r="H33" s="234">
        <v>3.113</v>
      </c>
      <c r="I33" s="146">
        <v>10.436</v>
      </c>
      <c r="J33" s="233"/>
      <c r="K33" s="234">
        <v>13.708</v>
      </c>
      <c r="L33" s="234">
        <v>1.014</v>
      </c>
      <c r="M33" s="234">
        <v>3.1070000000000002</v>
      </c>
      <c r="N33" s="234">
        <v>9.5879999999999992</v>
      </c>
      <c r="O33" s="233">
        <v>12.269</v>
      </c>
      <c r="P33" s="139">
        <v>0.97699999999999998</v>
      </c>
      <c r="Q33" s="234">
        <v>2.9039999999999999</v>
      </c>
      <c r="R33" s="234">
        <v>8.3870000000000005</v>
      </c>
      <c r="S33" s="215" t="s">
        <v>179</v>
      </c>
      <c r="Y33" s="315"/>
      <c r="Z33" s="315"/>
      <c r="AA33" s="315"/>
      <c r="AB33" s="315"/>
    </row>
    <row r="34" spans="1:28" ht="18.75" customHeight="1" x14ac:dyDescent="0.25">
      <c r="A34" s="205" t="s">
        <v>180</v>
      </c>
      <c r="B34" s="235">
        <v>49.465000000000003</v>
      </c>
      <c r="C34" s="234">
        <v>1.6859999999999999</v>
      </c>
      <c r="D34" s="234">
        <v>5.99</v>
      </c>
      <c r="E34" s="146">
        <v>41.787999999999997</v>
      </c>
      <c r="F34" s="235">
        <v>50.372</v>
      </c>
      <c r="G34" s="234">
        <v>1.7110000000000001</v>
      </c>
      <c r="H34" s="234">
        <v>6.3520000000000003</v>
      </c>
      <c r="I34" s="268">
        <v>42.308999999999997</v>
      </c>
      <c r="J34" s="235"/>
      <c r="K34" s="234">
        <v>50.832999999999998</v>
      </c>
      <c r="L34" s="234">
        <v>1.7250000000000001</v>
      </c>
      <c r="M34" s="234">
        <v>6.8250000000000002</v>
      </c>
      <c r="N34" s="234">
        <v>42.281999999999996</v>
      </c>
      <c r="O34" s="233">
        <v>47.097000000000001</v>
      </c>
      <c r="P34" s="234">
        <v>1.657</v>
      </c>
      <c r="Q34" s="234">
        <v>6.6790000000000003</v>
      </c>
      <c r="R34" s="234">
        <v>38.761000000000003</v>
      </c>
      <c r="S34" s="215" t="s">
        <v>181</v>
      </c>
      <c r="Y34" s="315"/>
      <c r="Z34" s="315"/>
      <c r="AA34" s="315"/>
      <c r="AB34" s="315"/>
    </row>
    <row r="35" spans="1:28" ht="18.75" customHeight="1" x14ac:dyDescent="0.25">
      <c r="A35" s="205" t="s">
        <v>182</v>
      </c>
      <c r="B35" s="233">
        <v>18.312000000000001</v>
      </c>
      <c r="C35" s="234">
        <v>1.425</v>
      </c>
      <c r="D35" s="234">
        <v>5.8380000000000001</v>
      </c>
      <c r="E35" s="146">
        <v>11.048999999999999</v>
      </c>
      <c r="F35" s="233">
        <v>17.895</v>
      </c>
      <c r="G35" s="234">
        <v>1.482</v>
      </c>
      <c r="H35" s="234">
        <v>5.6219999999999999</v>
      </c>
      <c r="I35" s="146">
        <v>10.791</v>
      </c>
      <c r="J35" s="233"/>
      <c r="K35" s="234">
        <v>17.199000000000002</v>
      </c>
      <c r="L35" s="234">
        <v>1.4910000000000001</v>
      </c>
      <c r="M35" s="234">
        <v>5.2850000000000001</v>
      </c>
      <c r="N35" s="234">
        <v>10.423999999999999</v>
      </c>
      <c r="O35" s="233">
        <v>15.034000000000001</v>
      </c>
      <c r="P35" s="139">
        <v>1.45</v>
      </c>
      <c r="Q35" s="234">
        <v>4.3040000000000003</v>
      </c>
      <c r="R35" s="234">
        <v>9.2799999999999994</v>
      </c>
      <c r="S35" s="215" t="s">
        <v>183</v>
      </c>
      <c r="Y35" s="315"/>
      <c r="Z35" s="315"/>
      <c r="AA35" s="315"/>
      <c r="AB35" s="315"/>
    </row>
    <row r="36" spans="1:28" ht="18.75" customHeight="1" x14ac:dyDescent="0.25">
      <c r="A36" s="205" t="s">
        <v>184</v>
      </c>
      <c r="B36" s="233">
        <v>22.471</v>
      </c>
      <c r="C36" s="234">
        <v>2.714</v>
      </c>
      <c r="D36" s="234">
        <v>5.2089999999999996</v>
      </c>
      <c r="E36" s="146">
        <v>14.548999999999999</v>
      </c>
      <c r="F36" s="233">
        <v>22.681999999999999</v>
      </c>
      <c r="G36" s="234">
        <v>2.6960000000000002</v>
      </c>
      <c r="H36" s="234">
        <v>5.415</v>
      </c>
      <c r="I36" s="146">
        <v>14.571999999999999</v>
      </c>
      <c r="J36" s="233"/>
      <c r="K36" s="234">
        <v>22.53</v>
      </c>
      <c r="L36" s="234">
        <v>2.617</v>
      </c>
      <c r="M36" s="234">
        <v>5.508</v>
      </c>
      <c r="N36" s="234">
        <v>14.404</v>
      </c>
      <c r="O36" s="233">
        <v>21.651</v>
      </c>
      <c r="P36" s="139">
        <v>2.4710000000000001</v>
      </c>
      <c r="Q36" s="234">
        <v>4.9880000000000004</v>
      </c>
      <c r="R36" s="234">
        <v>14.193</v>
      </c>
      <c r="S36" s="215" t="s">
        <v>185</v>
      </c>
      <c r="Y36" s="315"/>
      <c r="Z36" s="315"/>
      <c r="AA36" s="315"/>
      <c r="AB36" s="315"/>
    </row>
    <row r="37" spans="1:28" ht="18.75" customHeight="1" x14ac:dyDescent="0.25">
      <c r="A37" s="205" t="s">
        <v>186</v>
      </c>
      <c r="B37" s="233">
        <v>14.879</v>
      </c>
      <c r="C37" s="234">
        <v>0.36699999999999999</v>
      </c>
      <c r="D37" s="234">
        <v>0</v>
      </c>
      <c r="E37" s="146">
        <v>14.512</v>
      </c>
      <c r="F37" s="233">
        <v>14.297000000000001</v>
      </c>
      <c r="G37" s="234">
        <v>0.32800000000000001</v>
      </c>
      <c r="H37" s="234">
        <v>0</v>
      </c>
      <c r="I37" s="146">
        <v>13.968999999999999</v>
      </c>
      <c r="J37" s="233"/>
      <c r="K37" s="234">
        <v>14.282999999999999</v>
      </c>
      <c r="L37" s="234">
        <v>0.36399999999999999</v>
      </c>
      <c r="M37" s="234">
        <v>0</v>
      </c>
      <c r="N37" s="234">
        <v>13.919</v>
      </c>
      <c r="O37" s="233">
        <v>14.032999999999999</v>
      </c>
      <c r="P37" s="234">
        <v>0.246</v>
      </c>
      <c r="Q37" s="234">
        <v>0</v>
      </c>
      <c r="R37" s="234">
        <v>13.788</v>
      </c>
      <c r="S37" s="215" t="s">
        <v>187</v>
      </c>
      <c r="Y37" s="315"/>
      <c r="Z37" s="315"/>
      <c r="AA37" s="315"/>
      <c r="AB37" s="315"/>
    </row>
    <row r="38" spans="1:28" ht="18.75" customHeight="1" x14ac:dyDescent="0.25">
      <c r="A38" s="205" t="s">
        <v>188</v>
      </c>
      <c r="B38" s="233">
        <v>30.712</v>
      </c>
      <c r="C38" s="234">
        <v>2.3360000000000003</v>
      </c>
      <c r="D38" s="234">
        <v>5.6390000000000002</v>
      </c>
      <c r="E38" s="146">
        <v>22.736000000000001</v>
      </c>
      <c r="F38" s="233">
        <v>28.506</v>
      </c>
      <c r="G38" s="234">
        <v>1.9789999999999999</v>
      </c>
      <c r="H38" s="234">
        <v>6.1059999999999999</v>
      </c>
      <c r="I38" s="146">
        <v>20.420000000000002</v>
      </c>
      <c r="J38" s="233"/>
      <c r="K38" s="234">
        <v>28.222999999999999</v>
      </c>
      <c r="L38" s="234">
        <v>1.9319999999999999</v>
      </c>
      <c r="M38" s="234">
        <v>6.2</v>
      </c>
      <c r="N38" s="234">
        <v>20.091000000000001</v>
      </c>
      <c r="O38" s="233">
        <v>27.734000000000002</v>
      </c>
      <c r="P38" s="139">
        <v>2.2570000000000001</v>
      </c>
      <c r="Q38" s="234">
        <v>5.9420000000000002</v>
      </c>
      <c r="R38" s="234">
        <v>19.535</v>
      </c>
      <c r="S38" s="215" t="s">
        <v>189</v>
      </c>
      <c r="Y38" s="315"/>
      <c r="Z38" s="315"/>
      <c r="AA38" s="315"/>
      <c r="AB38" s="315"/>
    </row>
    <row r="39" spans="1:28" ht="18.75" customHeight="1" x14ac:dyDescent="0.25">
      <c r="A39" s="205" t="s">
        <v>190</v>
      </c>
      <c r="B39" s="233">
        <v>38.768000000000001</v>
      </c>
      <c r="C39" s="234">
        <v>0.92099999999999993</v>
      </c>
      <c r="D39" s="234">
        <v>8.1590000000000007</v>
      </c>
      <c r="E39" s="146">
        <v>29.687999999999999</v>
      </c>
      <c r="F39" s="233">
        <v>38.771999999999998</v>
      </c>
      <c r="G39" s="234">
        <v>0.89200000000000002</v>
      </c>
      <c r="H39" s="234">
        <v>7.9630000000000001</v>
      </c>
      <c r="I39" s="146">
        <v>29.917000000000002</v>
      </c>
      <c r="J39" s="233"/>
      <c r="K39" s="234">
        <v>39.151000000000003</v>
      </c>
      <c r="L39" s="234">
        <v>0.90500000000000003</v>
      </c>
      <c r="M39" s="234">
        <v>7.6390000000000002</v>
      </c>
      <c r="N39" s="234">
        <v>30.606999999999999</v>
      </c>
      <c r="O39" s="233">
        <v>35.703000000000003</v>
      </c>
      <c r="P39" s="234">
        <v>0.89700000000000002</v>
      </c>
      <c r="Q39" s="234">
        <v>6.7880000000000003</v>
      </c>
      <c r="R39" s="234">
        <v>28.018999999999998</v>
      </c>
      <c r="S39" s="215" t="s">
        <v>191</v>
      </c>
      <c r="Y39" s="315"/>
      <c r="Z39" s="315"/>
      <c r="AA39" s="315"/>
      <c r="AB39" s="315"/>
    </row>
    <row r="40" spans="1:28" ht="18.75" customHeight="1" x14ac:dyDescent="0.25">
      <c r="A40" s="205" t="s">
        <v>498</v>
      </c>
      <c r="B40" s="233">
        <v>46.9770185</v>
      </c>
      <c r="C40" s="234">
        <v>12.893251769999999</v>
      </c>
      <c r="D40" s="234">
        <v>2.0214683</v>
      </c>
      <c r="E40" s="146">
        <v>32.062298429999998</v>
      </c>
      <c r="F40" s="233">
        <v>44.890013560000007</v>
      </c>
      <c r="G40" s="234">
        <v>13.721895950000004</v>
      </c>
      <c r="H40" s="234">
        <v>2.0716658099999998</v>
      </c>
      <c r="I40" s="146">
        <v>29.096451800000004</v>
      </c>
      <c r="J40" s="233"/>
      <c r="K40" s="234">
        <v>43.322055579999997</v>
      </c>
      <c r="L40" s="234">
        <v>12.944882</v>
      </c>
      <c r="M40" s="234">
        <v>1.9865919399999998</v>
      </c>
      <c r="N40" s="234">
        <v>28.390581640000001</v>
      </c>
      <c r="O40" s="233">
        <v>36.382506090000007</v>
      </c>
      <c r="P40" s="234">
        <v>10.633261710000001</v>
      </c>
      <c r="Q40" s="234">
        <v>1.3910636900000004</v>
      </c>
      <c r="R40" s="234">
        <v>24.358180690000001</v>
      </c>
      <c r="S40" s="215" t="s">
        <v>499</v>
      </c>
    </row>
    <row r="41" spans="1:28" ht="18.75" customHeight="1" x14ac:dyDescent="0.25">
      <c r="A41" s="205" t="s">
        <v>192</v>
      </c>
      <c r="B41" s="233">
        <v>20.061</v>
      </c>
      <c r="C41" s="234">
        <v>1.349</v>
      </c>
      <c r="D41" s="234">
        <v>0</v>
      </c>
      <c r="E41" s="146">
        <v>18.712</v>
      </c>
      <c r="F41" s="233">
        <v>19.866</v>
      </c>
      <c r="G41" s="234">
        <v>0.95799999999999996</v>
      </c>
      <c r="H41" s="234">
        <v>0</v>
      </c>
      <c r="I41" s="146">
        <v>18.908000000000001</v>
      </c>
      <c r="J41" s="233"/>
      <c r="K41" s="234">
        <v>20.207000000000001</v>
      </c>
      <c r="L41" s="234">
        <v>1.048</v>
      </c>
      <c r="M41" s="234">
        <v>0</v>
      </c>
      <c r="N41" s="234">
        <v>19.158999999999999</v>
      </c>
      <c r="O41" s="233">
        <v>19.728999999999999</v>
      </c>
      <c r="P41" s="139">
        <v>0.97700000000000009</v>
      </c>
      <c r="Q41" s="234">
        <v>0</v>
      </c>
      <c r="R41" s="234">
        <v>18.751999999999999</v>
      </c>
      <c r="S41" s="215" t="s">
        <v>193</v>
      </c>
      <c r="U41" s="20"/>
      <c r="V41" s="318"/>
      <c r="W41" s="318"/>
      <c r="X41" s="20"/>
      <c r="Y41" s="315"/>
      <c r="Z41" s="315"/>
      <c r="AA41" s="315"/>
      <c r="AB41" s="315"/>
    </row>
    <row r="42" spans="1:28" ht="18.75" customHeight="1" x14ac:dyDescent="0.25">
      <c r="A42" s="205" t="s">
        <v>194</v>
      </c>
      <c r="B42" s="235">
        <v>27.803000000000001</v>
      </c>
      <c r="C42" s="139">
        <v>1.2300000000000002</v>
      </c>
      <c r="D42" s="139">
        <v>14.250999999999999</v>
      </c>
      <c r="E42" s="268">
        <v>12.321999999999999</v>
      </c>
      <c r="F42" s="235">
        <v>27.178000000000001</v>
      </c>
      <c r="G42" s="139">
        <v>1.1919999999999999</v>
      </c>
      <c r="H42" s="234">
        <v>14.004</v>
      </c>
      <c r="I42" s="268">
        <v>11.981999999999999</v>
      </c>
      <c r="J42" s="235"/>
      <c r="K42" s="234">
        <v>27.215</v>
      </c>
      <c r="L42" s="234">
        <v>1.2529999999999999</v>
      </c>
      <c r="M42" s="234">
        <v>14.301</v>
      </c>
      <c r="N42" s="234">
        <v>11.661</v>
      </c>
      <c r="O42" s="233">
        <v>26.834</v>
      </c>
      <c r="P42" s="139">
        <v>0.94499999999999995</v>
      </c>
      <c r="Q42" s="234">
        <v>13.414</v>
      </c>
      <c r="R42" s="234">
        <v>12.474</v>
      </c>
      <c r="S42" s="215" t="s">
        <v>195</v>
      </c>
      <c r="U42" s="20"/>
      <c r="V42" s="318"/>
      <c r="W42" s="318"/>
      <c r="X42" s="20"/>
      <c r="Y42" s="315"/>
      <c r="Z42" s="315"/>
      <c r="AA42" s="315"/>
      <c r="AB42" s="315"/>
    </row>
    <row r="43" spans="1:28" ht="18.75" customHeight="1" x14ac:dyDescent="0.25">
      <c r="A43" s="205" t="s">
        <v>196</v>
      </c>
      <c r="B43" s="233">
        <v>30.524999999999999</v>
      </c>
      <c r="C43" s="234">
        <v>0.36699999999999999</v>
      </c>
      <c r="D43" s="234">
        <v>6.0679999999999996</v>
      </c>
      <c r="E43" s="146">
        <v>24.09</v>
      </c>
      <c r="F43" s="233">
        <v>30.815999999999999</v>
      </c>
      <c r="G43" s="234">
        <v>0.35699999999999998</v>
      </c>
      <c r="H43" s="234">
        <v>6.3140000000000001</v>
      </c>
      <c r="I43" s="146">
        <v>24.145</v>
      </c>
      <c r="J43" s="233"/>
      <c r="K43" s="234">
        <v>30.561</v>
      </c>
      <c r="L43" s="234">
        <v>0.36499999999999999</v>
      </c>
      <c r="M43" s="234">
        <v>6.3490000000000002</v>
      </c>
      <c r="N43" s="234">
        <v>23.847999999999999</v>
      </c>
      <c r="O43" s="233">
        <v>27.911999999999999</v>
      </c>
      <c r="P43" s="234">
        <v>0.41299999999999998</v>
      </c>
      <c r="Q43" s="234">
        <v>5.8369999999999997</v>
      </c>
      <c r="R43" s="234">
        <v>21.661999999999999</v>
      </c>
      <c r="S43" s="215" t="s">
        <v>197</v>
      </c>
      <c r="U43" s="20"/>
      <c r="V43" s="318"/>
      <c r="W43" s="318"/>
      <c r="X43" s="20"/>
      <c r="Y43" s="315"/>
      <c r="Z43" s="315"/>
      <c r="AA43" s="315"/>
      <c r="AB43" s="315"/>
    </row>
    <row r="44" spans="1:28" ht="18.75" customHeight="1" x14ac:dyDescent="0.25">
      <c r="A44" s="205" t="s">
        <v>198</v>
      </c>
      <c r="B44" s="233">
        <v>15.458</v>
      </c>
      <c r="C44" s="234">
        <v>0.57099999999999995</v>
      </c>
      <c r="D44" s="234">
        <v>0.65100000000000002</v>
      </c>
      <c r="E44" s="146">
        <v>14.236000000000001</v>
      </c>
      <c r="F44" s="233">
        <v>15.519</v>
      </c>
      <c r="G44" s="234">
        <v>0.66199999999999992</v>
      </c>
      <c r="H44" s="234">
        <v>0.63700000000000001</v>
      </c>
      <c r="I44" s="146">
        <v>14.22</v>
      </c>
      <c r="J44" s="233"/>
      <c r="K44" s="234">
        <v>15.124000000000001</v>
      </c>
      <c r="L44" s="234">
        <v>0.55299999999999994</v>
      </c>
      <c r="M44" s="234">
        <v>0.64600000000000002</v>
      </c>
      <c r="N44" s="234">
        <v>13.923999999999999</v>
      </c>
      <c r="O44" s="233">
        <v>13.942</v>
      </c>
      <c r="P44" s="234">
        <v>0.40300000000000002</v>
      </c>
      <c r="Q44" s="234">
        <v>0.61899999999999999</v>
      </c>
      <c r="R44" s="234">
        <v>12.92</v>
      </c>
      <c r="S44" s="215" t="s">
        <v>199</v>
      </c>
      <c r="U44" s="20"/>
      <c r="V44" s="318"/>
      <c r="W44" s="318"/>
      <c r="X44" s="20"/>
      <c r="Y44" s="315"/>
      <c r="Z44" s="315"/>
      <c r="AA44" s="315"/>
      <c r="AB44" s="315"/>
    </row>
    <row r="45" spans="1:28" ht="18.75" customHeight="1" x14ac:dyDescent="0.25">
      <c r="A45" s="205" t="s">
        <v>200</v>
      </c>
      <c r="B45" s="233">
        <v>30.366</v>
      </c>
      <c r="C45" s="234">
        <v>1.859</v>
      </c>
      <c r="D45" s="234">
        <v>6.9480000000000004</v>
      </c>
      <c r="E45" s="146">
        <v>21.559000000000001</v>
      </c>
      <c r="F45" s="233">
        <v>30.713999999999999</v>
      </c>
      <c r="G45" s="234">
        <v>2.0469999999999997</v>
      </c>
      <c r="H45" s="234">
        <v>6.8250000000000002</v>
      </c>
      <c r="I45" s="146">
        <v>21.843</v>
      </c>
      <c r="J45" s="233"/>
      <c r="K45" s="234">
        <v>30.751000000000001</v>
      </c>
      <c r="L45" s="234">
        <v>1.88</v>
      </c>
      <c r="M45" s="234">
        <v>7.0259999999999998</v>
      </c>
      <c r="N45" s="234">
        <v>21.844000000000001</v>
      </c>
      <c r="O45" s="233">
        <v>29.584</v>
      </c>
      <c r="P45" s="139">
        <v>2.3149999999999999</v>
      </c>
      <c r="Q45" s="234">
        <v>6.5449999999999999</v>
      </c>
      <c r="R45" s="234">
        <v>20.724</v>
      </c>
      <c r="S45" s="215" t="s">
        <v>201</v>
      </c>
      <c r="U45" s="20"/>
      <c r="V45" s="318"/>
      <c r="W45" s="318"/>
      <c r="X45" s="20"/>
      <c r="Y45" s="315"/>
      <c r="Z45" s="315"/>
      <c r="AA45" s="315"/>
      <c r="AB45" s="315"/>
    </row>
    <row r="46" spans="1:28" ht="18.75" customHeight="1" x14ac:dyDescent="0.25">
      <c r="A46" s="205" t="s">
        <v>202</v>
      </c>
      <c r="B46" s="233">
        <v>22.289000000000001</v>
      </c>
      <c r="C46" s="234" t="s">
        <v>604</v>
      </c>
      <c r="D46" s="234" t="s">
        <v>604</v>
      </c>
      <c r="E46" s="146">
        <v>17.384</v>
      </c>
      <c r="F46" s="233">
        <v>22.617999999999999</v>
      </c>
      <c r="G46" s="234">
        <v>2.5659999999999998</v>
      </c>
      <c r="H46" s="234">
        <v>2.5609999999999999</v>
      </c>
      <c r="I46" s="146">
        <v>17.491</v>
      </c>
      <c r="J46" s="233"/>
      <c r="K46" s="234">
        <v>22.315000000000001</v>
      </c>
      <c r="L46" s="234">
        <v>2.5569999999999999</v>
      </c>
      <c r="M46" s="234">
        <v>2.71</v>
      </c>
      <c r="N46" s="234">
        <v>17.047999999999998</v>
      </c>
      <c r="O46" s="233">
        <v>21.155000000000001</v>
      </c>
      <c r="P46" s="139">
        <v>2.427</v>
      </c>
      <c r="Q46" s="234">
        <v>2.2970000000000002</v>
      </c>
      <c r="R46" s="234">
        <v>16.431000000000001</v>
      </c>
      <c r="S46" s="215" t="s">
        <v>401</v>
      </c>
      <c r="U46" s="20"/>
      <c r="V46" s="318"/>
      <c r="W46" s="318"/>
      <c r="X46" s="20"/>
      <c r="Y46" s="315"/>
      <c r="Z46" s="315"/>
      <c r="AA46" s="315"/>
      <c r="AB46" s="315"/>
    </row>
    <row r="47" spans="1:28" ht="18.75" customHeight="1" x14ac:dyDescent="0.25">
      <c r="A47" s="205" t="s">
        <v>203</v>
      </c>
      <c r="B47" s="233">
        <v>21.100999999999999</v>
      </c>
      <c r="C47" s="234">
        <v>2.3249999999999997</v>
      </c>
      <c r="D47" s="234">
        <v>2.9470000000000001</v>
      </c>
      <c r="E47" s="146">
        <v>15.829000000000001</v>
      </c>
      <c r="F47" s="233">
        <v>21.292000000000002</v>
      </c>
      <c r="G47" s="234">
        <v>2.2069999999999999</v>
      </c>
      <c r="H47" s="234">
        <v>2.907</v>
      </c>
      <c r="I47" s="146">
        <v>16.178000000000001</v>
      </c>
      <c r="J47" s="233"/>
      <c r="K47" s="234">
        <v>20.965</v>
      </c>
      <c r="L47" s="234">
        <v>2.089</v>
      </c>
      <c r="M47" s="234">
        <v>2.839</v>
      </c>
      <c r="N47" s="234">
        <v>16.036999999999999</v>
      </c>
      <c r="O47" s="233">
        <v>16.495000000000001</v>
      </c>
      <c r="P47" s="234">
        <v>1.7270000000000001</v>
      </c>
      <c r="Q47" s="234">
        <v>2.3570000000000002</v>
      </c>
      <c r="R47" s="234">
        <v>12.41</v>
      </c>
      <c r="S47" s="215" t="s">
        <v>204</v>
      </c>
      <c r="U47" s="20"/>
      <c r="V47" s="318"/>
      <c r="W47" s="318"/>
      <c r="X47" s="20"/>
      <c r="Y47" s="315"/>
      <c r="Z47" s="315"/>
      <c r="AA47" s="315"/>
      <c r="AB47" s="315"/>
    </row>
    <row r="48" spans="1:28" ht="18.75" customHeight="1" x14ac:dyDescent="0.25">
      <c r="A48" s="206" t="s">
        <v>205</v>
      </c>
      <c r="B48" s="236">
        <v>17.091999999999999</v>
      </c>
      <c r="C48" s="140">
        <f>B48-D48-E48</f>
        <v>4.7459999999999987</v>
      </c>
      <c r="D48" s="140">
        <v>0.997</v>
      </c>
      <c r="E48" s="273">
        <v>11.349</v>
      </c>
      <c r="F48" s="236">
        <v>17.09</v>
      </c>
      <c r="G48" s="140">
        <f>F48-H48-I48</f>
        <v>4.6949999999999985</v>
      </c>
      <c r="H48" s="140">
        <v>1.0740000000000001</v>
      </c>
      <c r="I48" s="273">
        <v>11.321</v>
      </c>
      <c r="J48" s="235"/>
      <c r="K48" s="140">
        <v>17.271999999999998</v>
      </c>
      <c r="L48" s="140">
        <f>K48-M48-N48</f>
        <v>4.8789999999999996</v>
      </c>
      <c r="M48" s="140">
        <v>1.0840000000000001</v>
      </c>
      <c r="N48" s="140">
        <v>11.308999999999999</v>
      </c>
      <c r="O48" s="236">
        <v>15.56</v>
      </c>
      <c r="P48" s="140">
        <f>O48-Q48-R48</f>
        <v>4.5250000000000004</v>
      </c>
      <c r="Q48" s="140">
        <v>0.96499999999999997</v>
      </c>
      <c r="R48" s="140">
        <v>10.07</v>
      </c>
      <c r="S48" s="216" t="s">
        <v>206</v>
      </c>
      <c r="U48" s="20"/>
      <c r="V48" s="318"/>
      <c r="W48" s="318"/>
      <c r="X48" s="20"/>
      <c r="Y48" s="315"/>
      <c r="Z48" s="315"/>
      <c r="AA48" s="315"/>
      <c r="AB48" s="315"/>
    </row>
    <row r="49" spans="1:26" s="227" customFormat="1" ht="14.1" customHeight="1" x14ac:dyDescent="0.2">
      <c r="A49" s="744" t="s">
        <v>620</v>
      </c>
      <c r="B49" s="745"/>
      <c r="C49" s="745"/>
      <c r="D49" s="745"/>
      <c r="E49" s="745"/>
      <c r="F49" s="745"/>
      <c r="G49" s="745"/>
      <c r="H49" s="745"/>
      <c r="I49" s="745"/>
      <c r="J49" s="295"/>
      <c r="K49" s="746" t="s">
        <v>621</v>
      </c>
      <c r="L49" s="746"/>
      <c r="M49" s="746"/>
      <c r="N49" s="746"/>
      <c r="O49" s="746"/>
      <c r="P49" s="746"/>
      <c r="Q49" s="746"/>
      <c r="R49" s="746"/>
      <c r="S49" s="746"/>
      <c r="T49" s="319"/>
    </row>
    <row r="50" spans="1:26" s="203" customFormat="1" ht="12" customHeight="1" x14ac:dyDescent="0.2">
      <c r="A50" s="774" t="s">
        <v>597</v>
      </c>
      <c r="B50" s="774"/>
      <c r="C50" s="774"/>
      <c r="D50" s="774"/>
      <c r="E50" s="774"/>
      <c r="F50" s="774"/>
      <c r="G50" s="774"/>
      <c r="H50" s="774"/>
      <c r="I50" s="774"/>
      <c r="J50" s="282"/>
      <c r="K50" s="267" t="s">
        <v>598</v>
      </c>
      <c r="L50" s="14"/>
      <c r="M50" s="267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s="203" customFormat="1" ht="12" customHeight="1" x14ac:dyDescent="0.2">
      <c r="A51" s="774"/>
      <c r="B51" s="774"/>
      <c r="C51" s="774"/>
      <c r="D51" s="774"/>
      <c r="E51" s="774"/>
      <c r="F51" s="774"/>
      <c r="G51" s="774"/>
      <c r="H51" s="774"/>
      <c r="I51" s="774"/>
      <c r="J51" s="282"/>
      <c r="K51" s="41"/>
      <c r="L51" s="41"/>
    </row>
    <row r="52" spans="1:26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</sheetData>
  <mergeCells count="40">
    <mergeCell ref="A50:I50"/>
    <mergeCell ref="A51:I51"/>
    <mergeCell ref="L6:L7"/>
    <mergeCell ref="M6:M7"/>
    <mergeCell ref="N6:N7"/>
    <mergeCell ref="C6:C7"/>
    <mergeCell ref="D6:D7"/>
    <mergeCell ref="E6:E7"/>
    <mergeCell ref="G6:G7"/>
    <mergeCell ref="H6:H7"/>
    <mergeCell ref="I6:I7"/>
    <mergeCell ref="A49:I49"/>
    <mergeCell ref="K49:S49"/>
    <mergeCell ref="P6:P7"/>
    <mergeCell ref="Q6:Q7"/>
    <mergeCell ref="R6:R7"/>
    <mergeCell ref="A1:I1"/>
    <mergeCell ref="K1:S1"/>
    <mergeCell ref="A3:A8"/>
    <mergeCell ref="B3:E3"/>
    <mergeCell ref="F3:I3"/>
    <mergeCell ref="K3:N3"/>
    <mergeCell ref="O3:R3"/>
    <mergeCell ref="S3:S8"/>
    <mergeCell ref="B4:E4"/>
    <mergeCell ref="F4:I4"/>
    <mergeCell ref="K4:N4"/>
    <mergeCell ref="O4:R4"/>
    <mergeCell ref="B5:B7"/>
    <mergeCell ref="C5:E5"/>
    <mergeCell ref="F5:F7"/>
    <mergeCell ref="G5:I5"/>
    <mergeCell ref="L5:N5"/>
    <mergeCell ref="O5:O7"/>
    <mergeCell ref="P5:R5"/>
    <mergeCell ref="D9:E9"/>
    <mergeCell ref="H9:I9"/>
    <mergeCell ref="M9:N9"/>
    <mergeCell ref="Q9:R9"/>
    <mergeCell ref="K5:K7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05D2-6B86-4046-9FF4-C1A5AC8C2EAC}">
  <sheetPr>
    <tabColor theme="9"/>
  </sheetPr>
  <dimension ref="A1:AB52"/>
  <sheetViews>
    <sheetView view="pageBreakPreview" zoomScale="70" zoomScaleNormal="70" zoomScaleSheetLayoutView="70" workbookViewId="0">
      <pane xSplit="1" ySplit="8" topLeftCell="B9" activePane="bottomRight" state="frozen"/>
      <selection activeCell="J26" sqref="J26"/>
      <selection pane="topRight" activeCell="J26" sqref="J26"/>
      <selection pane="bottomLeft" activeCell="J26" sqref="J26"/>
      <selection pane="bottomRight" activeCell="Q9" sqref="Q9:R9"/>
    </sheetView>
  </sheetViews>
  <sheetFormatPr defaultColWidth="9" defaultRowHeight="15.75" x14ac:dyDescent="0.25"/>
  <cols>
    <col min="1" max="1" width="12" style="21" customWidth="1"/>
    <col min="2" max="2" width="13.25" style="21" customWidth="1"/>
    <col min="3" max="3" width="14.125" style="21" customWidth="1"/>
    <col min="4" max="5" width="11.375" style="21" customWidth="1"/>
    <col min="6" max="6" width="13.25" style="21" customWidth="1"/>
    <col min="7" max="7" width="14.125" style="21" customWidth="1"/>
    <col min="8" max="9" width="11.375" style="21" customWidth="1"/>
    <col min="10" max="10" width="0.5" style="21" customWidth="1"/>
    <col min="11" max="11" width="13.25" style="21" customWidth="1"/>
    <col min="12" max="12" width="14.125" style="21" customWidth="1"/>
    <col min="13" max="14" width="11.375" style="21" customWidth="1"/>
    <col min="15" max="15" width="13.25" style="21" customWidth="1"/>
    <col min="16" max="16" width="14.125" style="21" customWidth="1"/>
    <col min="17" max="18" width="11.375" style="21" customWidth="1"/>
    <col min="19" max="19" width="11.875" style="21" customWidth="1"/>
    <col min="20" max="16384" width="9" style="21"/>
  </cols>
  <sheetData>
    <row r="1" spans="1:28" ht="23.45" customHeight="1" x14ac:dyDescent="0.25">
      <c r="A1" s="773" t="s">
        <v>646</v>
      </c>
      <c r="B1" s="773"/>
      <c r="C1" s="773"/>
      <c r="D1" s="773"/>
      <c r="E1" s="773"/>
      <c r="F1" s="773"/>
      <c r="G1" s="773"/>
      <c r="H1" s="773"/>
      <c r="I1" s="773"/>
      <c r="J1" s="281"/>
      <c r="K1" s="761" t="s">
        <v>647</v>
      </c>
      <c r="L1" s="761"/>
      <c r="M1" s="761"/>
      <c r="N1" s="761"/>
      <c r="O1" s="761"/>
      <c r="P1" s="761"/>
      <c r="Q1" s="761"/>
      <c r="R1" s="761"/>
      <c r="S1" s="761"/>
      <c r="T1" s="261"/>
    </row>
    <row r="2" spans="1:28" ht="16.149999999999999" customHeight="1" x14ac:dyDescent="0.25">
      <c r="A2" s="47" t="s">
        <v>208</v>
      </c>
      <c r="B2" s="47"/>
      <c r="C2" s="47"/>
      <c r="D2" s="47"/>
      <c r="E2" s="47"/>
      <c r="F2" s="47"/>
      <c r="G2" s="47"/>
      <c r="H2" s="47"/>
      <c r="I2" s="47"/>
      <c r="J2" s="47"/>
      <c r="K2" s="49"/>
      <c r="L2" s="50"/>
      <c r="M2" s="49"/>
      <c r="N2" s="50"/>
      <c r="O2" s="50"/>
      <c r="P2" s="50"/>
      <c r="Q2" s="50"/>
      <c r="R2" s="49"/>
      <c r="S2" s="50" t="s">
        <v>209</v>
      </c>
    </row>
    <row r="3" spans="1:28" s="22" customFormat="1" ht="15.6" customHeight="1" x14ac:dyDescent="0.25">
      <c r="A3" s="762" t="s">
        <v>469</v>
      </c>
      <c r="B3" s="765" t="s">
        <v>494</v>
      </c>
      <c r="C3" s="766"/>
      <c r="D3" s="766"/>
      <c r="E3" s="767"/>
      <c r="F3" s="765" t="s">
        <v>495</v>
      </c>
      <c r="G3" s="766"/>
      <c r="H3" s="766"/>
      <c r="I3" s="767"/>
      <c r="J3" s="290"/>
      <c r="K3" s="766" t="s">
        <v>549</v>
      </c>
      <c r="L3" s="766"/>
      <c r="M3" s="766"/>
      <c r="N3" s="766"/>
      <c r="O3" s="765" t="s">
        <v>578</v>
      </c>
      <c r="P3" s="766"/>
      <c r="Q3" s="766"/>
      <c r="R3" s="766"/>
      <c r="S3" s="768" t="s">
        <v>470</v>
      </c>
    </row>
    <row r="4" spans="1:28" ht="14.45" customHeight="1" x14ac:dyDescent="0.25">
      <c r="A4" s="763"/>
      <c r="B4" s="756">
        <v>2021</v>
      </c>
      <c r="C4" s="757"/>
      <c r="D4" s="757"/>
      <c r="E4" s="758"/>
      <c r="F4" s="756">
        <v>2022</v>
      </c>
      <c r="G4" s="757"/>
      <c r="H4" s="757"/>
      <c r="I4" s="758"/>
      <c r="J4" s="290"/>
      <c r="K4" s="757">
        <v>2023</v>
      </c>
      <c r="L4" s="757"/>
      <c r="M4" s="757"/>
      <c r="N4" s="757"/>
      <c r="O4" s="756">
        <v>2024</v>
      </c>
      <c r="P4" s="757"/>
      <c r="Q4" s="757"/>
      <c r="R4" s="757"/>
      <c r="S4" s="769"/>
    </row>
    <row r="5" spans="1:28" ht="15" customHeight="1" x14ac:dyDescent="0.25">
      <c r="A5" s="763"/>
      <c r="B5" s="733" t="s">
        <v>590</v>
      </c>
      <c r="C5" s="740"/>
      <c r="D5" s="740"/>
      <c r="E5" s="741"/>
      <c r="F5" s="733" t="s">
        <v>590</v>
      </c>
      <c r="G5" s="740"/>
      <c r="H5" s="740"/>
      <c r="I5" s="741"/>
      <c r="J5" s="291"/>
      <c r="K5" s="742" t="s">
        <v>590</v>
      </c>
      <c r="L5" s="740"/>
      <c r="M5" s="740"/>
      <c r="N5" s="740"/>
      <c r="O5" s="733" t="s">
        <v>590</v>
      </c>
      <c r="P5" s="740"/>
      <c r="Q5" s="740"/>
      <c r="R5" s="740"/>
      <c r="S5" s="769"/>
    </row>
    <row r="6" spans="1:28" ht="16.5" customHeight="1" x14ac:dyDescent="0.25">
      <c r="A6" s="763"/>
      <c r="B6" s="750"/>
      <c r="C6" s="753" t="s">
        <v>596</v>
      </c>
      <c r="D6" s="751" t="s">
        <v>592</v>
      </c>
      <c r="E6" s="751" t="s">
        <v>571</v>
      </c>
      <c r="F6" s="750"/>
      <c r="G6" s="753" t="s">
        <v>596</v>
      </c>
      <c r="H6" s="751" t="s">
        <v>592</v>
      </c>
      <c r="I6" s="751" t="s">
        <v>571</v>
      </c>
      <c r="J6" s="296"/>
      <c r="K6" s="755"/>
      <c r="L6" s="753" t="s">
        <v>596</v>
      </c>
      <c r="M6" s="751" t="s">
        <v>592</v>
      </c>
      <c r="N6" s="751" t="s">
        <v>571</v>
      </c>
      <c r="O6" s="750"/>
      <c r="P6" s="753" t="s">
        <v>596</v>
      </c>
      <c r="Q6" s="751" t="s">
        <v>592</v>
      </c>
      <c r="R6" s="751" t="s">
        <v>571</v>
      </c>
      <c r="S6" s="769"/>
    </row>
    <row r="7" spans="1:28" ht="29.25" customHeight="1" x14ac:dyDescent="0.25">
      <c r="A7" s="763"/>
      <c r="B7" s="750"/>
      <c r="C7" s="754"/>
      <c r="D7" s="752"/>
      <c r="E7" s="752"/>
      <c r="F7" s="750"/>
      <c r="G7" s="754"/>
      <c r="H7" s="752"/>
      <c r="I7" s="752"/>
      <c r="J7" s="296"/>
      <c r="K7" s="755"/>
      <c r="L7" s="754"/>
      <c r="M7" s="752"/>
      <c r="N7" s="752"/>
      <c r="O7" s="750"/>
      <c r="P7" s="754"/>
      <c r="Q7" s="752"/>
      <c r="R7" s="752"/>
      <c r="S7" s="769"/>
    </row>
    <row r="8" spans="1:28" ht="46.5" customHeight="1" x14ac:dyDescent="0.25">
      <c r="A8" s="764"/>
      <c r="B8" s="260" t="s">
        <v>591</v>
      </c>
      <c r="C8" s="260" t="s">
        <v>594</v>
      </c>
      <c r="D8" s="260" t="s">
        <v>593</v>
      </c>
      <c r="E8" s="260" t="s">
        <v>595</v>
      </c>
      <c r="F8" s="260" t="s">
        <v>591</v>
      </c>
      <c r="G8" s="260" t="s">
        <v>594</v>
      </c>
      <c r="H8" s="260" t="s">
        <v>593</v>
      </c>
      <c r="I8" s="260" t="s">
        <v>595</v>
      </c>
      <c r="J8" s="293"/>
      <c r="K8" s="288" t="s">
        <v>591</v>
      </c>
      <c r="L8" s="260" t="s">
        <v>594</v>
      </c>
      <c r="M8" s="260" t="s">
        <v>593</v>
      </c>
      <c r="N8" s="260" t="s">
        <v>595</v>
      </c>
      <c r="O8" s="260" t="s">
        <v>591</v>
      </c>
      <c r="P8" s="260" t="s">
        <v>594</v>
      </c>
      <c r="Q8" s="260" t="s">
        <v>593</v>
      </c>
      <c r="R8" s="260" t="s">
        <v>595</v>
      </c>
      <c r="S8" s="770"/>
    </row>
    <row r="9" spans="1:28" ht="18.75" customHeight="1" x14ac:dyDescent="0.25">
      <c r="A9" s="204" t="s">
        <v>136</v>
      </c>
      <c r="B9" s="233">
        <v>38.06</v>
      </c>
      <c r="C9" s="234">
        <v>0.1</v>
      </c>
      <c r="D9" s="791" t="s">
        <v>627</v>
      </c>
      <c r="E9" s="792"/>
      <c r="F9" s="233">
        <v>37.92</v>
      </c>
      <c r="G9" s="234">
        <v>0.1</v>
      </c>
      <c r="H9" s="791" t="s">
        <v>626</v>
      </c>
      <c r="I9" s="792"/>
      <c r="J9" s="299"/>
      <c r="K9" s="269">
        <v>39.700000000000003</v>
      </c>
      <c r="L9" s="270">
        <v>0.1</v>
      </c>
      <c r="M9" s="793" t="s">
        <v>684</v>
      </c>
      <c r="N9" s="794"/>
      <c r="O9" s="271">
        <v>40.85</v>
      </c>
      <c r="P9" s="269">
        <v>0.11</v>
      </c>
      <c r="Q9" s="793" t="s">
        <v>633</v>
      </c>
      <c r="R9" s="794"/>
      <c r="S9" s="215" t="s">
        <v>137</v>
      </c>
    </row>
    <row r="10" spans="1:28" ht="18.75" customHeight="1" x14ac:dyDescent="0.25">
      <c r="A10" s="205" t="s">
        <v>138</v>
      </c>
      <c r="B10" s="233">
        <v>26.053000000000001</v>
      </c>
      <c r="C10" s="234">
        <v>1.897</v>
      </c>
      <c r="D10" s="234">
        <v>9.6950000000000003</v>
      </c>
      <c r="E10" s="146">
        <v>14.461</v>
      </c>
      <c r="F10" s="233">
        <v>27.206</v>
      </c>
      <c r="G10" s="234">
        <v>1.9009999999999998</v>
      </c>
      <c r="H10" s="234">
        <v>10.172000000000001</v>
      </c>
      <c r="I10" s="146">
        <v>15.132999999999999</v>
      </c>
      <c r="J10" s="233"/>
      <c r="K10" s="234">
        <v>28.140999999999998</v>
      </c>
      <c r="L10" s="234" t="s">
        <v>57</v>
      </c>
      <c r="M10" s="234" t="s">
        <v>57</v>
      </c>
      <c r="N10" s="234" t="s">
        <v>57</v>
      </c>
      <c r="O10" s="233">
        <v>27.766999999999999</v>
      </c>
      <c r="P10" s="234" t="s">
        <v>57</v>
      </c>
      <c r="Q10" s="234" t="s">
        <v>57</v>
      </c>
      <c r="R10" s="234" t="s">
        <v>57</v>
      </c>
      <c r="S10" s="215" t="s">
        <v>139</v>
      </c>
      <c r="Y10" s="315"/>
      <c r="Z10" s="315"/>
      <c r="AA10" s="315"/>
      <c r="AB10" s="315"/>
    </row>
    <row r="11" spans="1:28" ht="18.75" customHeight="1" x14ac:dyDescent="0.25">
      <c r="A11" s="205" t="s">
        <v>140</v>
      </c>
      <c r="B11" s="233">
        <v>22.254000000000001</v>
      </c>
      <c r="C11" s="234">
        <v>1.7799999999999998</v>
      </c>
      <c r="D11" s="234">
        <v>4.4480000000000004</v>
      </c>
      <c r="E11" s="146">
        <v>16.026</v>
      </c>
      <c r="F11" s="233">
        <v>22.798999999999999</v>
      </c>
      <c r="G11" s="234">
        <v>1.994</v>
      </c>
      <c r="H11" s="234">
        <v>4.5129999999999999</v>
      </c>
      <c r="I11" s="146">
        <v>16.291</v>
      </c>
      <c r="J11" s="233"/>
      <c r="K11" s="234">
        <v>23.338999999999999</v>
      </c>
      <c r="L11" s="234">
        <v>2.0129999999999999</v>
      </c>
      <c r="M11" s="234">
        <v>4.8490000000000002</v>
      </c>
      <c r="N11" s="234">
        <v>16.478000000000002</v>
      </c>
      <c r="O11" s="233">
        <v>23.725000000000001</v>
      </c>
      <c r="P11" s="234" t="s">
        <v>57</v>
      </c>
      <c r="Q11" s="234" t="s">
        <v>57</v>
      </c>
      <c r="R11" s="234">
        <v>16.465</v>
      </c>
      <c r="S11" s="215" t="s">
        <v>141</v>
      </c>
      <c r="Y11" s="315"/>
      <c r="Z11" s="315"/>
      <c r="AA11" s="315"/>
      <c r="AB11" s="315"/>
    </row>
    <row r="12" spans="1:28" ht="18.75" customHeight="1" x14ac:dyDescent="0.25">
      <c r="A12" s="205" t="s">
        <v>142</v>
      </c>
      <c r="B12" s="233">
        <v>24.864999999999998</v>
      </c>
      <c r="C12" s="234">
        <v>0.14199999999999999</v>
      </c>
      <c r="D12" s="234">
        <v>4.3789999999999996</v>
      </c>
      <c r="E12" s="146">
        <v>20.344000000000001</v>
      </c>
      <c r="F12" s="233">
        <v>26.17</v>
      </c>
      <c r="G12" s="234">
        <v>0.13600000000000001</v>
      </c>
      <c r="H12" s="234">
        <v>4.6260000000000003</v>
      </c>
      <c r="I12" s="146">
        <v>21.408000000000001</v>
      </c>
      <c r="J12" s="233"/>
      <c r="K12" s="234">
        <v>26.41</v>
      </c>
      <c r="L12" s="234">
        <v>0.14000000000000001</v>
      </c>
      <c r="M12" s="234">
        <v>4.7610000000000001</v>
      </c>
      <c r="N12" s="234">
        <v>21.51</v>
      </c>
      <c r="O12" s="233">
        <v>26.167000000000002</v>
      </c>
      <c r="P12" s="234" t="s">
        <v>57</v>
      </c>
      <c r="Q12" s="234" t="s">
        <v>57</v>
      </c>
      <c r="R12" s="234" t="s">
        <v>57</v>
      </c>
      <c r="S12" s="215" t="s">
        <v>143</v>
      </c>
      <c r="Y12" s="315"/>
      <c r="Z12" s="315"/>
      <c r="AA12" s="315"/>
      <c r="AB12" s="315"/>
    </row>
    <row r="13" spans="1:28" ht="18.75" customHeight="1" x14ac:dyDescent="0.25">
      <c r="A13" s="205" t="s">
        <v>144</v>
      </c>
      <c r="B13" s="233">
        <v>27.294</v>
      </c>
      <c r="C13" s="234">
        <v>1.64</v>
      </c>
      <c r="D13" s="234">
        <v>11.43</v>
      </c>
      <c r="E13" s="146">
        <v>14.224</v>
      </c>
      <c r="F13" s="233">
        <v>29.003</v>
      </c>
      <c r="G13" s="234">
        <v>1.8090000000000002</v>
      </c>
      <c r="H13" s="234">
        <v>12.233000000000001</v>
      </c>
      <c r="I13" s="146">
        <v>14.961</v>
      </c>
      <c r="J13" s="233"/>
      <c r="K13" s="234">
        <v>29.69</v>
      </c>
      <c r="L13" s="234">
        <v>1.8220000000000001</v>
      </c>
      <c r="M13" s="234">
        <v>12.664999999999999</v>
      </c>
      <c r="N13" s="234">
        <v>15.202999999999999</v>
      </c>
      <c r="O13" s="233">
        <v>29.806999999999999</v>
      </c>
      <c r="P13" s="234">
        <v>1.84</v>
      </c>
      <c r="Q13" s="234">
        <v>12.69</v>
      </c>
      <c r="R13" s="234">
        <v>15.276999999999999</v>
      </c>
      <c r="S13" s="215" t="s">
        <v>145</v>
      </c>
      <c r="Y13" s="315"/>
      <c r="Z13" s="315"/>
      <c r="AA13" s="315"/>
      <c r="AB13" s="315"/>
    </row>
    <row r="14" spans="1:28" ht="18.75" customHeight="1" x14ac:dyDescent="0.25">
      <c r="A14" s="205" t="s">
        <v>146</v>
      </c>
      <c r="B14" s="235">
        <v>39.488</v>
      </c>
      <c r="C14" s="139">
        <v>0.189</v>
      </c>
      <c r="D14" s="139">
        <v>6.6639999999999997</v>
      </c>
      <c r="E14" s="268">
        <v>32.634999999999998</v>
      </c>
      <c r="F14" s="235">
        <v>42.029000000000003</v>
      </c>
      <c r="G14" s="139">
        <v>0.192</v>
      </c>
      <c r="H14" s="234">
        <v>6.2380000000000004</v>
      </c>
      <c r="I14" s="268">
        <v>35.598999999999997</v>
      </c>
      <c r="J14" s="235"/>
      <c r="K14" s="234">
        <v>40.713000000000001</v>
      </c>
      <c r="L14" s="234">
        <v>0.21199999999999999</v>
      </c>
      <c r="M14" s="234">
        <v>5.9080000000000004</v>
      </c>
      <c r="N14" s="234">
        <v>34.593000000000004</v>
      </c>
      <c r="O14" s="233">
        <v>44.92</v>
      </c>
      <c r="P14" s="139">
        <v>0.218</v>
      </c>
      <c r="Q14" s="234">
        <v>5.5540000000000003</v>
      </c>
      <c r="R14" s="234">
        <v>39.148000000000003</v>
      </c>
      <c r="S14" s="215" t="s">
        <v>147</v>
      </c>
      <c r="Y14" s="315"/>
      <c r="Z14" s="315"/>
      <c r="AA14" s="315"/>
      <c r="AB14" s="315"/>
    </row>
    <row r="15" spans="1:28" ht="18.75" customHeight="1" x14ac:dyDescent="0.25">
      <c r="A15" s="225" t="s">
        <v>383</v>
      </c>
      <c r="B15" s="235">
        <v>21.529</v>
      </c>
      <c r="C15" s="139">
        <v>0</v>
      </c>
      <c r="D15" s="139">
        <v>7.8360000000000003</v>
      </c>
      <c r="E15" s="268">
        <v>13.693</v>
      </c>
      <c r="F15" s="235">
        <v>23.065000000000001</v>
      </c>
      <c r="G15" s="139">
        <v>0</v>
      </c>
      <c r="H15" s="234">
        <v>8.6910000000000007</v>
      </c>
      <c r="I15" s="268">
        <v>14.374000000000001</v>
      </c>
      <c r="J15" s="235"/>
      <c r="K15" s="234">
        <v>23.355</v>
      </c>
      <c r="L15" s="234">
        <v>0</v>
      </c>
      <c r="M15" s="234">
        <v>8.7219999999999995</v>
      </c>
      <c r="N15" s="234">
        <v>14.634</v>
      </c>
      <c r="O15" s="233">
        <v>23.97</v>
      </c>
      <c r="P15" s="139">
        <v>0</v>
      </c>
      <c r="Q15" s="234">
        <v>9.2330000000000005</v>
      </c>
      <c r="R15" s="234">
        <v>14.737</v>
      </c>
      <c r="S15" s="226" t="s">
        <v>384</v>
      </c>
      <c r="Y15" s="315"/>
      <c r="Z15" s="315"/>
      <c r="AA15" s="315"/>
      <c r="AB15" s="315"/>
    </row>
    <row r="16" spans="1:28" ht="18.75" customHeight="1" x14ac:dyDescent="0.25">
      <c r="A16" s="225" t="s">
        <v>392</v>
      </c>
      <c r="B16" s="235">
        <v>25.251000000000001</v>
      </c>
      <c r="C16" s="139">
        <v>0.56099999999999994</v>
      </c>
      <c r="D16" s="139">
        <v>4.173</v>
      </c>
      <c r="E16" s="268">
        <v>20.516999999999999</v>
      </c>
      <c r="F16" s="235">
        <v>27.484000000000002</v>
      </c>
      <c r="G16" s="139">
        <v>0.78599999999999992</v>
      </c>
      <c r="H16" s="234">
        <v>4.2629999999999999</v>
      </c>
      <c r="I16" s="268">
        <v>22.434999999999999</v>
      </c>
      <c r="J16" s="235"/>
      <c r="K16" s="234">
        <v>29.198</v>
      </c>
      <c r="L16" s="234">
        <v>0.59099999999999997</v>
      </c>
      <c r="M16" s="234">
        <v>4.4809999999999999</v>
      </c>
      <c r="N16" s="234">
        <v>24.126000000000001</v>
      </c>
      <c r="O16" s="233">
        <v>29.280999999999999</v>
      </c>
      <c r="P16" s="234" t="s">
        <v>57</v>
      </c>
      <c r="Q16" s="234" t="s">
        <v>57</v>
      </c>
      <c r="R16" s="234" t="s">
        <v>57</v>
      </c>
      <c r="S16" s="226" t="s">
        <v>391</v>
      </c>
      <c r="Y16" s="315"/>
      <c r="Z16" s="315"/>
      <c r="AA16" s="315"/>
      <c r="AB16" s="315"/>
    </row>
    <row r="17" spans="1:28" ht="18.75" customHeight="1" x14ac:dyDescent="0.25">
      <c r="A17" s="205" t="s">
        <v>148</v>
      </c>
      <c r="B17" s="233">
        <v>13.25</v>
      </c>
      <c r="C17" s="234">
        <v>0.71199999999999997</v>
      </c>
      <c r="D17" s="234">
        <v>5.6000000000000001E-2</v>
      </c>
      <c r="E17" s="146">
        <v>12.481999999999999</v>
      </c>
      <c r="F17" s="233">
        <v>15.029</v>
      </c>
      <c r="G17" s="234">
        <v>0.628</v>
      </c>
      <c r="H17" s="234">
        <v>0.114</v>
      </c>
      <c r="I17" s="146">
        <v>14.288</v>
      </c>
      <c r="J17" s="233"/>
      <c r="K17" s="234">
        <v>15.472</v>
      </c>
      <c r="L17" s="234">
        <v>0.72899999999999998</v>
      </c>
      <c r="M17" s="234">
        <v>0.14699999999999999</v>
      </c>
      <c r="N17" s="234">
        <v>14.597</v>
      </c>
      <c r="O17" s="233">
        <v>14.94</v>
      </c>
      <c r="P17" s="234">
        <v>0.72899999999999998</v>
      </c>
      <c r="Q17" s="234">
        <v>0.14699999999999999</v>
      </c>
      <c r="R17" s="234">
        <v>14.064</v>
      </c>
      <c r="S17" s="215" t="s">
        <v>149</v>
      </c>
      <c r="Y17" s="315"/>
      <c r="Z17" s="315"/>
      <c r="AA17" s="315"/>
      <c r="AB17" s="315"/>
    </row>
    <row r="18" spans="1:28" ht="18.75" customHeight="1" x14ac:dyDescent="0.25">
      <c r="A18" s="205" t="s">
        <v>150</v>
      </c>
      <c r="B18" s="233">
        <v>15.493</v>
      </c>
      <c r="C18" s="234">
        <v>0.107</v>
      </c>
      <c r="D18" s="234">
        <v>2.0819999999999999</v>
      </c>
      <c r="E18" s="146">
        <v>13.304</v>
      </c>
      <c r="F18" s="233">
        <v>15.57</v>
      </c>
      <c r="G18" s="234">
        <v>0.111</v>
      </c>
      <c r="H18" s="234">
        <v>2.2719999999999998</v>
      </c>
      <c r="I18" s="146">
        <v>13.188000000000001</v>
      </c>
      <c r="J18" s="233"/>
      <c r="K18" s="234">
        <v>16.715</v>
      </c>
      <c r="L18" s="234">
        <v>0.115</v>
      </c>
      <c r="M18" s="234">
        <v>2.6240000000000001</v>
      </c>
      <c r="N18" s="234">
        <v>13.977</v>
      </c>
      <c r="O18" s="233">
        <v>16.565999999999999</v>
      </c>
      <c r="P18" s="234">
        <v>0.112</v>
      </c>
      <c r="Q18" s="234">
        <v>2.585</v>
      </c>
      <c r="R18" s="234">
        <v>13.869</v>
      </c>
      <c r="S18" s="215" t="s">
        <v>151</v>
      </c>
      <c r="Y18" s="315"/>
      <c r="Z18" s="315"/>
      <c r="AA18" s="315"/>
      <c r="AB18" s="315"/>
    </row>
    <row r="19" spans="1:28" ht="18.75" customHeight="1" x14ac:dyDescent="0.25">
      <c r="A19" s="205" t="s">
        <v>152</v>
      </c>
      <c r="B19" s="235">
        <v>23.881</v>
      </c>
      <c r="C19" s="234">
        <v>1.351</v>
      </c>
      <c r="D19" s="234">
        <v>0.375</v>
      </c>
      <c r="E19" s="146">
        <v>22.155000000000001</v>
      </c>
      <c r="F19" s="235">
        <v>25.163</v>
      </c>
      <c r="G19" s="234">
        <v>1.2970000000000002</v>
      </c>
      <c r="H19" s="234">
        <v>0.72399999999999998</v>
      </c>
      <c r="I19" s="268">
        <v>23.141999999999999</v>
      </c>
      <c r="J19" s="235"/>
      <c r="K19" s="234">
        <v>24.163</v>
      </c>
      <c r="L19" s="234">
        <v>1.202</v>
      </c>
      <c r="M19" s="234">
        <v>0.86099999999999999</v>
      </c>
      <c r="N19" s="234">
        <v>22.1</v>
      </c>
      <c r="O19" s="233">
        <v>23.411000000000001</v>
      </c>
      <c r="P19" s="234">
        <v>1.1559999999999999</v>
      </c>
      <c r="Q19" s="234">
        <v>0.873</v>
      </c>
      <c r="R19" s="234">
        <v>21.382000000000001</v>
      </c>
      <c r="S19" s="215" t="s">
        <v>153</v>
      </c>
      <c r="Y19" s="315"/>
      <c r="Z19" s="315"/>
      <c r="AA19" s="315"/>
      <c r="AB19" s="315"/>
    </row>
    <row r="20" spans="1:28" ht="18.75" customHeight="1" x14ac:dyDescent="0.25">
      <c r="A20" s="205" t="s">
        <v>154</v>
      </c>
      <c r="B20" s="233">
        <v>20.844000000000001</v>
      </c>
      <c r="C20" s="234">
        <v>2.4979999999999998</v>
      </c>
      <c r="D20" s="234">
        <v>1.6830000000000001</v>
      </c>
      <c r="E20" s="146">
        <v>16.663</v>
      </c>
      <c r="F20" s="233">
        <v>20.408000000000001</v>
      </c>
      <c r="G20" s="234">
        <v>2.407</v>
      </c>
      <c r="H20" s="234">
        <v>1.903</v>
      </c>
      <c r="I20" s="146">
        <v>16.097999999999999</v>
      </c>
      <c r="J20" s="233"/>
      <c r="K20" s="234">
        <v>18.984999999999999</v>
      </c>
      <c r="L20" s="234">
        <v>2.7349999999999999</v>
      </c>
      <c r="M20" s="234">
        <v>2.1539999999999999</v>
      </c>
      <c r="N20" s="234">
        <v>14.095000000000001</v>
      </c>
      <c r="O20" s="233">
        <v>18.637</v>
      </c>
      <c r="P20" s="234" t="s">
        <v>57</v>
      </c>
      <c r="Q20" s="234" t="s">
        <v>57</v>
      </c>
      <c r="R20" s="234" t="s">
        <v>57</v>
      </c>
      <c r="S20" s="215" t="s">
        <v>155</v>
      </c>
      <c r="Y20" s="315"/>
      <c r="Z20" s="315"/>
      <c r="AA20" s="315"/>
      <c r="AB20" s="315"/>
    </row>
    <row r="21" spans="1:28" ht="18.75" customHeight="1" x14ac:dyDescent="0.25">
      <c r="A21" s="205" t="s">
        <v>156</v>
      </c>
      <c r="B21" s="233">
        <v>15.449</v>
      </c>
      <c r="C21" s="234">
        <v>0.56999999999999995</v>
      </c>
      <c r="D21" s="234">
        <v>5.71</v>
      </c>
      <c r="E21" s="146">
        <v>9.1690000000000005</v>
      </c>
      <c r="F21" s="233">
        <v>15.487</v>
      </c>
      <c r="G21" s="234">
        <v>0.57199999999999995</v>
      </c>
      <c r="H21" s="234">
        <v>5.6669999999999998</v>
      </c>
      <c r="I21" s="146">
        <v>9.2479999999999993</v>
      </c>
      <c r="J21" s="233"/>
      <c r="K21" s="234">
        <v>15.577</v>
      </c>
      <c r="L21" s="234">
        <v>0.56200000000000006</v>
      </c>
      <c r="M21" s="234">
        <v>5.7539999999999996</v>
      </c>
      <c r="N21" s="234">
        <v>9.26</v>
      </c>
      <c r="O21" s="233">
        <v>15.58</v>
      </c>
      <c r="P21" s="139">
        <v>0.54500000000000004</v>
      </c>
      <c r="Q21" s="234">
        <v>5.8070000000000004</v>
      </c>
      <c r="R21" s="234">
        <v>9.2270000000000003</v>
      </c>
      <c r="S21" s="215" t="s">
        <v>157</v>
      </c>
      <c r="Y21" s="315"/>
      <c r="Z21" s="315"/>
      <c r="AA21" s="315"/>
      <c r="AB21" s="315"/>
    </row>
    <row r="22" spans="1:28" ht="18.75" customHeight="1" x14ac:dyDescent="0.25">
      <c r="A22" s="205" t="s">
        <v>158</v>
      </c>
      <c r="B22" s="233">
        <v>14.143000000000001</v>
      </c>
      <c r="C22" s="234">
        <v>1.524</v>
      </c>
      <c r="D22" s="234">
        <v>1.2549999999999999</v>
      </c>
      <c r="E22" s="146">
        <v>11.363</v>
      </c>
      <c r="F22" s="233">
        <v>13.281000000000001</v>
      </c>
      <c r="G22" s="234">
        <v>1.591</v>
      </c>
      <c r="H22" s="234">
        <v>1.258</v>
      </c>
      <c r="I22" s="146">
        <v>10.432</v>
      </c>
      <c r="J22" s="233"/>
      <c r="K22" s="234">
        <v>14.058999999999999</v>
      </c>
      <c r="L22" s="234">
        <v>1.6850000000000001</v>
      </c>
      <c r="M22" s="234">
        <v>1.321</v>
      </c>
      <c r="N22" s="234">
        <v>11.053000000000001</v>
      </c>
      <c r="O22" s="233">
        <v>13.726000000000001</v>
      </c>
      <c r="P22" s="139" t="s">
        <v>57</v>
      </c>
      <c r="Q22" s="234" t="s">
        <v>57</v>
      </c>
      <c r="R22" s="234">
        <v>10.707000000000001</v>
      </c>
      <c r="S22" s="215" t="s">
        <v>159</v>
      </c>
      <c r="Y22" s="315"/>
      <c r="Z22" s="315"/>
      <c r="AA22" s="315"/>
      <c r="AB22" s="315"/>
    </row>
    <row r="23" spans="1:28" ht="18.75" customHeight="1" x14ac:dyDescent="0.25">
      <c r="A23" s="205" t="s">
        <v>160</v>
      </c>
      <c r="B23" s="233">
        <v>37.731999999999999</v>
      </c>
      <c r="C23" s="234">
        <v>0.252</v>
      </c>
      <c r="D23" s="234">
        <v>4.16</v>
      </c>
      <c r="E23" s="146">
        <v>33.319000000000003</v>
      </c>
      <c r="F23" s="233">
        <v>37.831000000000003</v>
      </c>
      <c r="G23" s="234">
        <v>0.23499999999999999</v>
      </c>
      <c r="H23" s="234">
        <v>4.0570000000000004</v>
      </c>
      <c r="I23" s="146">
        <v>33.539000000000001</v>
      </c>
      <c r="J23" s="233"/>
      <c r="K23" s="234">
        <v>38.856999999999999</v>
      </c>
      <c r="L23" s="234">
        <v>0.22399999999999998</v>
      </c>
      <c r="M23" s="234">
        <v>4.33</v>
      </c>
      <c r="N23" s="234">
        <v>34.302999999999997</v>
      </c>
      <c r="O23" s="233">
        <v>40.31</v>
      </c>
      <c r="P23" s="234" t="s">
        <v>57</v>
      </c>
      <c r="Q23" s="234" t="s">
        <v>57</v>
      </c>
      <c r="R23" s="234" t="s">
        <v>57</v>
      </c>
      <c r="S23" s="215" t="s">
        <v>161</v>
      </c>
      <c r="Y23" s="315"/>
      <c r="Z23" s="315"/>
      <c r="AA23" s="315"/>
      <c r="AB23" s="315"/>
    </row>
    <row r="24" spans="1:28" ht="18.75" customHeight="1" x14ac:dyDescent="0.25">
      <c r="A24" s="205" t="s">
        <v>162</v>
      </c>
      <c r="B24" s="233">
        <v>27.547000000000001</v>
      </c>
      <c r="C24" s="234">
        <v>1.3980000000000001</v>
      </c>
      <c r="D24" s="234">
        <v>1.5089999999999999</v>
      </c>
      <c r="E24" s="146">
        <v>24.64</v>
      </c>
      <c r="F24" s="233">
        <v>27.027000000000001</v>
      </c>
      <c r="G24" s="234">
        <v>1.4390000000000001</v>
      </c>
      <c r="H24" s="234">
        <v>1.5740000000000001</v>
      </c>
      <c r="I24" s="146">
        <v>24.013999999999999</v>
      </c>
      <c r="J24" s="233"/>
      <c r="K24" s="234">
        <v>26.291</v>
      </c>
      <c r="L24" s="234">
        <v>1.448</v>
      </c>
      <c r="M24" s="234">
        <v>1.784</v>
      </c>
      <c r="N24" s="234">
        <v>23.06</v>
      </c>
      <c r="O24" s="234">
        <v>26.765999999999998</v>
      </c>
      <c r="P24" s="234">
        <v>0</v>
      </c>
      <c r="Q24" s="234">
        <v>0</v>
      </c>
      <c r="R24" s="234">
        <v>26.765999999999998</v>
      </c>
      <c r="S24" s="215" t="s">
        <v>163</v>
      </c>
      <c r="Y24" s="315"/>
      <c r="Z24" s="315"/>
      <c r="AA24" s="315"/>
      <c r="AB24" s="315"/>
    </row>
    <row r="25" spans="1:28" ht="18.75" customHeight="1" x14ac:dyDescent="0.25">
      <c r="A25" s="205" t="s">
        <v>164</v>
      </c>
      <c r="B25" s="233">
        <v>16.218</v>
      </c>
      <c r="C25" s="234">
        <v>1.675</v>
      </c>
      <c r="D25" s="234">
        <v>0</v>
      </c>
      <c r="E25" s="146">
        <v>14.542999999999999</v>
      </c>
      <c r="F25" s="233">
        <v>15.319000000000001</v>
      </c>
      <c r="G25" s="234">
        <v>1.645</v>
      </c>
      <c r="H25" s="234">
        <v>0</v>
      </c>
      <c r="I25" s="146">
        <v>13.673999999999999</v>
      </c>
      <c r="J25" s="233"/>
      <c r="K25" s="234">
        <v>16.375</v>
      </c>
      <c r="L25" s="234">
        <v>1.69</v>
      </c>
      <c r="M25" s="234">
        <v>0</v>
      </c>
      <c r="N25" s="234">
        <v>14.685</v>
      </c>
      <c r="O25" s="233">
        <v>16.533999999999999</v>
      </c>
      <c r="P25" s="234">
        <v>1.6539999999999999</v>
      </c>
      <c r="Q25" s="234">
        <v>0</v>
      </c>
      <c r="R25" s="234">
        <v>14.88</v>
      </c>
      <c r="S25" s="215" t="s">
        <v>165</v>
      </c>
      <c r="Y25" s="315"/>
      <c r="Z25" s="315"/>
      <c r="AA25" s="315"/>
      <c r="AB25" s="315"/>
    </row>
    <row r="26" spans="1:28" ht="18.75" customHeight="1" x14ac:dyDescent="0.25">
      <c r="A26" s="205" t="s">
        <v>166</v>
      </c>
      <c r="B26" s="233">
        <v>23.318999999999999</v>
      </c>
      <c r="C26" s="234">
        <v>1.4670000000000001</v>
      </c>
      <c r="D26" s="234">
        <v>10.326000000000001</v>
      </c>
      <c r="E26" s="146">
        <v>11.526</v>
      </c>
      <c r="F26" s="233">
        <v>23.492000000000001</v>
      </c>
      <c r="G26" s="234">
        <v>1.534</v>
      </c>
      <c r="H26" s="234">
        <v>10.407</v>
      </c>
      <c r="I26" s="146">
        <v>11.551</v>
      </c>
      <c r="J26" s="233"/>
      <c r="K26" s="234">
        <v>23.407</v>
      </c>
      <c r="L26" s="234">
        <v>1.532</v>
      </c>
      <c r="M26" s="234">
        <v>10.574999999999999</v>
      </c>
      <c r="N26" s="234">
        <v>11.298999999999999</v>
      </c>
      <c r="O26" s="233">
        <v>22.34</v>
      </c>
      <c r="P26" s="234" t="s">
        <v>57</v>
      </c>
      <c r="Q26" s="234" t="s">
        <v>57</v>
      </c>
      <c r="R26" s="234">
        <v>10.606999999999999</v>
      </c>
      <c r="S26" s="215" t="s">
        <v>167</v>
      </c>
      <c r="Y26" s="315"/>
      <c r="Z26" s="315"/>
      <c r="AA26" s="315"/>
      <c r="AB26" s="315"/>
    </row>
    <row r="27" spans="1:28" ht="18.75" customHeight="1" x14ac:dyDescent="0.25">
      <c r="A27" s="205" t="s">
        <v>168</v>
      </c>
      <c r="B27" s="233">
        <v>28.01</v>
      </c>
      <c r="C27" s="234">
        <v>0.374</v>
      </c>
      <c r="D27" s="234">
        <v>10.161</v>
      </c>
      <c r="E27" s="146">
        <v>17.475000000000001</v>
      </c>
      <c r="F27" s="233">
        <v>37.008000000000003</v>
      </c>
      <c r="G27" s="234">
        <v>0.495</v>
      </c>
      <c r="H27" s="234">
        <v>11.824999999999999</v>
      </c>
      <c r="I27" s="146">
        <v>24.69</v>
      </c>
      <c r="J27" s="233"/>
      <c r="K27" s="234">
        <v>33.311999999999998</v>
      </c>
      <c r="L27" s="234">
        <v>0.73000000000000009</v>
      </c>
      <c r="M27" s="234">
        <v>12.097</v>
      </c>
      <c r="N27" s="234">
        <v>20.486000000000001</v>
      </c>
      <c r="O27" s="233">
        <v>31.314</v>
      </c>
      <c r="P27" s="234" t="s">
        <v>57</v>
      </c>
      <c r="Q27" s="234" t="s">
        <v>57</v>
      </c>
      <c r="R27" s="234" t="s">
        <v>57</v>
      </c>
      <c r="S27" s="215" t="s">
        <v>169</v>
      </c>
      <c r="Y27" s="315"/>
      <c r="Z27" s="315"/>
      <c r="AA27" s="315"/>
      <c r="AB27" s="315"/>
    </row>
    <row r="28" spans="1:28" ht="18.75" customHeight="1" x14ac:dyDescent="0.25">
      <c r="A28" s="205" t="s">
        <v>170</v>
      </c>
      <c r="B28" s="233">
        <v>25.474</v>
      </c>
      <c r="C28" s="234">
        <v>0.74099999999999999</v>
      </c>
      <c r="D28" s="234">
        <v>1.92</v>
      </c>
      <c r="E28" s="146">
        <v>22.814</v>
      </c>
      <c r="F28" s="233">
        <v>26.29</v>
      </c>
      <c r="G28" s="234">
        <v>0.83099999999999996</v>
      </c>
      <c r="H28" s="234">
        <v>2.1379999999999999</v>
      </c>
      <c r="I28" s="146">
        <v>23.321000000000002</v>
      </c>
      <c r="J28" s="233"/>
      <c r="K28" s="234">
        <v>26.922999999999998</v>
      </c>
      <c r="L28" s="234">
        <v>0.872</v>
      </c>
      <c r="M28" s="234">
        <v>2.4049999999999998</v>
      </c>
      <c r="N28" s="234">
        <v>23.646000000000001</v>
      </c>
      <c r="O28" s="233">
        <v>25.745999999999999</v>
      </c>
      <c r="P28" s="139">
        <v>0.879</v>
      </c>
      <c r="Q28" s="234">
        <v>2.5569999999999999</v>
      </c>
      <c r="R28" s="234">
        <v>22.31</v>
      </c>
      <c r="S28" s="215" t="s">
        <v>171</v>
      </c>
      <c r="Y28" s="315"/>
      <c r="Z28" s="315"/>
      <c r="AA28" s="315"/>
      <c r="AB28" s="315"/>
    </row>
    <row r="29" spans="1:28" ht="18.75" customHeight="1" x14ac:dyDescent="0.25">
      <c r="A29" s="205" t="s">
        <v>172</v>
      </c>
      <c r="B29" s="233">
        <v>13.736000000000001</v>
      </c>
      <c r="C29" s="234">
        <v>0.81799999999999995</v>
      </c>
      <c r="D29" s="234">
        <v>2.0979999999999999</v>
      </c>
      <c r="E29" s="146">
        <v>10.82</v>
      </c>
      <c r="F29" s="233">
        <v>13.98</v>
      </c>
      <c r="G29" s="234">
        <v>0.79100000000000004</v>
      </c>
      <c r="H29" s="234">
        <v>2.0409999999999999</v>
      </c>
      <c r="I29" s="146">
        <v>11.148</v>
      </c>
      <c r="J29" s="233"/>
      <c r="K29" s="234">
        <v>15.175000000000001</v>
      </c>
      <c r="L29" s="234">
        <v>0.85799999999999998</v>
      </c>
      <c r="M29" s="234">
        <v>2.08</v>
      </c>
      <c r="N29" s="234">
        <v>12.236000000000001</v>
      </c>
      <c r="O29" s="233">
        <v>15.227</v>
      </c>
      <c r="P29" s="234" t="s">
        <v>57</v>
      </c>
      <c r="Q29" s="234" t="s">
        <v>57</v>
      </c>
      <c r="R29" s="234" t="s">
        <v>57</v>
      </c>
      <c r="S29" s="215" t="s">
        <v>173</v>
      </c>
      <c r="Y29" s="315"/>
      <c r="Z29" s="315"/>
      <c r="AA29" s="315"/>
      <c r="AB29" s="315"/>
    </row>
    <row r="30" spans="1:28" ht="18.75" customHeight="1" x14ac:dyDescent="0.25">
      <c r="A30" s="205" t="s">
        <v>174</v>
      </c>
      <c r="B30" s="233">
        <v>37.853999999999999</v>
      </c>
      <c r="C30" s="234">
        <v>0.13600000000000001</v>
      </c>
      <c r="D30" s="234">
        <v>7.9390000000000001</v>
      </c>
      <c r="E30" s="146">
        <v>29.779</v>
      </c>
      <c r="F30" s="233">
        <v>36.429000000000002</v>
      </c>
      <c r="G30" s="234">
        <v>0.124</v>
      </c>
      <c r="H30" s="234">
        <v>6.9720000000000004</v>
      </c>
      <c r="I30" s="146">
        <v>29.332999999999998</v>
      </c>
      <c r="J30" s="233"/>
      <c r="K30" s="234">
        <v>39.579000000000001</v>
      </c>
      <c r="L30" s="234">
        <v>0.13900000000000001</v>
      </c>
      <c r="M30" s="234">
        <v>8.2409999999999997</v>
      </c>
      <c r="N30" s="234">
        <v>31.198</v>
      </c>
      <c r="O30" s="233">
        <v>40.040999999999997</v>
      </c>
      <c r="P30" s="234">
        <v>0.14199999999999999</v>
      </c>
      <c r="Q30" s="234">
        <v>8.4969999999999999</v>
      </c>
      <c r="R30" s="234">
        <v>31.401</v>
      </c>
      <c r="S30" s="215" t="s">
        <v>175</v>
      </c>
      <c r="Y30" s="315"/>
      <c r="Z30" s="315"/>
      <c r="AA30" s="315"/>
      <c r="AB30" s="315"/>
    </row>
    <row r="31" spans="1:28" ht="18.75" customHeight="1" x14ac:dyDescent="0.25">
      <c r="A31" s="205" t="s">
        <v>176</v>
      </c>
      <c r="B31" s="235">
        <v>30.535</v>
      </c>
      <c r="C31" s="139">
        <v>1.7000000000000001E-2</v>
      </c>
      <c r="D31" s="139">
        <v>3.5339999999999998</v>
      </c>
      <c r="E31" s="268">
        <v>26.981999999999999</v>
      </c>
      <c r="F31" s="235">
        <v>35.090000000000003</v>
      </c>
      <c r="G31" s="139">
        <v>0.14000000000000001</v>
      </c>
      <c r="H31" s="234">
        <v>4.2089999999999996</v>
      </c>
      <c r="I31" s="268">
        <v>30.74</v>
      </c>
      <c r="J31" s="235"/>
      <c r="K31" s="234">
        <v>40.402000000000001</v>
      </c>
      <c r="L31" s="234">
        <v>9.8999999999999991E-2</v>
      </c>
      <c r="M31" s="234">
        <v>5.2450000000000001</v>
      </c>
      <c r="N31" s="234">
        <v>35.058</v>
      </c>
      <c r="O31" s="233">
        <v>39.451999999999998</v>
      </c>
      <c r="P31" s="234" t="s">
        <v>57</v>
      </c>
      <c r="Q31" s="234" t="s">
        <v>57</v>
      </c>
      <c r="R31" s="234" t="s">
        <v>57</v>
      </c>
      <c r="S31" s="215" t="s">
        <v>177</v>
      </c>
      <c r="Y31" s="315"/>
      <c r="Z31" s="315"/>
      <c r="AA31" s="315"/>
      <c r="AB31" s="315"/>
    </row>
    <row r="32" spans="1:28" ht="18.75" customHeight="1" x14ac:dyDescent="0.25">
      <c r="A32" s="205" t="s">
        <v>306</v>
      </c>
      <c r="B32" s="235">
        <v>31.190999999999999</v>
      </c>
      <c r="C32" s="139">
        <v>5.7999999999999996E-2</v>
      </c>
      <c r="D32" s="139">
        <v>1.202</v>
      </c>
      <c r="E32" s="268">
        <v>29.931000000000001</v>
      </c>
      <c r="F32" s="235">
        <v>33.43</v>
      </c>
      <c r="G32" s="139">
        <v>6.6000000000000003E-2</v>
      </c>
      <c r="H32" s="234">
        <v>1.5620000000000001</v>
      </c>
      <c r="I32" s="268">
        <v>31.802</v>
      </c>
      <c r="J32" s="235"/>
      <c r="K32" s="234">
        <v>32.654000000000003</v>
      </c>
      <c r="L32" s="234">
        <v>6.2E-2</v>
      </c>
      <c r="M32" s="234">
        <v>1.573</v>
      </c>
      <c r="N32" s="234">
        <v>31.02</v>
      </c>
      <c r="O32" s="233">
        <v>33.057000000000002</v>
      </c>
      <c r="P32" s="234" t="s">
        <v>57</v>
      </c>
      <c r="Q32" s="234" t="s">
        <v>57</v>
      </c>
      <c r="R32" s="234">
        <v>31.425000000000001</v>
      </c>
      <c r="S32" s="215" t="s">
        <v>305</v>
      </c>
      <c r="Y32" s="315"/>
      <c r="Z32" s="315"/>
      <c r="AA32" s="315"/>
      <c r="AB32" s="315"/>
    </row>
    <row r="33" spans="1:28" ht="18.75" customHeight="1" x14ac:dyDescent="0.25">
      <c r="A33" s="205" t="s">
        <v>178</v>
      </c>
      <c r="B33" s="233">
        <v>12.694000000000001</v>
      </c>
      <c r="C33" s="234">
        <v>0.95399999999999996</v>
      </c>
      <c r="D33" s="234">
        <v>2.9420000000000002</v>
      </c>
      <c r="E33" s="146">
        <v>8.798</v>
      </c>
      <c r="F33" s="233">
        <v>12.781000000000001</v>
      </c>
      <c r="G33" s="234">
        <v>1.054</v>
      </c>
      <c r="H33" s="234">
        <v>3.06</v>
      </c>
      <c r="I33" s="146">
        <v>8.6679999999999993</v>
      </c>
      <c r="J33" s="233"/>
      <c r="K33" s="234">
        <v>13.207000000000001</v>
      </c>
      <c r="L33" s="234">
        <v>1.1060000000000001</v>
      </c>
      <c r="M33" s="234">
        <v>3.327</v>
      </c>
      <c r="N33" s="234">
        <v>8.7739999999999991</v>
      </c>
      <c r="O33" s="233">
        <v>12.975</v>
      </c>
      <c r="P33" s="139">
        <v>1.208</v>
      </c>
      <c r="Q33" s="234">
        <v>3.2629999999999999</v>
      </c>
      <c r="R33" s="234">
        <v>8.5050000000000008</v>
      </c>
      <c r="S33" s="215" t="s">
        <v>179</v>
      </c>
      <c r="Y33" s="315"/>
      <c r="Z33" s="315"/>
      <c r="AA33" s="315"/>
      <c r="AB33" s="315"/>
    </row>
    <row r="34" spans="1:28" ht="18.75" customHeight="1" x14ac:dyDescent="0.25">
      <c r="A34" s="205" t="s">
        <v>180</v>
      </c>
      <c r="B34" s="235">
        <v>49.790999999999997</v>
      </c>
      <c r="C34" s="234">
        <v>1.857</v>
      </c>
      <c r="D34" s="234">
        <v>6.5629999999999997</v>
      </c>
      <c r="E34" s="146">
        <v>41.371000000000002</v>
      </c>
      <c r="F34" s="235">
        <v>48.107999999999997</v>
      </c>
      <c r="G34" s="234">
        <v>1.7350000000000001</v>
      </c>
      <c r="H34" s="234">
        <v>7.2830000000000004</v>
      </c>
      <c r="I34" s="268">
        <v>39.090000000000003</v>
      </c>
      <c r="J34" s="235"/>
      <c r="K34" s="234">
        <v>49.079000000000001</v>
      </c>
      <c r="L34" s="234" t="s">
        <v>57</v>
      </c>
      <c r="M34" s="234" t="s">
        <v>57</v>
      </c>
      <c r="N34" s="234" t="s">
        <v>57</v>
      </c>
      <c r="O34" s="233">
        <v>48.390999999999998</v>
      </c>
      <c r="P34" s="234" t="s">
        <v>57</v>
      </c>
      <c r="Q34" s="234" t="s">
        <v>57</v>
      </c>
      <c r="R34" s="234" t="s">
        <v>57</v>
      </c>
      <c r="S34" s="215" t="s">
        <v>181</v>
      </c>
      <c r="Y34" s="315"/>
      <c r="Z34" s="315"/>
      <c r="AA34" s="315"/>
      <c r="AB34" s="315"/>
    </row>
    <row r="35" spans="1:28" ht="18.75" customHeight="1" x14ac:dyDescent="0.25">
      <c r="A35" s="205" t="s">
        <v>182</v>
      </c>
      <c r="B35" s="233">
        <v>16.193000000000001</v>
      </c>
      <c r="C35" s="234">
        <v>1.1280000000000001</v>
      </c>
      <c r="D35" s="234">
        <v>4.157</v>
      </c>
      <c r="E35" s="146">
        <v>10.907999999999999</v>
      </c>
      <c r="F35" s="233">
        <v>17.184999999999999</v>
      </c>
      <c r="G35" s="234">
        <v>1.101</v>
      </c>
      <c r="H35" s="234">
        <v>4.149</v>
      </c>
      <c r="I35" s="146">
        <v>11.935</v>
      </c>
      <c r="J35" s="233"/>
      <c r="K35" s="234">
        <v>17.308</v>
      </c>
      <c r="L35" s="234">
        <v>1.1749999999999998</v>
      </c>
      <c r="M35" s="234">
        <v>4.0999999999999996</v>
      </c>
      <c r="N35" s="234">
        <v>12.034000000000001</v>
      </c>
      <c r="O35" s="233">
        <v>16.827999999999999</v>
      </c>
      <c r="P35" s="139">
        <v>1.2</v>
      </c>
      <c r="Q35" s="234">
        <v>3.8410000000000002</v>
      </c>
      <c r="R35" s="234">
        <v>11.788</v>
      </c>
      <c r="S35" s="215" t="s">
        <v>183</v>
      </c>
      <c r="Y35" s="315"/>
      <c r="Z35" s="315"/>
      <c r="AA35" s="315"/>
      <c r="AB35" s="315"/>
    </row>
    <row r="36" spans="1:28" ht="18.75" customHeight="1" x14ac:dyDescent="0.25">
      <c r="A36" s="205" t="s">
        <v>184</v>
      </c>
      <c r="B36" s="233">
        <v>20.969000000000001</v>
      </c>
      <c r="C36" s="234">
        <v>2.2530000000000001</v>
      </c>
      <c r="D36" s="234">
        <v>5.1509999999999998</v>
      </c>
      <c r="E36" s="146">
        <v>13.565</v>
      </c>
      <c r="F36" s="233">
        <v>18.088000000000001</v>
      </c>
      <c r="G36" s="234">
        <v>1.91</v>
      </c>
      <c r="H36" s="234">
        <v>4.2519999999999998</v>
      </c>
      <c r="I36" s="146">
        <v>11.926</v>
      </c>
      <c r="J36" s="233"/>
      <c r="K36" s="234">
        <v>19.446999999999999</v>
      </c>
      <c r="L36" s="234">
        <v>1.9379999999999999</v>
      </c>
      <c r="M36" s="234">
        <v>4.9130000000000003</v>
      </c>
      <c r="N36" s="234">
        <v>12.595000000000001</v>
      </c>
      <c r="O36" s="233">
        <v>20.212</v>
      </c>
      <c r="P36" s="139">
        <v>1.8859999999999999</v>
      </c>
      <c r="Q36" s="234">
        <v>5.6390000000000002</v>
      </c>
      <c r="R36" s="234">
        <v>12.688000000000001</v>
      </c>
      <c r="S36" s="215" t="s">
        <v>185</v>
      </c>
      <c r="Y36" s="315"/>
      <c r="Z36" s="315"/>
      <c r="AA36" s="315"/>
      <c r="AB36" s="315"/>
    </row>
    <row r="37" spans="1:28" ht="18.75" customHeight="1" x14ac:dyDescent="0.25">
      <c r="A37" s="205" t="s">
        <v>186</v>
      </c>
      <c r="B37" s="233">
        <v>14.099</v>
      </c>
      <c r="C37" s="234">
        <v>0.246</v>
      </c>
      <c r="D37" s="234">
        <v>0</v>
      </c>
      <c r="E37" s="146">
        <v>13.853</v>
      </c>
      <c r="F37" s="233">
        <v>14.321999999999999</v>
      </c>
      <c r="G37" s="234">
        <v>0.246</v>
      </c>
      <c r="H37" s="234">
        <v>0</v>
      </c>
      <c r="I37" s="146">
        <v>14.074999999999999</v>
      </c>
      <c r="J37" s="233"/>
      <c r="K37" s="234">
        <v>13.776999999999999</v>
      </c>
      <c r="L37" s="234" t="s">
        <v>57</v>
      </c>
      <c r="M37" s="234" t="s">
        <v>57</v>
      </c>
      <c r="N37" s="234" t="s">
        <v>57</v>
      </c>
      <c r="O37" s="233">
        <v>13.99</v>
      </c>
      <c r="P37" s="234" t="s">
        <v>57</v>
      </c>
      <c r="Q37" s="234" t="s">
        <v>57</v>
      </c>
      <c r="R37" s="234" t="s">
        <v>57</v>
      </c>
      <c r="S37" s="215" t="s">
        <v>187</v>
      </c>
      <c r="Y37" s="315"/>
      <c r="Z37" s="315"/>
      <c r="AA37" s="315"/>
      <c r="AB37" s="315"/>
    </row>
    <row r="38" spans="1:28" ht="18.75" customHeight="1" x14ac:dyDescent="0.25">
      <c r="A38" s="205" t="s">
        <v>188</v>
      </c>
      <c r="B38" s="233">
        <v>27.536000000000001</v>
      </c>
      <c r="C38" s="234">
        <v>1.9370000000000001</v>
      </c>
      <c r="D38" s="234">
        <v>5.7519999999999998</v>
      </c>
      <c r="E38" s="146">
        <v>19.847000000000001</v>
      </c>
      <c r="F38" s="233">
        <v>25.718</v>
      </c>
      <c r="G38" s="234">
        <v>1.9779999999999998</v>
      </c>
      <c r="H38" s="234">
        <v>5.3049999999999997</v>
      </c>
      <c r="I38" s="146">
        <v>18.434999999999999</v>
      </c>
      <c r="J38" s="233"/>
      <c r="K38" s="234">
        <v>22.431999999999999</v>
      </c>
      <c r="L38" s="234">
        <v>1.8090000000000002</v>
      </c>
      <c r="M38" s="234">
        <v>4.7770000000000001</v>
      </c>
      <c r="N38" s="234">
        <v>15.846</v>
      </c>
      <c r="O38" s="233">
        <v>21.981000000000002</v>
      </c>
      <c r="P38" s="139">
        <v>1.5550000000000002</v>
      </c>
      <c r="Q38" s="234">
        <v>4.2210000000000001</v>
      </c>
      <c r="R38" s="234">
        <v>16.204999999999998</v>
      </c>
      <c r="S38" s="215" t="s">
        <v>189</v>
      </c>
      <c r="Y38" s="315"/>
      <c r="Z38" s="315"/>
      <c r="AA38" s="315"/>
      <c r="AB38" s="315"/>
    </row>
    <row r="39" spans="1:28" ht="18.75" customHeight="1" x14ac:dyDescent="0.25">
      <c r="A39" s="205" t="s">
        <v>190</v>
      </c>
      <c r="B39" s="233">
        <v>37.475999999999999</v>
      </c>
      <c r="C39" s="234">
        <v>0.96899999999999997</v>
      </c>
      <c r="D39" s="234">
        <v>7.3890000000000002</v>
      </c>
      <c r="E39" s="146">
        <v>29.119</v>
      </c>
      <c r="F39" s="233">
        <v>37.591000000000001</v>
      </c>
      <c r="G39" s="234">
        <v>0.94899999999999995</v>
      </c>
      <c r="H39" s="234">
        <v>7.5060000000000002</v>
      </c>
      <c r="I39" s="146">
        <v>29.135000000000002</v>
      </c>
      <c r="J39" s="233"/>
      <c r="K39" s="234">
        <v>38.493000000000002</v>
      </c>
      <c r="L39" s="234">
        <v>0.98699999999999999</v>
      </c>
      <c r="M39" s="234">
        <v>8.1989999999999998</v>
      </c>
      <c r="N39" s="234">
        <v>29.306999999999999</v>
      </c>
      <c r="O39" s="233">
        <v>37.795000000000002</v>
      </c>
      <c r="P39" s="234">
        <v>0.99399999999999999</v>
      </c>
      <c r="Q39" s="234">
        <v>8.6080000000000005</v>
      </c>
      <c r="R39" s="234">
        <v>28.193999999999999</v>
      </c>
      <c r="S39" s="215" t="s">
        <v>191</v>
      </c>
      <c r="Y39" s="315"/>
      <c r="Z39" s="315"/>
      <c r="AA39" s="315"/>
      <c r="AB39" s="315"/>
    </row>
    <row r="40" spans="1:28" ht="18.75" customHeight="1" x14ac:dyDescent="0.25">
      <c r="A40" s="205" t="s">
        <v>498</v>
      </c>
      <c r="B40" s="233">
        <v>35.40617546</v>
      </c>
      <c r="C40" s="234">
        <v>10.591704210000001</v>
      </c>
      <c r="D40" s="234">
        <v>1.3450834899999999</v>
      </c>
      <c r="E40" s="146">
        <v>23.469387759999996</v>
      </c>
      <c r="F40" s="233">
        <v>35.93683171</v>
      </c>
      <c r="G40" s="234">
        <v>10.91813601</v>
      </c>
      <c r="H40" s="234">
        <v>1.5345700200000001</v>
      </c>
      <c r="I40" s="146">
        <v>23.484125680000002</v>
      </c>
      <c r="J40" s="233"/>
      <c r="K40" s="234">
        <f>L40+M40+N40</f>
        <v>37.609013869999998</v>
      </c>
      <c r="L40" s="234">
        <v>10.529538830000002</v>
      </c>
      <c r="M40" s="234">
        <v>1.66097191</v>
      </c>
      <c r="N40" s="234">
        <v>25.418503129999998</v>
      </c>
      <c r="O40" s="233" t="s">
        <v>605</v>
      </c>
      <c r="P40" s="234" t="s">
        <v>604</v>
      </c>
      <c r="Q40" s="234" t="s">
        <v>604</v>
      </c>
      <c r="R40" s="234" t="s">
        <v>604</v>
      </c>
      <c r="S40" s="215" t="s">
        <v>499</v>
      </c>
    </row>
    <row r="41" spans="1:28" ht="18.75" customHeight="1" x14ac:dyDescent="0.25">
      <c r="A41" s="205" t="s">
        <v>192</v>
      </c>
      <c r="B41" s="233">
        <v>20.265000000000001</v>
      </c>
      <c r="C41" s="234">
        <v>0.86099999999999999</v>
      </c>
      <c r="D41" s="234">
        <v>0</v>
      </c>
      <c r="E41" s="146">
        <v>19.404</v>
      </c>
      <c r="F41" s="233">
        <v>20.121000000000002</v>
      </c>
      <c r="G41" s="234">
        <v>0.85799999999999998</v>
      </c>
      <c r="H41" s="234">
        <v>0</v>
      </c>
      <c r="I41" s="146">
        <v>19.262</v>
      </c>
      <c r="J41" s="233"/>
      <c r="K41" s="234">
        <v>21.055</v>
      </c>
      <c r="L41" s="234">
        <v>0.90100000000000002</v>
      </c>
      <c r="M41" s="234">
        <v>0</v>
      </c>
      <c r="N41" s="234">
        <v>20.152999999999999</v>
      </c>
      <c r="O41" s="233">
        <v>18.773</v>
      </c>
      <c r="P41" s="234" t="s">
        <v>57</v>
      </c>
      <c r="Q41" s="234" t="s">
        <v>57</v>
      </c>
      <c r="R41" s="234" t="s">
        <v>57</v>
      </c>
      <c r="S41" s="215" t="s">
        <v>193</v>
      </c>
      <c r="Y41" s="315"/>
      <c r="Z41" s="315"/>
      <c r="AA41" s="315"/>
      <c r="AB41" s="315"/>
    </row>
    <row r="42" spans="1:28" ht="18.75" customHeight="1" x14ac:dyDescent="0.25">
      <c r="A42" s="205" t="s">
        <v>194</v>
      </c>
      <c r="B42" s="235">
        <v>26.216999999999999</v>
      </c>
      <c r="C42" s="139">
        <v>1.008</v>
      </c>
      <c r="D42" s="139">
        <v>12.333</v>
      </c>
      <c r="E42" s="268">
        <v>12.875999999999999</v>
      </c>
      <c r="F42" s="235">
        <v>26.032</v>
      </c>
      <c r="G42" s="139">
        <v>0.97799999999999998</v>
      </c>
      <c r="H42" s="234">
        <v>12.622</v>
      </c>
      <c r="I42" s="268">
        <v>12.432</v>
      </c>
      <c r="J42" s="235"/>
      <c r="K42" s="234">
        <v>26.420999999999999</v>
      </c>
      <c r="L42" s="234">
        <v>0.77600000000000002</v>
      </c>
      <c r="M42" s="234">
        <v>13.253</v>
      </c>
      <c r="N42" s="234">
        <v>12.391999999999999</v>
      </c>
      <c r="O42" s="233">
        <v>13.025</v>
      </c>
      <c r="P42" s="139">
        <v>0.73599999999999999</v>
      </c>
      <c r="Q42" s="234">
        <v>0.54400000000000004</v>
      </c>
      <c r="R42" s="234">
        <v>11.744999999999999</v>
      </c>
      <c r="S42" s="215" t="s">
        <v>195</v>
      </c>
      <c r="Y42" s="315"/>
      <c r="Z42" s="315"/>
      <c r="AA42" s="315"/>
      <c r="AB42" s="315"/>
    </row>
    <row r="43" spans="1:28" ht="18.75" customHeight="1" x14ac:dyDescent="0.25">
      <c r="A43" s="205" t="s">
        <v>196</v>
      </c>
      <c r="B43" s="233">
        <v>27.388999999999999</v>
      </c>
      <c r="C43" s="234">
        <v>0.39</v>
      </c>
      <c r="D43" s="234">
        <v>5.6950000000000003</v>
      </c>
      <c r="E43" s="146">
        <v>21.303999999999998</v>
      </c>
      <c r="F43" s="233">
        <v>27.064999999999998</v>
      </c>
      <c r="G43" s="234">
        <v>0.441</v>
      </c>
      <c r="H43" s="234">
        <v>5.5960000000000001</v>
      </c>
      <c r="I43" s="146">
        <v>21.027999999999999</v>
      </c>
      <c r="J43" s="233"/>
      <c r="K43" s="234">
        <v>26.815999999999999</v>
      </c>
      <c r="L43" s="234">
        <v>0.42899999999999999</v>
      </c>
      <c r="M43" s="234">
        <v>5.532</v>
      </c>
      <c r="N43" s="234">
        <v>20.855</v>
      </c>
      <c r="O43" s="233">
        <v>27.167000000000002</v>
      </c>
      <c r="P43" s="234" t="s">
        <v>57</v>
      </c>
      <c r="Q43" s="234" t="s">
        <v>57</v>
      </c>
      <c r="R43" s="234" t="s">
        <v>57</v>
      </c>
      <c r="S43" s="215" t="s">
        <v>197</v>
      </c>
      <c r="Y43" s="315"/>
      <c r="Z43" s="315"/>
      <c r="AA43" s="315"/>
      <c r="AB43" s="315"/>
    </row>
    <row r="44" spans="1:28" ht="18.75" customHeight="1" x14ac:dyDescent="0.25">
      <c r="A44" s="205" t="s">
        <v>198</v>
      </c>
      <c r="B44" s="233">
        <v>14.228</v>
      </c>
      <c r="C44" s="234">
        <v>0.499</v>
      </c>
      <c r="D44" s="234">
        <v>0.63600000000000001</v>
      </c>
      <c r="E44" s="146">
        <v>13.093</v>
      </c>
      <c r="F44" s="233">
        <v>14.135000000000002</v>
      </c>
      <c r="G44" s="234">
        <v>0.34899999999999998</v>
      </c>
      <c r="H44" s="234">
        <v>0.65600000000000003</v>
      </c>
      <c r="I44" s="146">
        <v>13.13</v>
      </c>
      <c r="J44" s="233"/>
      <c r="K44" s="234">
        <v>13.917999999999999</v>
      </c>
      <c r="L44" s="234">
        <v>0.33700000000000002</v>
      </c>
      <c r="M44" s="234">
        <v>0.623</v>
      </c>
      <c r="N44" s="234">
        <v>12.957000000000001</v>
      </c>
      <c r="O44" s="233">
        <v>14.347</v>
      </c>
      <c r="P44" s="234">
        <v>0.33700000000000002</v>
      </c>
      <c r="Q44" s="234">
        <v>0.629</v>
      </c>
      <c r="R44" s="234">
        <v>13.381</v>
      </c>
      <c r="S44" s="215" t="s">
        <v>199</v>
      </c>
      <c r="Y44" s="315"/>
      <c r="Z44" s="315"/>
      <c r="AA44" s="315"/>
      <c r="AB44" s="315"/>
    </row>
    <row r="45" spans="1:28" ht="18.75" customHeight="1" x14ac:dyDescent="0.25">
      <c r="A45" s="205" t="s">
        <v>200</v>
      </c>
      <c r="B45" s="233">
        <v>29.629000000000001</v>
      </c>
      <c r="C45" s="234">
        <v>2.0259999999999998</v>
      </c>
      <c r="D45" s="234">
        <v>6.2439999999999998</v>
      </c>
      <c r="E45" s="146">
        <v>21.359000000000002</v>
      </c>
      <c r="F45" s="233">
        <v>30.184999999999999</v>
      </c>
      <c r="G45" s="234">
        <v>2.194</v>
      </c>
      <c r="H45" s="234">
        <v>6.2480000000000002</v>
      </c>
      <c r="I45" s="146">
        <v>21.742999999999999</v>
      </c>
      <c r="J45" s="233"/>
      <c r="K45" s="234">
        <v>30.968</v>
      </c>
      <c r="L45" s="234">
        <v>2.2549999999999999</v>
      </c>
      <c r="M45" s="234">
        <v>6.6849999999999996</v>
      </c>
      <c r="N45" s="234">
        <v>22.027000000000001</v>
      </c>
      <c r="O45" s="233">
        <v>30.565999999999999</v>
      </c>
      <c r="P45" s="139">
        <v>2.3159999999999998</v>
      </c>
      <c r="Q45" s="234">
        <v>6.6379999999999999</v>
      </c>
      <c r="R45" s="234">
        <v>21.613</v>
      </c>
      <c r="S45" s="215" t="s">
        <v>201</v>
      </c>
      <c r="Y45" s="315"/>
      <c r="Z45" s="315"/>
      <c r="AA45" s="315"/>
      <c r="AB45" s="315"/>
    </row>
    <row r="46" spans="1:28" ht="18.75" customHeight="1" x14ac:dyDescent="0.25">
      <c r="A46" s="205" t="s">
        <v>202</v>
      </c>
      <c r="B46" s="233">
        <v>21.198</v>
      </c>
      <c r="C46" s="234">
        <v>2.5910000000000002</v>
      </c>
      <c r="D46" s="234">
        <v>2.3359999999999999</v>
      </c>
      <c r="E46" s="146">
        <v>16.271000000000001</v>
      </c>
      <c r="F46" s="233">
        <v>24.841000000000001</v>
      </c>
      <c r="G46" s="234">
        <v>2.6259999999999999</v>
      </c>
      <c r="H46" s="234">
        <v>2.7370000000000001</v>
      </c>
      <c r="I46" s="146">
        <v>19.478000000000002</v>
      </c>
      <c r="J46" s="233"/>
      <c r="K46" s="234">
        <v>24.077000000000002</v>
      </c>
      <c r="L46" s="234">
        <v>2.1549999999999998</v>
      </c>
      <c r="M46" s="234">
        <v>2.8740000000000001</v>
      </c>
      <c r="N46" s="234">
        <v>19.047000000000001</v>
      </c>
      <c r="O46" s="233">
        <v>21.997</v>
      </c>
      <c r="P46" s="234" t="s">
        <v>57</v>
      </c>
      <c r="Q46" s="234" t="s">
        <v>57</v>
      </c>
      <c r="R46" s="234" t="s">
        <v>57</v>
      </c>
      <c r="S46" s="215" t="s">
        <v>401</v>
      </c>
      <c r="Y46" s="315"/>
      <c r="Z46" s="315"/>
      <c r="AA46" s="315"/>
      <c r="AB46" s="315"/>
    </row>
    <row r="47" spans="1:28" ht="18.75" customHeight="1" x14ac:dyDescent="0.25">
      <c r="A47" s="205" t="s">
        <v>203</v>
      </c>
      <c r="B47" s="233">
        <v>16.8</v>
      </c>
      <c r="C47" s="234">
        <v>1.5579999999999998</v>
      </c>
      <c r="D47" s="234">
        <v>2.2189999999999999</v>
      </c>
      <c r="E47" s="146">
        <v>13.023</v>
      </c>
      <c r="F47" s="233">
        <v>18.481000000000002</v>
      </c>
      <c r="G47" s="234">
        <v>1.583</v>
      </c>
      <c r="H47" s="234">
        <v>2.5169999999999999</v>
      </c>
      <c r="I47" s="146">
        <v>14.381</v>
      </c>
      <c r="J47" s="233"/>
      <c r="K47" s="234">
        <v>18.779</v>
      </c>
      <c r="L47" s="234">
        <v>1.5579999999999998</v>
      </c>
      <c r="M47" s="234">
        <v>2.5920000000000001</v>
      </c>
      <c r="N47" s="234">
        <v>14.629</v>
      </c>
      <c r="O47" s="233">
        <v>18.698</v>
      </c>
      <c r="P47" s="234">
        <v>1.514</v>
      </c>
      <c r="Q47" s="234">
        <v>2.629</v>
      </c>
      <c r="R47" s="234">
        <v>14.555</v>
      </c>
      <c r="S47" s="215" t="s">
        <v>204</v>
      </c>
      <c r="Y47" s="315"/>
      <c r="Z47" s="315"/>
      <c r="AA47" s="315"/>
      <c r="AB47" s="315"/>
    </row>
    <row r="48" spans="1:28" ht="18.75" customHeight="1" x14ac:dyDescent="0.25">
      <c r="A48" s="206" t="s">
        <v>205</v>
      </c>
      <c r="B48" s="236">
        <v>16.335999999999999</v>
      </c>
      <c r="C48" s="140">
        <f>B48-D48-E48</f>
        <v>4.7769999999999975</v>
      </c>
      <c r="D48" s="140">
        <v>0.82899999999999996</v>
      </c>
      <c r="E48" s="273">
        <v>10.73</v>
      </c>
      <c r="F48" s="236">
        <v>16.190999999999999</v>
      </c>
      <c r="G48" s="140">
        <f>F48-H48-I48</f>
        <v>4.4989999999999988</v>
      </c>
      <c r="H48" s="140">
        <v>0.72299999999999998</v>
      </c>
      <c r="I48" s="273">
        <v>10.968999999999999</v>
      </c>
      <c r="J48" s="235"/>
      <c r="K48" s="140">
        <v>16.619</v>
      </c>
      <c r="L48" s="140">
        <f>K48-M48-N48</f>
        <v>4.9429999999999996</v>
      </c>
      <c r="M48" s="140">
        <v>0.749</v>
      </c>
      <c r="N48" s="140">
        <v>10.927</v>
      </c>
      <c r="O48" s="233">
        <v>16.681000000000001</v>
      </c>
      <c r="P48" s="234" t="s">
        <v>57</v>
      </c>
      <c r="Q48" s="234" t="s">
        <v>57</v>
      </c>
      <c r="R48" s="234" t="s">
        <v>57</v>
      </c>
      <c r="S48" s="216" t="s">
        <v>206</v>
      </c>
      <c r="Y48" s="315"/>
      <c r="Z48" s="315"/>
      <c r="AA48" s="315"/>
      <c r="AB48" s="315"/>
    </row>
    <row r="49" spans="1:26" s="227" customFormat="1" ht="14.1" customHeight="1" x14ac:dyDescent="0.2">
      <c r="A49" s="744" t="s">
        <v>620</v>
      </c>
      <c r="B49" s="745"/>
      <c r="C49" s="745"/>
      <c r="D49" s="745"/>
      <c r="E49" s="745"/>
      <c r="F49" s="745"/>
      <c r="G49" s="745"/>
      <c r="H49" s="745"/>
      <c r="I49" s="745"/>
      <c r="J49" s="295"/>
      <c r="K49" s="746" t="s">
        <v>621</v>
      </c>
      <c r="L49" s="746"/>
      <c r="M49" s="746"/>
      <c r="N49" s="746"/>
      <c r="O49" s="746"/>
      <c r="P49" s="746"/>
      <c r="Q49" s="746"/>
      <c r="R49" s="746"/>
      <c r="S49" s="746"/>
      <c r="T49" s="319"/>
    </row>
    <row r="50" spans="1:26" s="203" customFormat="1" ht="12" customHeight="1" x14ac:dyDescent="0.2">
      <c r="A50" s="774" t="s">
        <v>597</v>
      </c>
      <c r="B50" s="774"/>
      <c r="C50" s="774"/>
      <c r="D50" s="774"/>
      <c r="E50" s="774"/>
      <c r="F50" s="774"/>
      <c r="G50" s="774"/>
      <c r="H50" s="774"/>
      <c r="I50" s="774"/>
      <c r="J50" s="282"/>
      <c r="K50" s="267" t="s">
        <v>598</v>
      </c>
      <c r="L50" s="14"/>
      <c r="M50" s="267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s="203" customFormat="1" ht="12" customHeight="1" x14ac:dyDescent="0.2">
      <c r="A51" s="774"/>
      <c r="B51" s="774"/>
      <c r="C51" s="774"/>
      <c r="D51" s="774"/>
      <c r="E51" s="774"/>
      <c r="F51" s="774"/>
      <c r="G51" s="774"/>
      <c r="H51" s="774"/>
      <c r="I51" s="774"/>
      <c r="J51" s="282"/>
      <c r="K51" s="41"/>
      <c r="L51" s="41"/>
    </row>
    <row r="52" spans="1:26" x14ac:dyDescent="0.25"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</row>
  </sheetData>
  <mergeCells count="40">
    <mergeCell ref="A51:I51"/>
    <mergeCell ref="L6:L7"/>
    <mergeCell ref="M6:M7"/>
    <mergeCell ref="N6:N7"/>
    <mergeCell ref="P6:P7"/>
    <mergeCell ref="C6:C7"/>
    <mergeCell ref="D6:D7"/>
    <mergeCell ref="E6:E7"/>
    <mergeCell ref="G6:G7"/>
    <mergeCell ref="H6:H7"/>
    <mergeCell ref="I6:I7"/>
    <mergeCell ref="O5:O7"/>
    <mergeCell ref="P5:R5"/>
    <mergeCell ref="A49:I49"/>
    <mergeCell ref="K49:S49"/>
    <mergeCell ref="A50:I50"/>
    <mergeCell ref="B5:B7"/>
    <mergeCell ref="Q6:Q7"/>
    <mergeCell ref="R6:R7"/>
    <mergeCell ref="C5:E5"/>
    <mergeCell ref="F5:F7"/>
    <mergeCell ref="G5:I5"/>
    <mergeCell ref="K5:K7"/>
    <mergeCell ref="L5:N5"/>
    <mergeCell ref="Q9:R9"/>
    <mergeCell ref="M9:N9"/>
    <mergeCell ref="H9:I9"/>
    <mergeCell ref="D9:E9"/>
    <mergeCell ref="A1:I1"/>
    <mergeCell ref="K1:S1"/>
    <mergeCell ref="A3:A8"/>
    <mergeCell ref="B3:E3"/>
    <mergeCell ref="F3:I3"/>
    <mergeCell ref="K3:N3"/>
    <mergeCell ref="O3:R3"/>
    <mergeCell ref="S3:S8"/>
    <mergeCell ref="B4:E4"/>
    <mergeCell ref="F4:I4"/>
    <mergeCell ref="K4:N4"/>
    <mergeCell ref="O4:R4"/>
  </mergeCells>
  <phoneticPr fontId="17" type="noConversion"/>
  <printOptions horizontalCentered="1"/>
  <pageMargins left="0.31496062992125984" right="0.31496062992125984" top="0.59055118110236227" bottom="0.59055118110236227" header="0.31496062992125984" footer="0.31496062992125984"/>
  <pageSetup paperSize="9" scale="80" fitToWidth="2" fitToHeight="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8" tint="-0.249977111117893"/>
  </sheetPr>
  <dimension ref="A1:N53"/>
  <sheetViews>
    <sheetView view="pageBreakPreview" zoomScale="70" zoomScaleNormal="70" zoomScaleSheetLayoutView="70" workbookViewId="0">
      <selection sqref="A1:N1"/>
    </sheetView>
  </sheetViews>
  <sheetFormatPr defaultColWidth="9" defaultRowHeight="15.75" x14ac:dyDescent="0.25"/>
  <cols>
    <col min="1" max="1" width="13.625" style="21" customWidth="1"/>
    <col min="2" max="13" width="7.625" style="21" customWidth="1"/>
    <col min="14" max="14" width="13.75" style="21" customWidth="1"/>
    <col min="15" max="16384" width="9" style="21"/>
  </cols>
  <sheetData>
    <row r="1" spans="1:14" s="48" customFormat="1" ht="41.25" customHeight="1" x14ac:dyDescent="0.25">
      <c r="A1" s="759" t="s">
        <v>657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</row>
    <row r="2" spans="1:14" s="49" customFormat="1" ht="15" customHeight="1" x14ac:dyDescent="0.25">
      <c r="A2" s="47" t="s">
        <v>208</v>
      </c>
      <c r="D2" s="50"/>
      <c r="F2" s="50"/>
      <c r="G2" s="50"/>
      <c r="H2" s="50"/>
      <c r="I2" s="50"/>
      <c r="J2" s="50"/>
      <c r="M2" s="50"/>
      <c r="N2" s="50" t="s">
        <v>209</v>
      </c>
    </row>
    <row r="3" spans="1:14" ht="21.2" customHeight="1" x14ac:dyDescent="0.25">
      <c r="A3" s="762" t="s">
        <v>480</v>
      </c>
      <c r="B3" s="237" t="s">
        <v>134</v>
      </c>
      <c r="C3" s="237" t="s">
        <v>135</v>
      </c>
      <c r="D3" s="237" t="s">
        <v>307</v>
      </c>
      <c r="E3" s="237" t="s">
        <v>210</v>
      </c>
      <c r="F3" s="238" t="s">
        <v>308</v>
      </c>
      <c r="G3" s="238" t="s">
        <v>377</v>
      </c>
      <c r="H3" s="238" t="s">
        <v>382</v>
      </c>
      <c r="I3" s="238" t="s">
        <v>390</v>
      </c>
      <c r="J3" s="238" t="s">
        <v>400</v>
      </c>
      <c r="K3" s="237" t="s">
        <v>433</v>
      </c>
      <c r="L3" s="237" t="s">
        <v>551</v>
      </c>
      <c r="M3" s="237" t="s">
        <v>599</v>
      </c>
      <c r="N3" s="781" t="s">
        <v>470</v>
      </c>
    </row>
    <row r="4" spans="1:14" ht="21.2" customHeight="1" x14ac:dyDescent="0.25">
      <c r="A4" s="764"/>
      <c r="B4" s="240">
        <v>2013</v>
      </c>
      <c r="C4" s="240">
        <v>2014</v>
      </c>
      <c r="D4" s="239">
        <v>2015</v>
      </c>
      <c r="E4" s="240">
        <v>2016</v>
      </c>
      <c r="F4" s="240">
        <v>2017</v>
      </c>
      <c r="G4" s="241">
        <v>2018</v>
      </c>
      <c r="H4" s="242">
        <v>2019</v>
      </c>
      <c r="I4" s="242">
        <v>2020</v>
      </c>
      <c r="J4" s="242">
        <v>2021</v>
      </c>
      <c r="K4" s="240">
        <v>2022</v>
      </c>
      <c r="L4" s="240">
        <v>2023</v>
      </c>
      <c r="M4" s="240">
        <v>2024</v>
      </c>
      <c r="N4" s="782"/>
    </row>
    <row r="5" spans="1:14" ht="18.75" customHeight="1" x14ac:dyDescent="0.25">
      <c r="A5" s="204" t="s">
        <v>136</v>
      </c>
      <c r="B5" s="245">
        <v>18.32</v>
      </c>
      <c r="C5" s="245">
        <v>18.05</v>
      </c>
      <c r="D5" s="245">
        <v>17.5</v>
      </c>
      <c r="E5" s="245">
        <v>17.48</v>
      </c>
      <c r="F5" s="245">
        <v>17.55</v>
      </c>
      <c r="G5" s="245">
        <v>17.489999999999998</v>
      </c>
      <c r="H5" s="245">
        <v>17.57</v>
      </c>
      <c r="I5" s="245">
        <v>17.53</v>
      </c>
      <c r="J5" s="245">
        <v>17.45</v>
      </c>
      <c r="K5" s="245">
        <v>17.84</v>
      </c>
      <c r="L5" s="245">
        <v>16.14</v>
      </c>
      <c r="M5" s="246">
        <f>表1!S41</f>
        <v>16.309999999999999</v>
      </c>
      <c r="N5" s="210" t="s">
        <v>137</v>
      </c>
    </row>
    <row r="6" spans="1:14" ht="18.75" customHeight="1" x14ac:dyDescent="0.25">
      <c r="A6" s="205" t="s">
        <v>138</v>
      </c>
      <c r="B6" s="245">
        <v>14.344999999999999</v>
      </c>
      <c r="C6" s="245">
        <v>12.497</v>
      </c>
      <c r="D6" s="245">
        <v>12.46</v>
      </c>
      <c r="E6" s="245">
        <v>12.893999999999998</v>
      </c>
      <c r="F6" s="245">
        <v>12.257999999999999</v>
      </c>
      <c r="G6" s="245">
        <v>12.443999999999999</v>
      </c>
      <c r="H6" s="245">
        <v>12.542</v>
      </c>
      <c r="I6" s="245">
        <v>11.998999999999999</v>
      </c>
      <c r="J6" s="245">
        <v>12.023</v>
      </c>
      <c r="K6" s="245">
        <v>12.628</v>
      </c>
      <c r="L6" s="245" t="s">
        <v>57</v>
      </c>
      <c r="M6" s="246" t="s">
        <v>57</v>
      </c>
      <c r="N6" s="210" t="s">
        <v>139</v>
      </c>
    </row>
    <row r="7" spans="1:14" ht="18.75" customHeight="1" x14ac:dyDescent="0.25">
      <c r="A7" s="205" t="s">
        <v>140</v>
      </c>
      <c r="B7" s="245">
        <v>11.625</v>
      </c>
      <c r="C7" s="245">
        <v>11.887</v>
      </c>
      <c r="D7" s="245">
        <v>11.971</v>
      </c>
      <c r="E7" s="245">
        <v>11.641</v>
      </c>
      <c r="F7" s="245">
        <v>11.712</v>
      </c>
      <c r="G7" s="245">
        <v>11.622</v>
      </c>
      <c r="H7" s="245">
        <v>11.409000000000001</v>
      </c>
      <c r="I7" s="245">
        <v>11.556000000000001</v>
      </c>
      <c r="J7" s="245">
        <v>10.645</v>
      </c>
      <c r="K7" s="245">
        <v>11.061999999999999</v>
      </c>
      <c r="L7" s="245">
        <v>10.975000000000001</v>
      </c>
      <c r="M7" s="246" t="s">
        <v>57</v>
      </c>
      <c r="N7" s="210" t="s">
        <v>141</v>
      </c>
    </row>
    <row r="8" spans="1:14" ht="18.75" customHeight="1" x14ac:dyDescent="0.25">
      <c r="A8" s="205" t="s">
        <v>142</v>
      </c>
      <c r="B8" s="245">
        <v>12.023</v>
      </c>
      <c r="C8" s="245">
        <v>11.795</v>
      </c>
      <c r="D8" s="245">
        <v>11.569000000000001</v>
      </c>
      <c r="E8" s="245">
        <v>11.366</v>
      </c>
      <c r="F8" s="245">
        <v>10.914000000000001</v>
      </c>
      <c r="G8" s="245">
        <v>10.475</v>
      </c>
      <c r="H8" s="245">
        <v>10.656000000000001</v>
      </c>
      <c r="I8" s="245">
        <v>10.196999999999999</v>
      </c>
      <c r="J8" s="245">
        <v>9.7129999999999992</v>
      </c>
      <c r="K8" s="245">
        <v>10.163</v>
      </c>
      <c r="L8" s="245">
        <v>10.341000000000001</v>
      </c>
      <c r="M8" s="246" t="s">
        <v>57</v>
      </c>
      <c r="N8" s="210" t="s">
        <v>143</v>
      </c>
    </row>
    <row r="9" spans="1:14" ht="18.75" customHeight="1" x14ac:dyDescent="0.25">
      <c r="A9" s="205" t="s">
        <v>144</v>
      </c>
      <c r="B9" s="245">
        <v>15.842000000000001</v>
      </c>
      <c r="C9" s="245">
        <v>15.455000000000002</v>
      </c>
      <c r="D9" s="245">
        <v>15.558999999999999</v>
      </c>
      <c r="E9" s="245">
        <v>15.475</v>
      </c>
      <c r="F9" s="245">
        <v>15.293999999999999</v>
      </c>
      <c r="G9" s="245">
        <v>14.867999999999999</v>
      </c>
      <c r="H9" s="245">
        <v>14.790000000000001</v>
      </c>
      <c r="I9" s="245">
        <v>13.405000000000001</v>
      </c>
      <c r="J9" s="245">
        <v>12.991000000000001</v>
      </c>
      <c r="K9" s="245">
        <v>13.837</v>
      </c>
      <c r="L9" s="245">
        <v>14.055</v>
      </c>
      <c r="M9" s="246">
        <v>13.815000000000001</v>
      </c>
      <c r="N9" s="210" t="s">
        <v>145</v>
      </c>
    </row>
    <row r="10" spans="1:14" ht="18.75" customHeight="1" x14ac:dyDescent="0.25">
      <c r="A10" s="205" t="s">
        <v>146</v>
      </c>
      <c r="B10" s="245" t="s">
        <v>57</v>
      </c>
      <c r="C10" s="245" t="s">
        <v>57</v>
      </c>
      <c r="D10" s="245" t="s">
        <v>57</v>
      </c>
      <c r="E10" s="245" t="s">
        <v>57</v>
      </c>
      <c r="F10" s="245" t="s">
        <v>57</v>
      </c>
      <c r="G10" s="245" t="s">
        <v>57</v>
      </c>
      <c r="H10" s="245" t="s">
        <v>57</v>
      </c>
      <c r="I10" s="245" t="s">
        <v>57</v>
      </c>
      <c r="J10" s="245" t="s">
        <v>57</v>
      </c>
      <c r="K10" s="245" t="s">
        <v>57</v>
      </c>
      <c r="L10" s="245" t="s">
        <v>57</v>
      </c>
      <c r="M10" s="246" t="s">
        <v>57</v>
      </c>
      <c r="N10" s="210" t="s">
        <v>147</v>
      </c>
    </row>
    <row r="11" spans="1:14" ht="18.75" customHeight="1" x14ac:dyDescent="0.25">
      <c r="A11" s="207" t="s">
        <v>383</v>
      </c>
      <c r="B11" s="245" t="s">
        <v>57</v>
      </c>
      <c r="C11" s="245" t="s">
        <v>57</v>
      </c>
      <c r="D11" s="245" t="s">
        <v>57</v>
      </c>
      <c r="E11" s="245" t="s">
        <v>57</v>
      </c>
      <c r="F11" s="245" t="s">
        <v>57</v>
      </c>
      <c r="G11" s="245" t="s">
        <v>57</v>
      </c>
      <c r="H11" s="245" t="s">
        <v>57</v>
      </c>
      <c r="I11" s="245" t="s">
        <v>57</v>
      </c>
      <c r="J11" s="245" t="s">
        <v>57</v>
      </c>
      <c r="K11" s="245" t="s">
        <v>57</v>
      </c>
      <c r="L11" s="245" t="s">
        <v>57</v>
      </c>
      <c r="M11" s="246" t="s">
        <v>57</v>
      </c>
      <c r="N11" s="211" t="s">
        <v>384</v>
      </c>
    </row>
    <row r="12" spans="1:14" ht="18.75" customHeight="1" x14ac:dyDescent="0.25">
      <c r="A12" s="207" t="s">
        <v>392</v>
      </c>
      <c r="B12" s="245">
        <v>13.253</v>
      </c>
      <c r="C12" s="245">
        <v>14.483999999999998</v>
      </c>
      <c r="D12" s="245">
        <v>14.292999999999999</v>
      </c>
      <c r="E12" s="245">
        <v>13.370999999999999</v>
      </c>
      <c r="F12" s="245">
        <v>7.4249999999999998</v>
      </c>
      <c r="G12" s="245">
        <v>9.1289999999999996</v>
      </c>
      <c r="H12" s="245">
        <v>8.8059999999999992</v>
      </c>
      <c r="I12" s="245">
        <v>7.9770000000000003</v>
      </c>
      <c r="J12" s="245">
        <v>8.1769999999999996</v>
      </c>
      <c r="K12" s="245">
        <v>8.9030000000000005</v>
      </c>
      <c r="L12" s="245">
        <v>9.3060000000000009</v>
      </c>
      <c r="M12" s="246" t="s">
        <v>57</v>
      </c>
      <c r="N12" s="211" t="s">
        <v>391</v>
      </c>
    </row>
    <row r="13" spans="1:14" ht="18.75" customHeight="1" x14ac:dyDescent="0.25">
      <c r="A13" s="205" t="s">
        <v>148</v>
      </c>
      <c r="B13" s="245">
        <v>18.198999999999998</v>
      </c>
      <c r="C13" s="245">
        <v>17.321999999999999</v>
      </c>
      <c r="D13" s="245">
        <v>16.998000000000001</v>
      </c>
      <c r="E13" s="245">
        <v>16.600999999999999</v>
      </c>
      <c r="F13" s="245">
        <v>16.084</v>
      </c>
      <c r="G13" s="245">
        <v>15.385999999999999</v>
      </c>
      <c r="H13" s="245">
        <v>14.873999999999999</v>
      </c>
      <c r="I13" s="245">
        <v>12.965</v>
      </c>
      <c r="J13" s="245">
        <v>12.175000000000001</v>
      </c>
      <c r="K13" s="245">
        <v>12.635000000000002</v>
      </c>
      <c r="L13" s="245">
        <v>13.005000000000001</v>
      </c>
      <c r="M13" s="246" t="s">
        <v>57</v>
      </c>
      <c r="N13" s="210" t="s">
        <v>149</v>
      </c>
    </row>
    <row r="14" spans="1:14" ht="18.75" customHeight="1" x14ac:dyDescent="0.25">
      <c r="A14" s="205" t="s">
        <v>150</v>
      </c>
      <c r="B14" s="245">
        <v>5.6630000000000003</v>
      </c>
      <c r="C14" s="245">
        <v>5.6140000000000008</v>
      </c>
      <c r="D14" s="245">
        <v>5.5440000000000005</v>
      </c>
      <c r="E14" s="245">
        <v>5.3839999999999995</v>
      </c>
      <c r="F14" s="245">
        <v>5.2130000000000001</v>
      </c>
      <c r="G14" s="245">
        <v>5.1449999999999996</v>
      </c>
      <c r="H14" s="245">
        <v>5.2939999999999996</v>
      </c>
      <c r="I14" s="245">
        <v>5.0869999999999997</v>
      </c>
      <c r="J14" s="245">
        <v>4.625</v>
      </c>
      <c r="K14" s="245">
        <v>5.0190000000000001</v>
      </c>
      <c r="L14" s="245">
        <v>6.1640000000000006</v>
      </c>
      <c r="M14" s="246">
        <v>5.7949999999999999</v>
      </c>
      <c r="N14" s="210" t="s">
        <v>151</v>
      </c>
    </row>
    <row r="15" spans="1:14" ht="18.75" customHeight="1" x14ac:dyDescent="0.25">
      <c r="A15" s="205" t="s">
        <v>152</v>
      </c>
      <c r="B15" s="245">
        <v>17.527000000000001</v>
      </c>
      <c r="C15" s="245">
        <v>17.106999999999999</v>
      </c>
      <c r="D15" s="245">
        <v>16.637</v>
      </c>
      <c r="E15" s="245">
        <v>17.320999999999998</v>
      </c>
      <c r="F15" s="245">
        <v>16.466999999999999</v>
      </c>
      <c r="G15" s="245">
        <v>16.402999999999999</v>
      </c>
      <c r="H15" s="245">
        <v>15.616</v>
      </c>
      <c r="I15" s="245">
        <v>14.280999999999999</v>
      </c>
      <c r="J15" s="245">
        <v>13.253</v>
      </c>
      <c r="K15" s="245">
        <v>13.578999999999999</v>
      </c>
      <c r="L15" s="245">
        <v>13.602</v>
      </c>
      <c r="M15" s="246" t="s">
        <v>57</v>
      </c>
      <c r="N15" s="210" t="s">
        <v>153</v>
      </c>
    </row>
    <row r="16" spans="1:14" ht="18.75" customHeight="1" x14ac:dyDescent="0.25">
      <c r="A16" s="205" t="s">
        <v>154</v>
      </c>
      <c r="B16" s="245">
        <v>11.615</v>
      </c>
      <c r="C16" s="245">
        <v>11.455</v>
      </c>
      <c r="D16" s="245">
        <v>11.768000000000001</v>
      </c>
      <c r="E16" s="245">
        <v>12.202000000000002</v>
      </c>
      <c r="F16" s="245">
        <v>11.897</v>
      </c>
      <c r="G16" s="245">
        <v>12.046000000000001</v>
      </c>
      <c r="H16" s="245">
        <v>12.011999999999999</v>
      </c>
      <c r="I16" s="245">
        <v>11.766999999999999</v>
      </c>
      <c r="J16" s="245">
        <v>11.192</v>
      </c>
      <c r="K16" s="245">
        <v>11.151</v>
      </c>
      <c r="L16" s="245">
        <v>10.444000000000001</v>
      </c>
      <c r="M16" s="246" t="s">
        <v>57</v>
      </c>
      <c r="N16" s="210" t="s">
        <v>155</v>
      </c>
    </row>
    <row r="17" spans="1:14" ht="18.75" customHeight="1" x14ac:dyDescent="0.25">
      <c r="A17" s="205" t="s">
        <v>156</v>
      </c>
      <c r="B17" s="245">
        <v>14.065999999999999</v>
      </c>
      <c r="C17" s="245">
        <v>13.898999999999999</v>
      </c>
      <c r="D17" s="245">
        <v>13.505000000000001</v>
      </c>
      <c r="E17" s="245">
        <v>13.293999999999999</v>
      </c>
      <c r="F17" s="245">
        <v>13.326000000000001</v>
      </c>
      <c r="G17" s="245">
        <v>12.885000000000002</v>
      </c>
      <c r="H17" s="245">
        <v>12.646000000000001</v>
      </c>
      <c r="I17" s="245">
        <v>11.812999999999999</v>
      </c>
      <c r="J17" s="245">
        <v>11.436999999999999</v>
      </c>
      <c r="K17" s="245">
        <v>11.829000000000001</v>
      </c>
      <c r="L17" s="245">
        <v>11.876000000000001</v>
      </c>
      <c r="M17" s="246" t="s">
        <v>57</v>
      </c>
      <c r="N17" s="210" t="s">
        <v>157</v>
      </c>
    </row>
    <row r="18" spans="1:14" ht="18.75" customHeight="1" x14ac:dyDescent="0.25">
      <c r="A18" s="205" t="s">
        <v>158</v>
      </c>
      <c r="B18" s="245">
        <v>14.026</v>
      </c>
      <c r="C18" s="245">
        <v>14.379</v>
      </c>
      <c r="D18" s="245">
        <v>14.391999999999999</v>
      </c>
      <c r="E18" s="245">
        <v>14.465</v>
      </c>
      <c r="F18" s="245">
        <v>14.256</v>
      </c>
      <c r="G18" s="245">
        <v>14.219000000000001</v>
      </c>
      <c r="H18" s="245">
        <v>13.751999999999999</v>
      </c>
      <c r="I18" s="245">
        <v>13.602</v>
      </c>
      <c r="J18" s="245">
        <v>13.627000000000001</v>
      </c>
      <c r="K18" s="245">
        <v>13.362</v>
      </c>
      <c r="L18" s="245">
        <v>13.620999999999999</v>
      </c>
      <c r="M18" s="246" t="s">
        <v>57</v>
      </c>
      <c r="N18" s="210" t="s">
        <v>159</v>
      </c>
    </row>
    <row r="19" spans="1:14" ht="18.75" customHeight="1" x14ac:dyDescent="0.25">
      <c r="A19" s="205" t="s">
        <v>160</v>
      </c>
      <c r="B19" s="245" t="s">
        <v>57</v>
      </c>
      <c r="C19" s="245" t="s">
        <v>57</v>
      </c>
      <c r="D19" s="245" t="s">
        <v>57</v>
      </c>
      <c r="E19" s="245" t="s">
        <v>57</v>
      </c>
      <c r="F19" s="245" t="s">
        <v>57</v>
      </c>
      <c r="G19" s="245" t="s">
        <v>57</v>
      </c>
      <c r="H19" s="245" t="s">
        <v>57</v>
      </c>
      <c r="I19" s="245" t="s">
        <v>57</v>
      </c>
      <c r="J19" s="245" t="s">
        <v>57</v>
      </c>
      <c r="K19" s="245" t="s">
        <v>57</v>
      </c>
      <c r="L19" s="245" t="s">
        <v>57</v>
      </c>
      <c r="M19" s="246" t="s">
        <v>57</v>
      </c>
      <c r="N19" s="210" t="s">
        <v>161</v>
      </c>
    </row>
    <row r="20" spans="1:14" ht="18.75" customHeight="1" x14ac:dyDescent="0.25">
      <c r="A20" s="205" t="s">
        <v>162</v>
      </c>
      <c r="B20" s="245">
        <v>28.994</v>
      </c>
      <c r="C20" s="245">
        <v>28.792999999999999</v>
      </c>
      <c r="D20" s="245">
        <v>28.492999999999999</v>
      </c>
      <c r="E20" s="245">
        <v>28.184999999999999</v>
      </c>
      <c r="F20" s="245">
        <v>26.486999999999998</v>
      </c>
      <c r="G20" s="245">
        <v>25.542000000000002</v>
      </c>
      <c r="H20" s="245">
        <v>26.227</v>
      </c>
      <c r="I20" s="245">
        <v>24.155000000000001</v>
      </c>
      <c r="J20" s="245">
        <v>21.701000000000001</v>
      </c>
      <c r="K20" s="245">
        <v>21.077999999999999</v>
      </c>
      <c r="L20" s="245">
        <v>21.945</v>
      </c>
      <c r="M20" s="246" t="s">
        <v>57</v>
      </c>
      <c r="N20" s="210" t="s">
        <v>163</v>
      </c>
    </row>
    <row r="21" spans="1:14" ht="18.75" customHeight="1" x14ac:dyDescent="0.25">
      <c r="A21" s="205" t="s">
        <v>164</v>
      </c>
      <c r="B21" s="245">
        <v>10.946</v>
      </c>
      <c r="C21" s="245">
        <v>10.084</v>
      </c>
      <c r="D21" s="245">
        <v>9.5549999999999997</v>
      </c>
      <c r="E21" s="245">
        <v>8.827</v>
      </c>
      <c r="F21" s="245">
        <v>8.3179999999999996</v>
      </c>
      <c r="G21" s="245">
        <v>8.2579999999999991</v>
      </c>
      <c r="H21" s="245">
        <v>8.4719999999999995</v>
      </c>
      <c r="I21" s="245">
        <v>9</v>
      </c>
      <c r="J21" s="245">
        <v>9.0559999999999992</v>
      </c>
      <c r="K21" s="245">
        <v>8.0969999999999995</v>
      </c>
      <c r="L21" s="245">
        <v>9.4860000000000007</v>
      </c>
      <c r="M21" s="246">
        <v>9.5030000000000001</v>
      </c>
      <c r="N21" s="210" t="s">
        <v>165</v>
      </c>
    </row>
    <row r="22" spans="1:14" ht="18.75" customHeight="1" x14ac:dyDescent="0.25">
      <c r="A22" s="205" t="s">
        <v>166</v>
      </c>
      <c r="B22" s="245" t="s">
        <v>57</v>
      </c>
      <c r="C22" s="245" t="s">
        <v>57</v>
      </c>
      <c r="D22" s="245" t="s">
        <v>57</v>
      </c>
      <c r="E22" s="245" t="s">
        <v>57</v>
      </c>
      <c r="F22" s="245" t="s">
        <v>57</v>
      </c>
      <c r="G22" s="245" t="s">
        <v>57</v>
      </c>
      <c r="H22" s="245" t="s">
        <v>57</v>
      </c>
      <c r="I22" s="245" t="s">
        <v>57</v>
      </c>
      <c r="J22" s="245" t="s">
        <v>57</v>
      </c>
      <c r="K22" s="245" t="s">
        <v>57</v>
      </c>
      <c r="L22" s="245" t="s">
        <v>57</v>
      </c>
      <c r="M22" s="246" t="s">
        <v>57</v>
      </c>
      <c r="N22" s="210" t="s">
        <v>167</v>
      </c>
    </row>
    <row r="23" spans="1:14" ht="18.75" customHeight="1" x14ac:dyDescent="0.25">
      <c r="A23" s="205" t="s">
        <v>168</v>
      </c>
      <c r="B23" s="245" t="s">
        <v>57</v>
      </c>
      <c r="C23" s="245" t="s">
        <v>57</v>
      </c>
      <c r="D23" s="245" t="s">
        <v>57</v>
      </c>
      <c r="E23" s="245" t="s">
        <v>57</v>
      </c>
      <c r="F23" s="245" t="s">
        <v>57</v>
      </c>
      <c r="G23" s="245" t="s">
        <v>57</v>
      </c>
      <c r="H23" s="245" t="s">
        <v>57</v>
      </c>
      <c r="I23" s="245" t="s">
        <v>57</v>
      </c>
      <c r="J23" s="245" t="s">
        <v>57</v>
      </c>
      <c r="K23" s="245" t="s">
        <v>57</v>
      </c>
      <c r="L23" s="245" t="s">
        <v>57</v>
      </c>
      <c r="M23" s="246" t="s">
        <v>57</v>
      </c>
      <c r="N23" s="210" t="s">
        <v>169</v>
      </c>
    </row>
    <row r="24" spans="1:14" ht="18.75" customHeight="1" x14ac:dyDescent="0.25">
      <c r="A24" s="205" t="s">
        <v>170</v>
      </c>
      <c r="B24" s="245" t="s">
        <v>57</v>
      </c>
      <c r="C24" s="245" t="s">
        <v>57</v>
      </c>
      <c r="D24" s="245" t="s">
        <v>57</v>
      </c>
      <c r="E24" s="245" t="s">
        <v>57</v>
      </c>
      <c r="F24" s="245" t="s">
        <v>57</v>
      </c>
      <c r="G24" s="245" t="s">
        <v>57</v>
      </c>
      <c r="H24" s="245" t="s">
        <v>57</v>
      </c>
      <c r="I24" s="245" t="s">
        <v>57</v>
      </c>
      <c r="J24" s="245" t="s">
        <v>57</v>
      </c>
      <c r="K24" s="245" t="s">
        <v>57</v>
      </c>
      <c r="L24" s="245" t="s">
        <v>57</v>
      </c>
      <c r="M24" s="246" t="s">
        <v>57</v>
      </c>
      <c r="N24" s="210" t="s">
        <v>171</v>
      </c>
    </row>
    <row r="25" spans="1:14" ht="18.75" customHeight="1" x14ac:dyDescent="0.25">
      <c r="A25" s="205" t="s">
        <v>172</v>
      </c>
      <c r="B25" s="245">
        <v>18.754000000000001</v>
      </c>
      <c r="C25" s="245">
        <v>18.689</v>
      </c>
      <c r="D25" s="245">
        <v>19.512999999999998</v>
      </c>
      <c r="E25" s="245">
        <v>18.401</v>
      </c>
      <c r="F25" s="245">
        <v>18.12</v>
      </c>
      <c r="G25" s="245">
        <v>17.612000000000002</v>
      </c>
      <c r="H25" s="245">
        <v>17.783999999999999</v>
      </c>
      <c r="I25" s="245">
        <v>17.307000000000002</v>
      </c>
      <c r="J25" s="245">
        <v>16.309999999999999</v>
      </c>
      <c r="K25" s="245">
        <v>15.759</v>
      </c>
      <c r="L25" s="245">
        <v>17.491</v>
      </c>
      <c r="M25" s="246" t="s">
        <v>57</v>
      </c>
      <c r="N25" s="210" t="s">
        <v>173</v>
      </c>
    </row>
    <row r="26" spans="1:14" ht="18.75" customHeight="1" x14ac:dyDescent="0.25">
      <c r="A26" s="205" t="s">
        <v>174</v>
      </c>
      <c r="B26" s="245">
        <v>20.169</v>
      </c>
      <c r="C26" s="245">
        <v>19.566000000000003</v>
      </c>
      <c r="D26" s="245">
        <v>18.835000000000001</v>
      </c>
      <c r="E26" s="245">
        <v>19.087</v>
      </c>
      <c r="F26" s="245">
        <v>18.797000000000001</v>
      </c>
      <c r="G26" s="245">
        <v>18.559999999999999</v>
      </c>
      <c r="H26" s="245">
        <v>18.368000000000002</v>
      </c>
      <c r="I26" s="245">
        <v>17.853999999999999</v>
      </c>
      <c r="J26" s="245">
        <v>17.044</v>
      </c>
      <c r="K26" s="245">
        <v>16.981999999999999</v>
      </c>
      <c r="L26" s="245">
        <v>18.547000000000001</v>
      </c>
      <c r="M26" s="246">
        <v>19.167000000000002</v>
      </c>
      <c r="N26" s="210" t="s">
        <v>175</v>
      </c>
    </row>
    <row r="27" spans="1:14" ht="18.75" customHeight="1" x14ac:dyDescent="0.25">
      <c r="A27" s="205" t="s">
        <v>176</v>
      </c>
      <c r="B27" s="245">
        <v>25.172999999999998</v>
      </c>
      <c r="C27" s="245">
        <v>26.199000000000002</v>
      </c>
      <c r="D27" s="245">
        <v>26.925999999999998</v>
      </c>
      <c r="E27" s="245">
        <v>27.544999999999998</v>
      </c>
      <c r="F27" s="245">
        <v>26.616</v>
      </c>
      <c r="G27" s="245">
        <v>25.557000000000002</v>
      </c>
      <c r="H27" s="245">
        <v>22.709</v>
      </c>
      <c r="I27" s="245">
        <v>21.884</v>
      </c>
      <c r="J27" s="245">
        <v>15.968</v>
      </c>
      <c r="K27" s="245">
        <v>18.635999999999999</v>
      </c>
      <c r="L27" s="245">
        <v>20.387999999999998</v>
      </c>
      <c r="M27" s="246" t="s">
        <v>57</v>
      </c>
      <c r="N27" s="210" t="s">
        <v>177</v>
      </c>
    </row>
    <row r="28" spans="1:14" ht="18.75" customHeight="1" x14ac:dyDescent="0.25">
      <c r="A28" s="205" t="s">
        <v>306</v>
      </c>
      <c r="B28" s="245" t="s">
        <v>57</v>
      </c>
      <c r="C28" s="245" t="s">
        <v>57</v>
      </c>
      <c r="D28" s="245" t="s">
        <v>57</v>
      </c>
      <c r="E28" s="245" t="s">
        <v>57</v>
      </c>
      <c r="F28" s="245" t="s">
        <v>57</v>
      </c>
      <c r="G28" s="245" t="s">
        <v>57</v>
      </c>
      <c r="H28" s="245" t="s">
        <v>57</v>
      </c>
      <c r="I28" s="245" t="s">
        <v>57</v>
      </c>
      <c r="J28" s="245" t="s">
        <v>57</v>
      </c>
      <c r="K28" s="245" t="s">
        <v>57</v>
      </c>
      <c r="L28" s="245" t="s">
        <v>57</v>
      </c>
      <c r="M28" s="246" t="s">
        <v>57</v>
      </c>
      <c r="N28" s="210" t="s">
        <v>305</v>
      </c>
    </row>
    <row r="29" spans="1:14" ht="18.75" customHeight="1" x14ac:dyDescent="0.25">
      <c r="A29" s="205" t="s">
        <v>178</v>
      </c>
      <c r="B29" s="245">
        <v>11.328000000000001</v>
      </c>
      <c r="C29" s="245">
        <v>10.81</v>
      </c>
      <c r="D29" s="245">
        <v>10.78</v>
      </c>
      <c r="E29" s="245">
        <v>10.691000000000001</v>
      </c>
      <c r="F29" s="245">
        <v>10.567</v>
      </c>
      <c r="G29" s="245">
        <v>10.403</v>
      </c>
      <c r="H29" s="245">
        <v>9.7190000000000012</v>
      </c>
      <c r="I29" s="245">
        <v>9.2579999999999991</v>
      </c>
      <c r="J29" s="245">
        <v>9.3730000000000011</v>
      </c>
      <c r="K29" s="245">
        <v>10.022</v>
      </c>
      <c r="L29" s="245">
        <v>9.7059999999999995</v>
      </c>
      <c r="M29" s="246">
        <v>9.5540000000000003</v>
      </c>
      <c r="N29" s="210" t="s">
        <v>179</v>
      </c>
    </row>
    <row r="30" spans="1:14" ht="18.75" customHeight="1" x14ac:dyDescent="0.25">
      <c r="A30" s="205" t="s">
        <v>180</v>
      </c>
      <c r="B30" s="245">
        <v>22.298999999999999</v>
      </c>
      <c r="C30" s="245">
        <v>22.759</v>
      </c>
      <c r="D30" s="245">
        <v>22.341999999999999</v>
      </c>
      <c r="E30" s="245">
        <v>22.401</v>
      </c>
      <c r="F30" s="245">
        <v>22.651</v>
      </c>
      <c r="G30" s="245">
        <v>22.344999999999999</v>
      </c>
      <c r="H30" s="245">
        <v>21.835000000000001</v>
      </c>
      <c r="I30" s="245">
        <v>21.097999999999999</v>
      </c>
      <c r="J30" s="245">
        <v>21.664000000000001</v>
      </c>
      <c r="K30" s="245">
        <v>20.540000000000003</v>
      </c>
      <c r="L30" s="245" t="s">
        <v>57</v>
      </c>
      <c r="M30" s="246" t="s">
        <v>57</v>
      </c>
      <c r="N30" s="210" t="s">
        <v>181</v>
      </c>
    </row>
    <row r="31" spans="1:14" ht="18.75" customHeight="1" x14ac:dyDescent="0.25">
      <c r="A31" s="205" t="s">
        <v>182</v>
      </c>
      <c r="B31" s="245" t="s">
        <v>57</v>
      </c>
      <c r="C31" s="245" t="s">
        <v>57</v>
      </c>
      <c r="D31" s="245" t="s">
        <v>57</v>
      </c>
      <c r="E31" s="245" t="s">
        <v>57</v>
      </c>
      <c r="F31" s="245" t="s">
        <v>57</v>
      </c>
      <c r="G31" s="245" t="s">
        <v>57</v>
      </c>
      <c r="H31" s="245" t="s">
        <v>57</v>
      </c>
      <c r="I31" s="245" t="s">
        <v>57</v>
      </c>
      <c r="J31" s="245" t="s">
        <v>57</v>
      </c>
      <c r="K31" s="245" t="s">
        <v>57</v>
      </c>
      <c r="L31" s="245" t="s">
        <v>57</v>
      </c>
      <c r="M31" s="246" t="s">
        <v>57</v>
      </c>
      <c r="N31" s="210" t="s">
        <v>183</v>
      </c>
    </row>
    <row r="32" spans="1:14" ht="18.75" customHeight="1" x14ac:dyDescent="0.25">
      <c r="A32" s="205" t="s">
        <v>184</v>
      </c>
      <c r="B32" s="245" t="s">
        <v>57</v>
      </c>
      <c r="C32" s="245" t="s">
        <v>57</v>
      </c>
      <c r="D32" s="245" t="s">
        <v>57</v>
      </c>
      <c r="E32" s="245" t="s">
        <v>57</v>
      </c>
      <c r="F32" s="245" t="s">
        <v>57</v>
      </c>
      <c r="G32" s="245" t="s">
        <v>57</v>
      </c>
      <c r="H32" s="245" t="s">
        <v>57</v>
      </c>
      <c r="I32" s="245" t="s">
        <v>57</v>
      </c>
      <c r="J32" s="245" t="s">
        <v>57</v>
      </c>
      <c r="K32" s="245" t="s">
        <v>57</v>
      </c>
      <c r="L32" s="245" t="s">
        <v>57</v>
      </c>
      <c r="M32" s="246" t="s">
        <v>57</v>
      </c>
      <c r="N32" s="210" t="s">
        <v>185</v>
      </c>
    </row>
    <row r="33" spans="1:14" ht="18.75" customHeight="1" x14ac:dyDescent="0.25">
      <c r="A33" s="205" t="s">
        <v>186</v>
      </c>
      <c r="B33" s="245">
        <v>6.3220000000000001</v>
      </c>
      <c r="C33" s="245">
        <v>6.2750000000000004</v>
      </c>
      <c r="D33" s="245">
        <v>6.4649999999999999</v>
      </c>
      <c r="E33" s="245">
        <v>6.3819999999999997</v>
      </c>
      <c r="F33" s="245">
        <v>6.4309999999999992</v>
      </c>
      <c r="G33" s="245">
        <v>6.133</v>
      </c>
      <c r="H33" s="245">
        <v>5.8760000000000003</v>
      </c>
      <c r="I33" s="245">
        <v>5.9850000000000003</v>
      </c>
      <c r="J33" s="245">
        <v>6.0809999999999995</v>
      </c>
      <c r="K33" s="245">
        <v>6.0819999999999999</v>
      </c>
      <c r="L33" s="245" t="s">
        <v>57</v>
      </c>
      <c r="M33" s="246" t="s">
        <v>57</v>
      </c>
      <c r="N33" s="210" t="s">
        <v>187</v>
      </c>
    </row>
    <row r="34" spans="1:14" ht="18.75" customHeight="1" x14ac:dyDescent="0.25">
      <c r="A34" s="205" t="s">
        <v>188</v>
      </c>
      <c r="B34" s="245">
        <v>21.378</v>
      </c>
      <c r="C34" s="245">
        <v>21.125999999999998</v>
      </c>
      <c r="D34" s="245">
        <v>20.454999999999998</v>
      </c>
      <c r="E34" s="245">
        <v>20.218</v>
      </c>
      <c r="F34" s="245">
        <v>19.527999999999999</v>
      </c>
      <c r="G34" s="245">
        <v>19.766999999999999</v>
      </c>
      <c r="H34" s="245">
        <v>18.817999999999998</v>
      </c>
      <c r="I34" s="245">
        <v>18.710999999999999</v>
      </c>
      <c r="J34" s="245">
        <v>18.100999999999999</v>
      </c>
      <c r="K34" s="245">
        <v>16.137</v>
      </c>
      <c r="L34" s="245">
        <v>14.86</v>
      </c>
      <c r="M34" s="246" t="s">
        <v>57</v>
      </c>
      <c r="N34" s="210" t="s">
        <v>189</v>
      </c>
    </row>
    <row r="35" spans="1:14" ht="18.75" customHeight="1" x14ac:dyDescent="0.25">
      <c r="A35" s="205" t="s">
        <v>190</v>
      </c>
      <c r="B35" s="245" t="s">
        <v>57</v>
      </c>
      <c r="C35" s="245" t="s">
        <v>57</v>
      </c>
      <c r="D35" s="245" t="s">
        <v>57</v>
      </c>
      <c r="E35" s="245" t="s">
        <v>57</v>
      </c>
      <c r="F35" s="245" t="s">
        <v>57</v>
      </c>
      <c r="G35" s="245" t="s">
        <v>57</v>
      </c>
      <c r="H35" s="245" t="s">
        <v>57</v>
      </c>
      <c r="I35" s="245" t="s">
        <v>57</v>
      </c>
      <c r="J35" s="245" t="s">
        <v>57</v>
      </c>
      <c r="K35" s="245" t="s">
        <v>57</v>
      </c>
      <c r="L35" s="245" t="s">
        <v>57</v>
      </c>
      <c r="M35" s="246" t="s">
        <v>57</v>
      </c>
      <c r="N35" s="210" t="s">
        <v>191</v>
      </c>
    </row>
    <row r="36" spans="1:14" ht="18.75" customHeight="1" x14ac:dyDescent="0.25">
      <c r="A36" s="205" t="s">
        <v>498</v>
      </c>
      <c r="B36" s="245" t="s">
        <v>57</v>
      </c>
      <c r="C36" s="245" t="s">
        <v>57</v>
      </c>
      <c r="D36" s="245" t="s">
        <v>57</v>
      </c>
      <c r="E36" s="245" t="s">
        <v>57</v>
      </c>
      <c r="F36" s="245" t="s">
        <v>57</v>
      </c>
      <c r="G36" s="245" t="s">
        <v>57</v>
      </c>
      <c r="H36" s="245" t="s">
        <v>57</v>
      </c>
      <c r="I36" s="245" t="s">
        <v>57</v>
      </c>
      <c r="J36" s="245" t="s">
        <v>57</v>
      </c>
      <c r="K36" s="245" t="s">
        <v>57</v>
      </c>
      <c r="L36" s="245" t="s">
        <v>57</v>
      </c>
      <c r="M36" s="246" t="s">
        <v>57</v>
      </c>
      <c r="N36" s="210" t="s">
        <v>499</v>
      </c>
    </row>
    <row r="37" spans="1:14" ht="18.75" customHeight="1" x14ac:dyDescent="0.25">
      <c r="A37" s="205" t="s">
        <v>192</v>
      </c>
      <c r="B37" s="245">
        <v>26.535</v>
      </c>
      <c r="C37" s="245">
        <v>27.029</v>
      </c>
      <c r="D37" s="245">
        <v>26.865000000000002</v>
      </c>
      <c r="E37" s="245">
        <v>26.594000000000001</v>
      </c>
      <c r="F37" s="245">
        <v>26.391000000000002</v>
      </c>
      <c r="G37" s="245">
        <v>25.512999999999998</v>
      </c>
      <c r="H37" s="245">
        <v>24.439</v>
      </c>
      <c r="I37" s="245">
        <v>23.721</v>
      </c>
      <c r="J37" s="245">
        <v>21.047000000000001</v>
      </c>
      <c r="K37" s="245">
        <v>21.26</v>
      </c>
      <c r="L37" s="245">
        <v>21.901</v>
      </c>
      <c r="M37" s="246" t="s">
        <v>57</v>
      </c>
      <c r="N37" s="210" t="s">
        <v>193</v>
      </c>
    </row>
    <row r="38" spans="1:14" ht="18.75" customHeight="1" x14ac:dyDescent="0.25">
      <c r="A38" s="205" t="s">
        <v>194</v>
      </c>
      <c r="B38" s="245">
        <v>18.914999999999999</v>
      </c>
      <c r="C38" s="245">
        <v>17.905999999999999</v>
      </c>
      <c r="D38" s="245">
        <v>17.5</v>
      </c>
      <c r="E38" s="245">
        <v>17.530999999999999</v>
      </c>
      <c r="F38" s="245">
        <v>17.657</v>
      </c>
      <c r="G38" s="245">
        <v>17.207000000000001</v>
      </c>
      <c r="H38" s="245">
        <v>16.641999999999999</v>
      </c>
      <c r="I38" s="245">
        <v>16.532</v>
      </c>
      <c r="J38" s="245">
        <v>15.872</v>
      </c>
      <c r="K38" s="245">
        <v>16.292999999999999</v>
      </c>
      <c r="L38" s="245">
        <v>16.899999999999999</v>
      </c>
      <c r="M38" s="246" t="s">
        <v>57</v>
      </c>
      <c r="N38" s="210" t="s">
        <v>195</v>
      </c>
    </row>
    <row r="39" spans="1:14" ht="18.75" customHeight="1" x14ac:dyDescent="0.25">
      <c r="A39" s="205" t="s">
        <v>196</v>
      </c>
      <c r="B39" s="245">
        <v>15.763</v>
      </c>
      <c r="C39" s="245">
        <v>15.045</v>
      </c>
      <c r="D39" s="245">
        <v>14.757999999999999</v>
      </c>
      <c r="E39" s="245">
        <v>15.382000000000001</v>
      </c>
      <c r="F39" s="245">
        <v>14.902999999999999</v>
      </c>
      <c r="G39" s="245">
        <v>14.765000000000001</v>
      </c>
      <c r="H39" s="245">
        <v>14.286</v>
      </c>
      <c r="I39" s="245">
        <v>13.896000000000001</v>
      </c>
      <c r="J39" s="245">
        <v>13.754000000000001</v>
      </c>
      <c r="K39" s="245">
        <v>13.854000000000001</v>
      </c>
      <c r="L39" s="245">
        <v>13.661</v>
      </c>
      <c r="M39" s="246" t="s">
        <v>57</v>
      </c>
      <c r="N39" s="210" t="s">
        <v>197</v>
      </c>
    </row>
    <row r="40" spans="1:14" ht="18.75" customHeight="1" x14ac:dyDescent="0.25">
      <c r="A40" s="205" t="s">
        <v>198</v>
      </c>
      <c r="B40" s="245">
        <v>8.657</v>
      </c>
      <c r="C40" s="245">
        <v>8.6310000000000002</v>
      </c>
      <c r="D40" s="245">
        <v>8.7420000000000009</v>
      </c>
      <c r="E40" s="245">
        <v>8.8669999999999991</v>
      </c>
      <c r="F40" s="245">
        <v>8.532</v>
      </c>
      <c r="G40" s="245">
        <v>8.6669999999999998</v>
      </c>
      <c r="H40" s="245">
        <v>8.3580000000000005</v>
      </c>
      <c r="I40" s="245">
        <v>8.48</v>
      </c>
      <c r="J40" s="245">
        <v>8.23</v>
      </c>
      <c r="K40" s="245">
        <v>8.7050000000000001</v>
      </c>
      <c r="L40" s="245">
        <v>8.8350000000000009</v>
      </c>
      <c r="M40" s="246" t="s">
        <v>57</v>
      </c>
      <c r="N40" s="210" t="s">
        <v>199</v>
      </c>
    </row>
    <row r="41" spans="1:14" ht="18.75" customHeight="1" x14ac:dyDescent="0.25">
      <c r="A41" s="205" t="s">
        <v>200</v>
      </c>
      <c r="B41" s="245">
        <v>10.679</v>
      </c>
      <c r="C41" s="245">
        <v>10.554</v>
      </c>
      <c r="D41" s="245">
        <v>10.524999999999999</v>
      </c>
      <c r="E41" s="245">
        <v>10.673999999999999</v>
      </c>
      <c r="F41" s="245">
        <v>10.84</v>
      </c>
      <c r="G41" s="245">
        <v>10.982999999999999</v>
      </c>
      <c r="H41" s="245">
        <v>11.043000000000001</v>
      </c>
      <c r="I41" s="245">
        <v>10.978</v>
      </c>
      <c r="J41" s="245">
        <v>10.753</v>
      </c>
      <c r="K41" s="245">
        <v>11.143000000000001</v>
      </c>
      <c r="L41" s="245">
        <v>11.411</v>
      </c>
      <c r="M41" s="246" t="s">
        <v>57</v>
      </c>
      <c r="N41" s="210" t="s">
        <v>201</v>
      </c>
    </row>
    <row r="42" spans="1:14" ht="18.75" customHeight="1" x14ac:dyDescent="0.25">
      <c r="A42" s="205" t="s">
        <v>202</v>
      </c>
      <c r="B42" s="245" t="s">
        <v>57</v>
      </c>
      <c r="C42" s="245" t="s">
        <v>57</v>
      </c>
      <c r="D42" s="245" t="s">
        <v>57</v>
      </c>
      <c r="E42" s="245" t="s">
        <v>57</v>
      </c>
      <c r="F42" s="245" t="s">
        <v>57</v>
      </c>
      <c r="G42" s="245" t="s">
        <v>57</v>
      </c>
      <c r="H42" s="245" t="s">
        <v>57</v>
      </c>
      <c r="I42" s="245" t="s">
        <v>57</v>
      </c>
      <c r="J42" s="245" t="s">
        <v>57</v>
      </c>
      <c r="K42" s="245" t="s">
        <v>57</v>
      </c>
      <c r="L42" s="245" t="s">
        <v>57</v>
      </c>
      <c r="M42" s="246" t="s">
        <v>57</v>
      </c>
      <c r="N42" s="210" t="s">
        <v>401</v>
      </c>
    </row>
    <row r="43" spans="1:14" ht="18.75" customHeight="1" x14ac:dyDescent="0.25">
      <c r="A43" s="205" t="s">
        <v>203</v>
      </c>
      <c r="B43" s="245">
        <v>11.193</v>
      </c>
      <c r="C43" s="245">
        <v>11.036000000000001</v>
      </c>
      <c r="D43" s="245">
        <v>10.843999999999999</v>
      </c>
      <c r="E43" s="245">
        <v>10.747</v>
      </c>
      <c r="F43" s="245">
        <v>10.497</v>
      </c>
      <c r="G43" s="245">
        <v>10.123999999999999</v>
      </c>
      <c r="H43" s="245">
        <v>9.9469999999999992</v>
      </c>
      <c r="I43" s="245">
        <v>8.9740000000000002</v>
      </c>
      <c r="J43" s="245">
        <v>8.2799999999999994</v>
      </c>
      <c r="K43" s="245">
        <v>8.548</v>
      </c>
      <c r="L43" s="245">
        <v>8.6810000000000009</v>
      </c>
      <c r="M43" s="246" t="s">
        <v>57</v>
      </c>
      <c r="N43" s="210" t="s">
        <v>204</v>
      </c>
    </row>
    <row r="44" spans="1:14" s="49" customFormat="1" ht="18.75" customHeight="1" x14ac:dyDescent="0.25">
      <c r="A44" s="206" t="s">
        <v>205</v>
      </c>
      <c r="B44" s="245">
        <v>11.99</v>
      </c>
      <c r="C44" s="245">
        <v>12.554</v>
      </c>
      <c r="D44" s="245">
        <v>12.747</v>
      </c>
      <c r="E44" s="245">
        <v>12.315999999999999</v>
      </c>
      <c r="F44" s="245">
        <v>12.013999999999999</v>
      </c>
      <c r="G44" s="245">
        <v>11.826000000000001</v>
      </c>
      <c r="H44" s="245">
        <v>11.851999999999999</v>
      </c>
      <c r="I44" s="245">
        <v>11.271999999999998</v>
      </c>
      <c r="J44" s="245">
        <v>11.702</v>
      </c>
      <c r="K44" s="245">
        <v>12.077</v>
      </c>
      <c r="L44" s="245">
        <v>12.4</v>
      </c>
      <c r="M44" s="246" t="s">
        <v>57</v>
      </c>
      <c r="N44" s="212" t="s">
        <v>206</v>
      </c>
    </row>
    <row r="45" spans="1:14" s="49" customFormat="1" ht="27.75" customHeight="1" x14ac:dyDescent="0.25">
      <c r="A45" s="778" t="s">
        <v>615</v>
      </c>
      <c r="B45" s="779"/>
      <c r="C45" s="779"/>
      <c r="D45" s="779"/>
      <c r="E45" s="779"/>
      <c r="F45" s="779"/>
      <c r="G45" s="779"/>
      <c r="H45" s="779"/>
      <c r="I45" s="779"/>
      <c r="J45" s="779"/>
      <c r="K45" s="779"/>
      <c r="L45" s="779"/>
      <c r="M45" s="779"/>
      <c r="N45" s="779"/>
    </row>
    <row r="46" spans="1:14" s="49" customFormat="1" x14ac:dyDescent="0.25">
      <c r="A46" s="47" t="s">
        <v>600</v>
      </c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136"/>
    </row>
    <row r="47" spans="1:14" s="49" customFormat="1" x14ac:dyDescent="0.25">
      <c r="A47" s="52" t="s">
        <v>601</v>
      </c>
      <c r="B47" s="52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136"/>
    </row>
    <row r="48" spans="1:14" s="49" customFormat="1" x14ac:dyDescent="0.25">
      <c r="A48" s="780" t="s">
        <v>614</v>
      </c>
      <c r="B48" s="780"/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3" x14ac:dyDescent="0.25">
      <c r="A49" s="47" t="s">
        <v>311</v>
      </c>
      <c r="B49" s="49"/>
      <c r="C49" s="47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 x14ac:dyDescent="0.25">
      <c r="A50" s="52" t="s">
        <v>612</v>
      </c>
      <c r="B50" s="52"/>
      <c r="C50" s="52"/>
    </row>
    <row r="51" spans="1:13" x14ac:dyDescent="0.25">
      <c r="A51" s="52" t="s">
        <v>613</v>
      </c>
      <c r="B51" s="52"/>
      <c r="C51" s="52"/>
    </row>
    <row r="52" spans="1:13" x14ac:dyDescent="0.25">
      <c r="C52" s="52"/>
    </row>
    <row r="53" spans="1:13" x14ac:dyDescent="0.25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</row>
  </sheetData>
  <mergeCells count="5">
    <mergeCell ref="A1:N1"/>
    <mergeCell ref="A45:N45"/>
    <mergeCell ref="A48:N48"/>
    <mergeCell ref="N3:N4"/>
    <mergeCell ref="A3:A4"/>
  </mergeCells>
  <phoneticPr fontId="17" type="noConversion"/>
  <printOptions horizontalCentered="1"/>
  <pageMargins left="0.31496062992125984" right="0.31496062992125984" top="0.59055118110236227" bottom="0.59055118110236227" header="0.51181102362204722" footer="0.31496062992125984"/>
  <pageSetup paperSize="9" scale="80" firstPageNumber="160" fitToWidth="0" fitToHeight="0" orientation="portrait" useFirstPageNumber="1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8" tint="-0.249977111117893"/>
  </sheetPr>
  <dimension ref="A1:O58"/>
  <sheetViews>
    <sheetView view="pageBreakPreview" zoomScale="70" zoomScaleNormal="70" zoomScaleSheetLayoutView="70" workbookViewId="0">
      <selection sqref="A1:N1"/>
    </sheetView>
  </sheetViews>
  <sheetFormatPr defaultColWidth="9" defaultRowHeight="15.75" x14ac:dyDescent="0.25"/>
  <cols>
    <col min="1" max="1" width="13.625" style="21" customWidth="1"/>
    <col min="2" max="13" width="7.625" style="21" customWidth="1"/>
    <col min="14" max="14" width="14.75" style="21" customWidth="1"/>
    <col min="15" max="15" width="12.25" style="21" bestFit="1" customWidth="1"/>
    <col min="16" max="16384" width="9" style="21"/>
  </cols>
  <sheetData>
    <row r="1" spans="1:15" s="48" customFormat="1" ht="44.25" customHeight="1" x14ac:dyDescent="0.25">
      <c r="A1" s="759" t="s">
        <v>656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51"/>
    </row>
    <row r="2" spans="1:15" s="49" customFormat="1" ht="15" customHeight="1" x14ac:dyDescent="0.25">
      <c r="A2" s="47" t="s">
        <v>208</v>
      </c>
      <c r="D2" s="50"/>
      <c r="F2" s="50"/>
      <c r="G2" s="50"/>
      <c r="H2" s="50"/>
      <c r="I2" s="50"/>
      <c r="J2" s="50"/>
      <c r="M2" s="50"/>
      <c r="N2" s="50" t="s">
        <v>209</v>
      </c>
    </row>
    <row r="3" spans="1:15" ht="21.2" customHeight="1" x14ac:dyDescent="0.25">
      <c r="A3" s="762" t="s">
        <v>480</v>
      </c>
      <c r="B3" s="237" t="s">
        <v>134</v>
      </c>
      <c r="C3" s="237" t="s">
        <v>135</v>
      </c>
      <c r="D3" s="237" t="s">
        <v>307</v>
      </c>
      <c r="E3" s="237" t="s">
        <v>210</v>
      </c>
      <c r="F3" s="238" t="s">
        <v>308</v>
      </c>
      <c r="G3" s="238" t="s">
        <v>377</v>
      </c>
      <c r="H3" s="238" t="s">
        <v>382</v>
      </c>
      <c r="I3" s="238" t="s">
        <v>390</v>
      </c>
      <c r="J3" s="238" t="s">
        <v>400</v>
      </c>
      <c r="K3" s="237" t="s">
        <v>433</v>
      </c>
      <c r="L3" s="237" t="s">
        <v>551</v>
      </c>
      <c r="M3" s="237" t="s">
        <v>599</v>
      </c>
      <c r="N3" s="783" t="s">
        <v>470</v>
      </c>
    </row>
    <row r="4" spans="1:15" ht="21.2" customHeight="1" x14ac:dyDescent="0.25">
      <c r="A4" s="764"/>
      <c r="B4" s="240">
        <v>2013</v>
      </c>
      <c r="C4" s="240">
        <v>2014</v>
      </c>
      <c r="D4" s="239">
        <v>2015</v>
      </c>
      <c r="E4" s="240">
        <v>2016</v>
      </c>
      <c r="F4" s="240">
        <v>2017</v>
      </c>
      <c r="G4" s="241">
        <v>2018</v>
      </c>
      <c r="H4" s="242">
        <v>2019</v>
      </c>
      <c r="I4" s="242">
        <v>2020</v>
      </c>
      <c r="J4" s="242">
        <v>2021</v>
      </c>
      <c r="K4" s="240">
        <v>2022</v>
      </c>
      <c r="L4" s="240">
        <v>2023</v>
      </c>
      <c r="M4" s="240">
        <v>2024</v>
      </c>
      <c r="N4" s="784"/>
    </row>
    <row r="5" spans="1:15" ht="18.75" customHeight="1" x14ac:dyDescent="0.25">
      <c r="A5" s="204" t="s">
        <v>136</v>
      </c>
      <c r="B5" s="245">
        <v>1.19</v>
      </c>
      <c r="C5" s="245">
        <v>1.1499999999999999</v>
      </c>
      <c r="D5" s="245">
        <v>1.1000000000000001</v>
      </c>
      <c r="E5" s="245">
        <v>1.1100000000000001</v>
      </c>
      <c r="F5" s="245">
        <v>1.1599999999999999</v>
      </c>
      <c r="G5" s="245">
        <v>1.2</v>
      </c>
      <c r="H5" s="245">
        <v>1.23</v>
      </c>
      <c r="I5" s="245">
        <v>1.26</v>
      </c>
      <c r="J5" s="245">
        <v>1.24</v>
      </c>
      <c r="K5" s="245">
        <v>1.3</v>
      </c>
      <c r="L5" s="245">
        <v>1.17</v>
      </c>
      <c r="M5" s="246">
        <v>1.1200000000000001</v>
      </c>
      <c r="N5" s="136" t="s">
        <v>137</v>
      </c>
      <c r="O5" s="53"/>
    </row>
    <row r="6" spans="1:15" ht="18.75" customHeight="1" x14ac:dyDescent="0.25">
      <c r="A6" s="205" t="s">
        <v>138</v>
      </c>
      <c r="B6" s="245">
        <v>1.2549999999999999</v>
      </c>
      <c r="C6" s="245">
        <v>1.228</v>
      </c>
      <c r="D6" s="245">
        <v>1.2629999999999999</v>
      </c>
      <c r="E6" s="245">
        <v>1.3009999999999999</v>
      </c>
      <c r="F6" s="245">
        <v>1.2390000000000001</v>
      </c>
      <c r="G6" s="245">
        <v>1.256</v>
      </c>
      <c r="H6" s="245">
        <v>1.286</v>
      </c>
      <c r="I6" s="245">
        <v>1.284</v>
      </c>
      <c r="J6" s="245">
        <v>1.264</v>
      </c>
      <c r="K6" s="245">
        <v>1.2490000000000001</v>
      </c>
      <c r="L6" s="245" t="s">
        <v>57</v>
      </c>
      <c r="M6" s="246" t="s">
        <v>57</v>
      </c>
      <c r="N6" s="136" t="s">
        <v>139</v>
      </c>
      <c r="O6" s="53"/>
    </row>
    <row r="7" spans="1:15" ht="18.75" customHeight="1" x14ac:dyDescent="0.25">
      <c r="A7" s="205" t="s">
        <v>140</v>
      </c>
      <c r="B7" s="245">
        <v>1.21</v>
      </c>
      <c r="C7" s="245">
        <v>1.2490000000000001</v>
      </c>
      <c r="D7" s="245">
        <v>1.2589999999999999</v>
      </c>
      <c r="E7" s="245">
        <v>1.224</v>
      </c>
      <c r="F7" s="245">
        <v>1.238</v>
      </c>
      <c r="G7" s="245">
        <v>1.222</v>
      </c>
      <c r="H7" s="245">
        <v>1.212</v>
      </c>
      <c r="I7" s="245">
        <v>1.3179999999999998</v>
      </c>
      <c r="J7" s="245">
        <v>1.2969999999999999</v>
      </c>
      <c r="K7" s="245">
        <v>1.2410000000000001</v>
      </c>
      <c r="L7" s="245">
        <v>1.224</v>
      </c>
      <c r="M7" s="246" t="s">
        <v>57</v>
      </c>
      <c r="N7" s="136" t="s">
        <v>141</v>
      </c>
      <c r="O7" s="53"/>
    </row>
    <row r="8" spans="1:15" ht="18.75" customHeight="1" x14ac:dyDescent="0.25">
      <c r="A8" s="205" t="s">
        <v>142</v>
      </c>
      <c r="B8" s="245">
        <v>1.2790000000000001</v>
      </c>
      <c r="C8" s="245">
        <v>1.2530000000000001</v>
      </c>
      <c r="D8" s="245">
        <v>1.2590000000000001</v>
      </c>
      <c r="E8" s="245">
        <v>1.2389999999999999</v>
      </c>
      <c r="F8" s="245">
        <v>1.194</v>
      </c>
      <c r="G8" s="245">
        <v>1.1519999999999999</v>
      </c>
      <c r="H8" s="245">
        <v>1.157</v>
      </c>
      <c r="I8" s="245">
        <v>1.169</v>
      </c>
      <c r="J8" s="245">
        <v>1.0960000000000001</v>
      </c>
      <c r="K8" s="245">
        <v>1.091</v>
      </c>
      <c r="L8" s="245">
        <v>1.1179999999999999</v>
      </c>
      <c r="M8" s="246" t="s">
        <v>57</v>
      </c>
      <c r="N8" s="136" t="s">
        <v>143</v>
      </c>
    </row>
    <row r="9" spans="1:15" ht="18.75" customHeight="1" x14ac:dyDescent="0.25">
      <c r="A9" s="205" t="s">
        <v>144</v>
      </c>
      <c r="B9" s="245">
        <v>1.653</v>
      </c>
      <c r="C9" s="245">
        <v>1.589</v>
      </c>
      <c r="D9" s="245">
        <v>1.6749999999999998</v>
      </c>
      <c r="E9" s="245">
        <v>1.7109999999999999</v>
      </c>
      <c r="F9" s="245">
        <v>1.67</v>
      </c>
      <c r="G9" s="245">
        <v>1.6240000000000001</v>
      </c>
      <c r="H9" s="245">
        <v>1.6340000000000001</v>
      </c>
      <c r="I9" s="245">
        <v>1.7450000000000001</v>
      </c>
      <c r="J9" s="245">
        <v>1.609</v>
      </c>
      <c r="K9" s="245">
        <v>1.534</v>
      </c>
      <c r="L9" s="245">
        <v>1.5720000000000001</v>
      </c>
      <c r="M9" s="246">
        <v>1.5609999999999999</v>
      </c>
      <c r="N9" s="136" t="s">
        <v>145</v>
      </c>
      <c r="O9" s="54"/>
    </row>
    <row r="10" spans="1:15" ht="18.75" customHeight="1" x14ac:dyDescent="0.25">
      <c r="A10" s="205" t="s">
        <v>146</v>
      </c>
      <c r="B10" s="245" t="s">
        <v>57</v>
      </c>
      <c r="C10" s="245" t="s">
        <v>57</v>
      </c>
      <c r="D10" s="245" t="s">
        <v>57</v>
      </c>
      <c r="E10" s="245" t="s">
        <v>57</v>
      </c>
      <c r="F10" s="245" t="s">
        <v>57</v>
      </c>
      <c r="G10" s="245" t="s">
        <v>57</v>
      </c>
      <c r="H10" s="245" t="s">
        <v>57</v>
      </c>
      <c r="I10" s="245" t="s">
        <v>57</v>
      </c>
      <c r="J10" s="245" t="s">
        <v>57</v>
      </c>
      <c r="K10" s="245" t="s">
        <v>57</v>
      </c>
      <c r="L10" s="245" t="s">
        <v>57</v>
      </c>
      <c r="M10" s="246" t="s">
        <v>57</v>
      </c>
      <c r="N10" s="136" t="s">
        <v>147</v>
      </c>
      <c r="O10" s="55"/>
    </row>
    <row r="11" spans="1:15" ht="18.75" customHeight="1" x14ac:dyDescent="0.25">
      <c r="A11" s="207" t="s">
        <v>383</v>
      </c>
      <c r="B11" s="245" t="s">
        <v>57</v>
      </c>
      <c r="C11" s="245" t="s">
        <v>57</v>
      </c>
      <c r="D11" s="245" t="s">
        <v>57</v>
      </c>
      <c r="E11" s="245" t="s">
        <v>57</v>
      </c>
      <c r="F11" s="245" t="s">
        <v>57</v>
      </c>
      <c r="G11" s="245" t="s">
        <v>57</v>
      </c>
      <c r="H11" s="245" t="s">
        <v>57</v>
      </c>
      <c r="I11" s="245" t="s">
        <v>57</v>
      </c>
      <c r="J11" s="245" t="s">
        <v>57</v>
      </c>
      <c r="K11" s="245" t="s">
        <v>57</v>
      </c>
      <c r="L11" s="245" t="s">
        <v>57</v>
      </c>
      <c r="M11" s="246" t="s">
        <v>57</v>
      </c>
      <c r="N11" s="208" t="s">
        <v>384</v>
      </c>
      <c r="O11" s="55"/>
    </row>
    <row r="12" spans="1:15" ht="18.75" customHeight="1" x14ac:dyDescent="0.25">
      <c r="A12" s="207" t="s">
        <v>392</v>
      </c>
      <c r="B12" s="245">
        <v>1.0169999999999999</v>
      </c>
      <c r="C12" s="245">
        <v>1.1100000000000001</v>
      </c>
      <c r="D12" s="245">
        <v>1.085</v>
      </c>
      <c r="E12" s="245">
        <v>0.97799999999999998</v>
      </c>
      <c r="F12" s="245">
        <v>0.52300000000000002</v>
      </c>
      <c r="G12" s="245">
        <v>0.66500000000000004</v>
      </c>
      <c r="H12" s="245">
        <v>0.63600000000000001</v>
      </c>
      <c r="I12" s="245">
        <v>0.624</v>
      </c>
      <c r="J12" s="245">
        <v>0.622</v>
      </c>
      <c r="K12" s="245">
        <v>0.63900000000000001</v>
      </c>
      <c r="L12" s="245">
        <v>0.63900000000000001</v>
      </c>
      <c r="M12" s="246" t="s">
        <v>57</v>
      </c>
      <c r="N12" s="208" t="s">
        <v>391</v>
      </c>
      <c r="O12" s="55"/>
    </row>
    <row r="13" spans="1:15" ht="18.75" customHeight="1" x14ac:dyDescent="0.25">
      <c r="A13" s="205" t="s">
        <v>148</v>
      </c>
      <c r="B13" s="245">
        <v>1.3559999999999999</v>
      </c>
      <c r="C13" s="245">
        <v>1.306</v>
      </c>
      <c r="D13" s="245">
        <v>1.24</v>
      </c>
      <c r="E13" s="245">
        <v>1.216</v>
      </c>
      <c r="F13" s="245">
        <v>1.165</v>
      </c>
      <c r="G13" s="245">
        <v>1.1339999999999999</v>
      </c>
      <c r="H13" s="245">
        <v>1.1139999999999999</v>
      </c>
      <c r="I13" s="245">
        <v>1.163</v>
      </c>
      <c r="J13" s="245">
        <v>1.1139999999999999</v>
      </c>
      <c r="K13" s="245">
        <v>1.07</v>
      </c>
      <c r="L13" s="245">
        <v>1.0959999999999999</v>
      </c>
      <c r="M13" s="246" t="s">
        <v>57</v>
      </c>
      <c r="N13" s="136" t="s">
        <v>149</v>
      </c>
    </row>
    <row r="14" spans="1:15" ht="18.75" customHeight="1" x14ac:dyDescent="0.25">
      <c r="A14" s="205" t="s">
        <v>150</v>
      </c>
      <c r="B14" s="245">
        <v>0.58199999999999996</v>
      </c>
      <c r="C14" s="245">
        <v>0.57799999999999996</v>
      </c>
      <c r="D14" s="245">
        <v>0.57400000000000007</v>
      </c>
      <c r="E14" s="245">
        <v>0.55300000000000005</v>
      </c>
      <c r="F14" s="245">
        <v>0.52700000000000002</v>
      </c>
      <c r="G14" s="245">
        <v>0.52200000000000002</v>
      </c>
      <c r="H14" s="245">
        <v>0.53900000000000003</v>
      </c>
      <c r="I14" s="245">
        <v>0.54400000000000004</v>
      </c>
      <c r="J14" s="245">
        <v>0.49299999999999999</v>
      </c>
      <c r="K14" s="245">
        <v>0.47499999999999998</v>
      </c>
      <c r="L14" s="245">
        <v>0.58599999999999997</v>
      </c>
      <c r="M14" s="246">
        <v>0.54400000000000004</v>
      </c>
      <c r="N14" s="136" t="s">
        <v>151</v>
      </c>
    </row>
    <row r="15" spans="1:15" ht="18.75" customHeight="1" x14ac:dyDescent="0.25">
      <c r="A15" s="205" t="s">
        <v>152</v>
      </c>
      <c r="B15" s="245">
        <v>1.0859999999999999</v>
      </c>
      <c r="C15" s="245">
        <v>1.0720000000000001</v>
      </c>
      <c r="D15" s="245">
        <v>1.085</v>
      </c>
      <c r="E15" s="245">
        <v>1.1380000000000001</v>
      </c>
      <c r="F15" s="245">
        <v>1.0649999999999999</v>
      </c>
      <c r="G15" s="245">
        <v>1.077</v>
      </c>
      <c r="H15" s="245">
        <v>1.038</v>
      </c>
      <c r="I15" s="245">
        <v>1.0669999999999999</v>
      </c>
      <c r="J15" s="245">
        <v>0.99099999999999999</v>
      </c>
      <c r="K15" s="245">
        <v>0.94199999999999995</v>
      </c>
      <c r="L15" s="245">
        <v>1.016</v>
      </c>
      <c r="M15" s="246" t="s">
        <v>57</v>
      </c>
      <c r="N15" s="136" t="s">
        <v>153</v>
      </c>
    </row>
    <row r="16" spans="1:15" ht="18.75" customHeight="1" x14ac:dyDescent="0.25">
      <c r="A16" s="205" t="s">
        <v>154</v>
      </c>
      <c r="B16" s="245">
        <v>1.143</v>
      </c>
      <c r="C16" s="245">
        <v>1.1259999999999999</v>
      </c>
      <c r="D16" s="245">
        <v>1.141</v>
      </c>
      <c r="E16" s="245">
        <v>1.1539999999999999</v>
      </c>
      <c r="F16" s="245">
        <v>1.0939999999999999</v>
      </c>
      <c r="G16" s="245">
        <v>1.0959999999999999</v>
      </c>
      <c r="H16" s="245">
        <v>1.1079999999999999</v>
      </c>
      <c r="I16" s="245">
        <v>1.141</v>
      </c>
      <c r="J16" s="245">
        <v>1.109</v>
      </c>
      <c r="K16" s="245">
        <v>1.087</v>
      </c>
      <c r="L16" s="245">
        <v>1.0939999999999999</v>
      </c>
      <c r="M16" s="246" t="s">
        <v>57</v>
      </c>
      <c r="N16" s="136" t="s">
        <v>155</v>
      </c>
    </row>
    <row r="17" spans="1:14" ht="18.75" customHeight="1" x14ac:dyDescent="0.25">
      <c r="A17" s="205" t="s">
        <v>156</v>
      </c>
      <c r="B17" s="245">
        <v>1.6150000000000002</v>
      </c>
      <c r="C17" s="245">
        <v>1.61</v>
      </c>
      <c r="D17" s="245">
        <v>1.5529999999999999</v>
      </c>
      <c r="E17" s="245">
        <v>1.5379999999999998</v>
      </c>
      <c r="F17" s="245">
        <v>1.5259999999999998</v>
      </c>
      <c r="G17" s="245">
        <v>1.4570000000000001</v>
      </c>
      <c r="H17" s="245">
        <v>1.413</v>
      </c>
      <c r="I17" s="245">
        <v>1.4330000000000001</v>
      </c>
      <c r="J17" s="245">
        <v>1.401</v>
      </c>
      <c r="K17" s="245">
        <v>1.4000000000000001</v>
      </c>
      <c r="L17" s="245">
        <v>1.3660000000000001</v>
      </c>
      <c r="M17" s="246" t="s">
        <v>57</v>
      </c>
      <c r="N17" s="136" t="s">
        <v>157</v>
      </c>
    </row>
    <row r="18" spans="1:14" ht="18.75" customHeight="1" x14ac:dyDescent="0.25">
      <c r="A18" s="205" t="s">
        <v>158</v>
      </c>
      <c r="B18" s="245">
        <v>1.5070000000000001</v>
      </c>
      <c r="C18" s="245">
        <v>1.5489999999999999</v>
      </c>
      <c r="D18" s="245">
        <v>1.5720000000000001</v>
      </c>
      <c r="E18" s="245">
        <v>1.5860000000000001</v>
      </c>
      <c r="F18" s="245">
        <v>1.575</v>
      </c>
      <c r="G18" s="245">
        <v>1.59</v>
      </c>
      <c r="H18" s="245">
        <v>1.5720000000000001</v>
      </c>
      <c r="I18" s="245">
        <v>1.6960000000000002</v>
      </c>
      <c r="J18" s="245">
        <v>1.734</v>
      </c>
      <c r="K18" s="245">
        <v>1.663</v>
      </c>
      <c r="L18" s="245">
        <v>1.5999999999999999</v>
      </c>
      <c r="M18" s="246" t="s">
        <v>57</v>
      </c>
      <c r="N18" s="136" t="s">
        <v>159</v>
      </c>
    </row>
    <row r="19" spans="1:14" ht="18.75" customHeight="1" x14ac:dyDescent="0.25">
      <c r="A19" s="205" t="s">
        <v>160</v>
      </c>
      <c r="B19" s="245" t="s">
        <v>57</v>
      </c>
      <c r="C19" s="245" t="s">
        <v>57</v>
      </c>
      <c r="D19" s="245" t="s">
        <v>57</v>
      </c>
      <c r="E19" s="245" t="s">
        <v>57</v>
      </c>
      <c r="F19" s="245" t="s">
        <v>57</v>
      </c>
      <c r="G19" s="245" t="s">
        <v>57</v>
      </c>
      <c r="H19" s="245" t="s">
        <v>57</v>
      </c>
      <c r="I19" s="245" t="s">
        <v>57</v>
      </c>
      <c r="J19" s="245" t="s">
        <v>57</v>
      </c>
      <c r="K19" s="245" t="s">
        <v>57</v>
      </c>
      <c r="L19" s="245" t="s">
        <v>57</v>
      </c>
      <c r="M19" s="246" t="s">
        <v>57</v>
      </c>
      <c r="N19" s="136" t="s">
        <v>161</v>
      </c>
    </row>
    <row r="20" spans="1:14" ht="18.75" customHeight="1" x14ac:dyDescent="0.25">
      <c r="A20" s="205" t="s">
        <v>162</v>
      </c>
      <c r="B20" s="245">
        <v>2.0979999999999999</v>
      </c>
      <c r="C20" s="245">
        <v>2.028</v>
      </c>
      <c r="D20" s="245">
        <v>1.952</v>
      </c>
      <c r="E20" s="245">
        <v>1.964</v>
      </c>
      <c r="F20" s="245">
        <v>1.7829999999999999</v>
      </c>
      <c r="G20" s="245">
        <v>1.6739999999999999</v>
      </c>
      <c r="H20" s="245">
        <v>1.6379999999999999</v>
      </c>
      <c r="I20" s="245">
        <v>1.7470000000000001</v>
      </c>
      <c r="J20" s="245">
        <v>1.5920000000000001</v>
      </c>
      <c r="K20" s="245">
        <v>1.401</v>
      </c>
      <c r="L20" s="245">
        <v>1.3979999999999999</v>
      </c>
      <c r="M20" s="246" t="s">
        <v>57</v>
      </c>
      <c r="N20" s="136" t="s">
        <v>163</v>
      </c>
    </row>
    <row r="21" spans="1:14" ht="18.75" customHeight="1" x14ac:dyDescent="0.25">
      <c r="A21" s="205" t="s">
        <v>164</v>
      </c>
      <c r="B21" s="245">
        <v>0.89999999999999991</v>
      </c>
      <c r="C21" s="245">
        <v>0.83699999999999997</v>
      </c>
      <c r="D21" s="245">
        <v>0.77699999999999991</v>
      </c>
      <c r="E21" s="245">
        <v>0.72</v>
      </c>
      <c r="F21" s="245">
        <v>0.69300000000000006</v>
      </c>
      <c r="G21" s="245">
        <v>0.69700000000000006</v>
      </c>
      <c r="H21" s="245">
        <v>0.73199999999999998</v>
      </c>
      <c r="I21" s="245">
        <v>0.86899999999999999</v>
      </c>
      <c r="J21" s="245">
        <v>0.88000000000000012</v>
      </c>
      <c r="K21" s="245">
        <v>0.73499999999999999</v>
      </c>
      <c r="L21" s="245">
        <v>0.82600000000000007</v>
      </c>
      <c r="M21" s="246">
        <v>0.85399999999999998</v>
      </c>
      <c r="N21" s="136" t="s">
        <v>165</v>
      </c>
    </row>
    <row r="22" spans="1:14" ht="18.75" customHeight="1" x14ac:dyDescent="0.25">
      <c r="A22" s="205" t="s">
        <v>166</v>
      </c>
      <c r="B22" s="245" t="s">
        <v>57</v>
      </c>
      <c r="C22" s="245" t="s">
        <v>57</v>
      </c>
      <c r="D22" s="245" t="s">
        <v>57</v>
      </c>
      <c r="E22" s="245" t="s">
        <v>57</v>
      </c>
      <c r="F22" s="245" t="s">
        <v>57</v>
      </c>
      <c r="G22" s="245" t="s">
        <v>57</v>
      </c>
      <c r="H22" s="245" t="s">
        <v>57</v>
      </c>
      <c r="I22" s="245" t="s">
        <v>57</v>
      </c>
      <c r="J22" s="245" t="s">
        <v>57</v>
      </c>
      <c r="K22" s="245" t="s">
        <v>57</v>
      </c>
      <c r="L22" s="245" t="s">
        <v>57</v>
      </c>
      <c r="M22" s="246" t="s">
        <v>57</v>
      </c>
      <c r="N22" s="136" t="s">
        <v>167</v>
      </c>
    </row>
    <row r="23" spans="1:14" ht="18.75" customHeight="1" x14ac:dyDescent="0.25">
      <c r="A23" s="205" t="s">
        <v>168</v>
      </c>
      <c r="B23" s="245" t="s">
        <v>57</v>
      </c>
      <c r="C23" s="245" t="s">
        <v>57</v>
      </c>
      <c r="D23" s="245" t="s">
        <v>57</v>
      </c>
      <c r="E23" s="245" t="s">
        <v>57</v>
      </c>
      <c r="F23" s="245" t="s">
        <v>57</v>
      </c>
      <c r="G23" s="245" t="s">
        <v>57</v>
      </c>
      <c r="H23" s="245" t="s">
        <v>57</v>
      </c>
      <c r="I23" s="245" t="s">
        <v>57</v>
      </c>
      <c r="J23" s="245" t="s">
        <v>57</v>
      </c>
      <c r="K23" s="245" t="s">
        <v>57</v>
      </c>
      <c r="L23" s="245" t="s">
        <v>57</v>
      </c>
      <c r="M23" s="246" t="s">
        <v>57</v>
      </c>
      <c r="N23" s="136" t="s">
        <v>169</v>
      </c>
    </row>
    <row r="24" spans="1:14" ht="18.75" customHeight="1" x14ac:dyDescent="0.25">
      <c r="A24" s="205" t="s">
        <v>170</v>
      </c>
      <c r="B24" s="245" t="s">
        <v>57</v>
      </c>
      <c r="C24" s="245" t="s">
        <v>57</v>
      </c>
      <c r="D24" s="245" t="s">
        <v>57</v>
      </c>
      <c r="E24" s="245" t="s">
        <v>57</v>
      </c>
      <c r="F24" s="245" t="s">
        <v>57</v>
      </c>
      <c r="G24" s="245" t="s">
        <v>57</v>
      </c>
      <c r="H24" s="245" t="s">
        <v>57</v>
      </c>
      <c r="I24" s="245" t="s">
        <v>57</v>
      </c>
      <c r="J24" s="245" t="s">
        <v>57</v>
      </c>
      <c r="K24" s="245" t="s">
        <v>57</v>
      </c>
      <c r="L24" s="245" t="s">
        <v>57</v>
      </c>
      <c r="M24" s="246" t="s">
        <v>57</v>
      </c>
      <c r="N24" s="136" t="s">
        <v>171</v>
      </c>
    </row>
    <row r="25" spans="1:14" ht="18.75" customHeight="1" x14ac:dyDescent="0.25">
      <c r="A25" s="205" t="s">
        <v>172</v>
      </c>
      <c r="B25" s="245">
        <v>2.0020000000000002</v>
      </c>
      <c r="C25" s="245">
        <v>2.0049999999999999</v>
      </c>
      <c r="D25" s="245">
        <v>2.097</v>
      </c>
      <c r="E25" s="245">
        <v>1.962</v>
      </c>
      <c r="F25" s="245">
        <v>1.931</v>
      </c>
      <c r="G25" s="245">
        <v>1.891</v>
      </c>
      <c r="H25" s="245">
        <v>1.9510000000000001</v>
      </c>
      <c r="I25" s="245">
        <v>1.982</v>
      </c>
      <c r="J25" s="245">
        <v>1.97</v>
      </c>
      <c r="K25" s="245">
        <v>1.9409999999999998</v>
      </c>
      <c r="L25" s="245">
        <v>1.8780000000000001</v>
      </c>
      <c r="M25" s="246" t="s">
        <v>57</v>
      </c>
      <c r="N25" s="136" t="s">
        <v>173</v>
      </c>
    </row>
    <row r="26" spans="1:14" ht="18.75" customHeight="1" x14ac:dyDescent="0.25">
      <c r="A26" s="205" t="s">
        <v>174</v>
      </c>
      <c r="B26" s="245">
        <v>1.224</v>
      </c>
      <c r="C26" s="245">
        <v>1.2210000000000001</v>
      </c>
      <c r="D26" s="245">
        <v>1.2169999999999999</v>
      </c>
      <c r="E26" s="245">
        <v>1.266</v>
      </c>
      <c r="F26" s="245">
        <v>1.2770000000000001</v>
      </c>
      <c r="G26" s="245">
        <v>1.325</v>
      </c>
      <c r="H26" s="245">
        <v>1.413</v>
      </c>
      <c r="I26" s="245">
        <v>1.4330000000000001</v>
      </c>
      <c r="J26" s="245">
        <v>1.419</v>
      </c>
      <c r="K26" s="245">
        <v>1.502</v>
      </c>
      <c r="L26" s="245">
        <v>1.5710000000000002</v>
      </c>
      <c r="M26" s="246">
        <v>1.6020000000000001</v>
      </c>
      <c r="N26" s="136" t="s">
        <v>175</v>
      </c>
    </row>
    <row r="27" spans="1:14" ht="18.75" customHeight="1" x14ac:dyDescent="0.25">
      <c r="A27" s="205" t="s">
        <v>176</v>
      </c>
      <c r="B27" s="245">
        <v>1.411</v>
      </c>
      <c r="C27" s="245">
        <v>1.484</v>
      </c>
      <c r="D27" s="245">
        <v>1.575</v>
      </c>
      <c r="E27" s="245">
        <v>1.75</v>
      </c>
      <c r="F27" s="245">
        <v>1.647</v>
      </c>
      <c r="G27" s="245">
        <v>1.6380000000000001</v>
      </c>
      <c r="H27" s="245">
        <v>1.5589999999999999</v>
      </c>
      <c r="I27" s="245">
        <v>1.643</v>
      </c>
      <c r="J27" s="245">
        <v>1.502</v>
      </c>
      <c r="K27" s="245">
        <v>1.5110000000000001</v>
      </c>
      <c r="L27" s="245">
        <v>1.484</v>
      </c>
      <c r="M27" s="246" t="s">
        <v>57</v>
      </c>
      <c r="N27" s="136" t="s">
        <v>177</v>
      </c>
    </row>
    <row r="28" spans="1:14" ht="18.75" customHeight="1" x14ac:dyDescent="0.25">
      <c r="A28" s="205" t="s">
        <v>306</v>
      </c>
      <c r="B28" s="245" t="s">
        <v>57</v>
      </c>
      <c r="C28" s="245" t="s">
        <v>57</v>
      </c>
      <c r="D28" s="245" t="s">
        <v>57</v>
      </c>
      <c r="E28" s="245" t="s">
        <v>57</v>
      </c>
      <c r="F28" s="245" t="s">
        <v>57</v>
      </c>
      <c r="G28" s="245" t="s">
        <v>57</v>
      </c>
      <c r="H28" s="245" t="s">
        <v>57</v>
      </c>
      <c r="I28" s="245" t="s">
        <v>57</v>
      </c>
      <c r="J28" s="245" t="s">
        <v>57</v>
      </c>
      <c r="K28" s="245" t="s">
        <v>57</v>
      </c>
      <c r="L28" s="245" t="s">
        <v>57</v>
      </c>
      <c r="M28" s="246" t="s">
        <v>57</v>
      </c>
      <c r="N28" s="136" t="s">
        <v>305</v>
      </c>
    </row>
    <row r="29" spans="1:14" ht="18.75" customHeight="1" x14ac:dyDescent="0.25">
      <c r="A29" s="205" t="s">
        <v>178</v>
      </c>
      <c r="B29" s="245">
        <v>0.59299999999999997</v>
      </c>
      <c r="C29" s="245">
        <v>0.56599999999999995</v>
      </c>
      <c r="D29" s="245">
        <v>0.54800000000000004</v>
      </c>
      <c r="E29" s="245">
        <v>0.54200000000000004</v>
      </c>
      <c r="F29" s="245">
        <v>0.54299999999999993</v>
      </c>
      <c r="G29" s="245">
        <v>0.54899999999999993</v>
      </c>
      <c r="H29" s="245">
        <v>0.53099999999999992</v>
      </c>
      <c r="I29" s="245">
        <v>0.53400000000000003</v>
      </c>
      <c r="J29" s="245">
        <v>0.52600000000000002</v>
      </c>
      <c r="K29" s="245">
        <v>0.56200000000000006</v>
      </c>
      <c r="L29" s="245">
        <v>0.55000000000000004</v>
      </c>
      <c r="M29" s="246">
        <v>0.56300000000000006</v>
      </c>
      <c r="N29" s="136" t="s">
        <v>179</v>
      </c>
    </row>
    <row r="30" spans="1:14" ht="18.75" customHeight="1" x14ac:dyDescent="0.25">
      <c r="A30" s="205" t="s">
        <v>180</v>
      </c>
      <c r="B30" s="245">
        <v>1.2439999999999998</v>
      </c>
      <c r="C30" s="245">
        <v>1.218</v>
      </c>
      <c r="D30" s="245">
        <v>1.2350000000000001</v>
      </c>
      <c r="E30" s="245">
        <v>1.206</v>
      </c>
      <c r="F30" s="245">
        <v>1.204</v>
      </c>
      <c r="G30" s="245">
        <v>1.17</v>
      </c>
      <c r="H30" s="245">
        <v>1.1579999999999999</v>
      </c>
      <c r="I30" s="245">
        <v>1.2770000000000001</v>
      </c>
      <c r="J30" s="245">
        <v>1.2730000000000001</v>
      </c>
      <c r="K30" s="245">
        <v>1.1719999999999999</v>
      </c>
      <c r="L30" s="245" t="s">
        <v>57</v>
      </c>
      <c r="M30" s="246" t="s">
        <v>57</v>
      </c>
      <c r="N30" s="136" t="s">
        <v>181</v>
      </c>
    </row>
    <row r="31" spans="1:14" ht="18.75" customHeight="1" x14ac:dyDescent="0.25">
      <c r="A31" s="205" t="s">
        <v>182</v>
      </c>
      <c r="B31" s="245" t="s">
        <v>57</v>
      </c>
      <c r="C31" s="245" t="s">
        <v>57</v>
      </c>
      <c r="D31" s="245" t="s">
        <v>57</v>
      </c>
      <c r="E31" s="245" t="s">
        <v>57</v>
      </c>
      <c r="F31" s="245" t="s">
        <v>57</v>
      </c>
      <c r="G31" s="245" t="s">
        <v>57</v>
      </c>
      <c r="H31" s="245" t="s">
        <v>57</v>
      </c>
      <c r="I31" s="245" t="s">
        <v>57</v>
      </c>
      <c r="J31" s="245" t="s">
        <v>57</v>
      </c>
      <c r="K31" s="245" t="s">
        <v>57</v>
      </c>
      <c r="L31" s="245" t="s">
        <v>57</v>
      </c>
      <c r="M31" s="246" t="s">
        <v>57</v>
      </c>
      <c r="N31" s="136" t="s">
        <v>183</v>
      </c>
    </row>
    <row r="32" spans="1:14" ht="18.75" customHeight="1" x14ac:dyDescent="0.25">
      <c r="A32" s="205" t="s">
        <v>184</v>
      </c>
      <c r="B32" s="245" t="s">
        <v>57</v>
      </c>
      <c r="C32" s="245" t="s">
        <v>57</v>
      </c>
      <c r="D32" s="245" t="s">
        <v>57</v>
      </c>
      <c r="E32" s="245" t="s">
        <v>57</v>
      </c>
      <c r="F32" s="245" t="s">
        <v>57</v>
      </c>
      <c r="G32" s="245" t="s">
        <v>57</v>
      </c>
      <c r="H32" s="245" t="s">
        <v>57</v>
      </c>
      <c r="I32" s="245" t="s">
        <v>57</v>
      </c>
      <c r="J32" s="245" t="s">
        <v>57</v>
      </c>
      <c r="K32" s="245" t="s">
        <v>57</v>
      </c>
      <c r="L32" s="245" t="s">
        <v>57</v>
      </c>
      <c r="M32" s="246" t="s">
        <v>57</v>
      </c>
      <c r="N32" s="136" t="s">
        <v>185</v>
      </c>
    </row>
    <row r="33" spans="1:15" ht="18.75" customHeight="1" x14ac:dyDescent="0.25">
      <c r="A33" s="205" t="s">
        <v>186</v>
      </c>
      <c r="B33" s="245">
        <v>0.56100000000000005</v>
      </c>
      <c r="C33" s="245">
        <v>0.58299999999999996</v>
      </c>
      <c r="D33" s="245">
        <v>0.65100000000000002</v>
      </c>
      <c r="E33" s="245">
        <v>0.67200000000000004</v>
      </c>
      <c r="F33" s="245">
        <v>0.65799999999999992</v>
      </c>
      <c r="G33" s="245">
        <v>0.61099999999999999</v>
      </c>
      <c r="H33" s="245">
        <v>0.61299999999999999</v>
      </c>
      <c r="I33" s="245">
        <v>0.68399999999999994</v>
      </c>
      <c r="J33" s="245">
        <v>0.59699999999999998</v>
      </c>
      <c r="K33" s="245">
        <v>0.48099999999999998</v>
      </c>
      <c r="L33" s="245" t="s">
        <v>57</v>
      </c>
      <c r="M33" s="246" t="s">
        <v>57</v>
      </c>
      <c r="N33" s="136" t="s">
        <v>187</v>
      </c>
    </row>
    <row r="34" spans="1:15" ht="18.75" customHeight="1" x14ac:dyDescent="0.25">
      <c r="A34" s="205" t="s">
        <v>188</v>
      </c>
      <c r="B34" s="245">
        <v>1.379</v>
      </c>
      <c r="C34" s="245">
        <v>1.3280000000000001</v>
      </c>
      <c r="D34" s="245">
        <v>1.302</v>
      </c>
      <c r="E34" s="245">
        <v>1.319</v>
      </c>
      <c r="F34" s="245">
        <v>1.276</v>
      </c>
      <c r="G34" s="245">
        <v>1.236</v>
      </c>
      <c r="H34" s="245">
        <v>1.2030000000000001</v>
      </c>
      <c r="I34" s="245">
        <v>1.202</v>
      </c>
      <c r="J34" s="245">
        <v>1.1520000000000001</v>
      </c>
      <c r="K34" s="245">
        <v>1.0429999999999999</v>
      </c>
      <c r="L34" s="245">
        <v>1.0609999999999999</v>
      </c>
      <c r="M34" s="246" t="s">
        <v>57</v>
      </c>
      <c r="N34" s="136" t="s">
        <v>189</v>
      </c>
    </row>
    <row r="35" spans="1:15" ht="18.75" customHeight="1" x14ac:dyDescent="0.25">
      <c r="A35" s="205" t="s">
        <v>190</v>
      </c>
      <c r="B35" s="245" t="s">
        <v>57</v>
      </c>
      <c r="C35" s="245" t="s">
        <v>57</v>
      </c>
      <c r="D35" s="245" t="s">
        <v>57</v>
      </c>
      <c r="E35" s="245" t="s">
        <v>57</v>
      </c>
      <c r="F35" s="245" t="s">
        <v>57</v>
      </c>
      <c r="G35" s="245" t="s">
        <v>57</v>
      </c>
      <c r="H35" s="245" t="s">
        <v>57</v>
      </c>
      <c r="I35" s="245" t="s">
        <v>57</v>
      </c>
      <c r="J35" s="245" t="s">
        <v>57</v>
      </c>
      <c r="K35" s="245" t="s">
        <v>57</v>
      </c>
      <c r="L35" s="245" t="s">
        <v>57</v>
      </c>
      <c r="M35" s="246" t="s">
        <v>57</v>
      </c>
      <c r="N35" s="136" t="s">
        <v>191</v>
      </c>
    </row>
    <row r="36" spans="1:15" ht="18.75" customHeight="1" x14ac:dyDescent="0.25">
      <c r="A36" s="205" t="s">
        <v>498</v>
      </c>
      <c r="B36" s="245" t="s">
        <v>57</v>
      </c>
      <c r="C36" s="245" t="s">
        <v>57</v>
      </c>
      <c r="D36" s="245" t="s">
        <v>57</v>
      </c>
      <c r="E36" s="245" t="s">
        <v>57</v>
      </c>
      <c r="F36" s="245" t="s">
        <v>57</v>
      </c>
      <c r="G36" s="245" t="s">
        <v>57</v>
      </c>
      <c r="H36" s="245" t="s">
        <v>57</v>
      </c>
      <c r="I36" s="245" t="s">
        <v>57</v>
      </c>
      <c r="J36" s="245" t="s">
        <v>57</v>
      </c>
      <c r="K36" s="245" t="s">
        <v>57</v>
      </c>
      <c r="L36" s="245" t="s">
        <v>57</v>
      </c>
      <c r="M36" s="246" t="s">
        <v>57</v>
      </c>
      <c r="N36" s="210" t="s">
        <v>499</v>
      </c>
    </row>
    <row r="37" spans="1:15" ht="18.75" customHeight="1" x14ac:dyDescent="0.25">
      <c r="A37" s="205" t="s">
        <v>192</v>
      </c>
      <c r="B37" s="245">
        <v>1.9850000000000001</v>
      </c>
      <c r="C37" s="245">
        <v>1.8560000000000001</v>
      </c>
      <c r="D37" s="245">
        <v>1.8109999999999999</v>
      </c>
      <c r="E37" s="245">
        <v>1.8470000000000002</v>
      </c>
      <c r="F37" s="245">
        <v>1.7769999999999999</v>
      </c>
      <c r="G37" s="245">
        <v>1.6930000000000001</v>
      </c>
      <c r="H37" s="245">
        <v>1.6890000000000001</v>
      </c>
      <c r="I37" s="245">
        <v>1.675</v>
      </c>
      <c r="J37" s="245">
        <v>1.605</v>
      </c>
      <c r="K37" s="245">
        <v>1.6379999999999999</v>
      </c>
      <c r="L37" s="245">
        <v>1.61</v>
      </c>
      <c r="M37" s="246" t="s">
        <v>57</v>
      </c>
      <c r="N37" s="136" t="s">
        <v>193</v>
      </c>
    </row>
    <row r="38" spans="1:15" ht="18.75" customHeight="1" x14ac:dyDescent="0.25">
      <c r="A38" s="205" t="s">
        <v>194</v>
      </c>
      <c r="B38" s="245">
        <v>1.6719999999999999</v>
      </c>
      <c r="C38" s="245">
        <v>1.5369999999999999</v>
      </c>
      <c r="D38" s="245">
        <v>1.5049999999999999</v>
      </c>
      <c r="E38" s="245">
        <v>1.502</v>
      </c>
      <c r="F38" s="245">
        <v>1.458</v>
      </c>
      <c r="G38" s="245">
        <v>1.4370000000000001</v>
      </c>
      <c r="H38" s="245">
        <v>1.4259999999999999</v>
      </c>
      <c r="I38" s="245">
        <v>1.569</v>
      </c>
      <c r="J38" s="245">
        <v>1.512</v>
      </c>
      <c r="K38" s="245">
        <v>1.569</v>
      </c>
      <c r="L38" s="245">
        <v>1.5720000000000001</v>
      </c>
      <c r="M38" s="246" t="s">
        <v>57</v>
      </c>
      <c r="N38" s="136" t="s">
        <v>195</v>
      </c>
    </row>
    <row r="39" spans="1:15" ht="18.75" customHeight="1" x14ac:dyDescent="0.25">
      <c r="A39" s="205" t="s">
        <v>196</v>
      </c>
      <c r="B39" s="245">
        <v>1.4400000000000002</v>
      </c>
      <c r="C39" s="245">
        <v>1.377</v>
      </c>
      <c r="D39" s="245">
        <v>1.3539999999999999</v>
      </c>
      <c r="E39" s="245">
        <v>1.3859999999999999</v>
      </c>
      <c r="F39" s="245">
        <v>1.345</v>
      </c>
      <c r="G39" s="245">
        <v>1.34</v>
      </c>
      <c r="H39" s="245">
        <v>1.3169999999999999</v>
      </c>
      <c r="I39" s="245">
        <v>1.5</v>
      </c>
      <c r="J39" s="245">
        <v>1.423</v>
      </c>
      <c r="K39" s="245">
        <v>1.341</v>
      </c>
      <c r="L39" s="245">
        <v>1.2589999999999999</v>
      </c>
      <c r="M39" s="246" t="s">
        <v>57</v>
      </c>
      <c r="N39" s="136" t="s">
        <v>197</v>
      </c>
    </row>
    <row r="40" spans="1:15" ht="18.75" customHeight="1" x14ac:dyDescent="0.25">
      <c r="A40" s="205" t="s">
        <v>198</v>
      </c>
      <c r="B40" s="245">
        <v>0.95099999999999996</v>
      </c>
      <c r="C40" s="245">
        <v>0.95500000000000007</v>
      </c>
      <c r="D40" s="245">
        <v>0.95499999999999996</v>
      </c>
      <c r="E40" s="245">
        <v>0.97399999999999998</v>
      </c>
      <c r="F40" s="245">
        <v>0.93599999999999994</v>
      </c>
      <c r="G40" s="245">
        <v>0.96399999999999997</v>
      </c>
      <c r="H40" s="245">
        <v>0.91600000000000004</v>
      </c>
      <c r="I40" s="245">
        <v>0.97</v>
      </c>
      <c r="J40" s="245">
        <v>0.93200000000000005</v>
      </c>
      <c r="K40" s="245">
        <v>0.95300000000000007</v>
      </c>
      <c r="L40" s="245">
        <v>0.996</v>
      </c>
      <c r="M40" s="246" t="s">
        <v>57</v>
      </c>
      <c r="N40" s="136" t="s">
        <v>199</v>
      </c>
    </row>
    <row r="41" spans="1:15" ht="18.75" customHeight="1" x14ac:dyDescent="0.25">
      <c r="A41" s="205" t="s">
        <v>200</v>
      </c>
      <c r="B41" s="245">
        <v>1.131</v>
      </c>
      <c r="C41" s="245">
        <v>1.1260000000000001</v>
      </c>
      <c r="D41" s="245">
        <v>1.1559999999999999</v>
      </c>
      <c r="E41" s="245">
        <v>1.1950000000000001</v>
      </c>
      <c r="F41" s="245">
        <v>1.2329999999999999</v>
      </c>
      <c r="G41" s="245">
        <v>1.226</v>
      </c>
      <c r="H41" s="245">
        <v>1.258</v>
      </c>
      <c r="I41" s="245">
        <v>1.3160000000000001</v>
      </c>
      <c r="J41" s="245">
        <v>1.2850000000000001</v>
      </c>
      <c r="K41" s="245">
        <v>1.2929999999999999</v>
      </c>
      <c r="L41" s="245">
        <v>1.3339999999999999</v>
      </c>
      <c r="M41" s="246" t="s">
        <v>57</v>
      </c>
      <c r="N41" s="136" t="s">
        <v>201</v>
      </c>
    </row>
    <row r="42" spans="1:15" ht="18.75" customHeight="1" x14ac:dyDescent="0.25">
      <c r="A42" s="205" t="s">
        <v>202</v>
      </c>
      <c r="B42" s="245" t="s">
        <v>57</v>
      </c>
      <c r="C42" s="245" t="s">
        <v>57</v>
      </c>
      <c r="D42" s="245" t="s">
        <v>57</v>
      </c>
      <c r="E42" s="245" t="s">
        <v>57</v>
      </c>
      <c r="F42" s="245" t="s">
        <v>57</v>
      </c>
      <c r="G42" s="245" t="s">
        <v>57</v>
      </c>
      <c r="H42" s="245" t="s">
        <v>57</v>
      </c>
      <c r="I42" s="245" t="s">
        <v>57</v>
      </c>
      <c r="J42" s="245" t="s">
        <v>57</v>
      </c>
      <c r="K42" s="245" t="s">
        <v>57</v>
      </c>
      <c r="L42" s="245" t="s">
        <v>57</v>
      </c>
      <c r="M42" s="246" t="s">
        <v>57</v>
      </c>
      <c r="N42" s="136" t="s">
        <v>401</v>
      </c>
    </row>
    <row r="43" spans="1:15" ht="18.75" customHeight="1" x14ac:dyDescent="0.25">
      <c r="A43" s="205" t="s">
        <v>203</v>
      </c>
      <c r="B43" s="245">
        <v>1.1179999999999999</v>
      </c>
      <c r="C43" s="245">
        <v>1.101</v>
      </c>
      <c r="D43" s="245">
        <v>1.0780000000000001</v>
      </c>
      <c r="E43" s="245">
        <v>1.0609999999999999</v>
      </c>
      <c r="F43" s="245">
        <v>1.0189999999999999</v>
      </c>
      <c r="G43" s="245">
        <v>0.99199999999999999</v>
      </c>
      <c r="H43" s="245">
        <v>0.99199999999999999</v>
      </c>
      <c r="I43" s="245">
        <v>1.087</v>
      </c>
      <c r="J43" s="245">
        <v>1.0009999999999999</v>
      </c>
      <c r="K43" s="245">
        <v>0.94900000000000007</v>
      </c>
      <c r="L43" s="245">
        <v>0.95399999999999996</v>
      </c>
      <c r="M43" s="246" t="s">
        <v>57</v>
      </c>
      <c r="N43" s="136" t="s">
        <v>204</v>
      </c>
    </row>
    <row r="44" spans="1:15" ht="18.75" customHeight="1" x14ac:dyDescent="0.25">
      <c r="A44" s="206" t="s">
        <v>205</v>
      </c>
      <c r="B44" s="245">
        <v>1.9129999999999998</v>
      </c>
      <c r="C44" s="245">
        <v>2.0270000000000001</v>
      </c>
      <c r="D44" s="245">
        <v>2.0910000000000002</v>
      </c>
      <c r="E44" s="245">
        <v>2.056</v>
      </c>
      <c r="F44" s="245">
        <v>1.9990000000000001</v>
      </c>
      <c r="G44" s="245">
        <v>1.9530000000000001</v>
      </c>
      <c r="H44" s="245">
        <v>1.9610000000000001</v>
      </c>
      <c r="I44" s="245">
        <v>2.0880000000000001</v>
      </c>
      <c r="J44" s="245">
        <v>2.0310000000000001</v>
      </c>
      <c r="K44" s="245">
        <v>1.9970000000000001</v>
      </c>
      <c r="L44" s="245">
        <v>2.0700000000000003</v>
      </c>
      <c r="M44" s="246" t="s">
        <v>57</v>
      </c>
      <c r="N44" s="209" t="s">
        <v>206</v>
      </c>
    </row>
    <row r="45" spans="1:15" s="49" customFormat="1" ht="28.15" customHeight="1" x14ac:dyDescent="0.25">
      <c r="A45" s="778" t="s">
        <v>622</v>
      </c>
      <c r="B45" s="779"/>
      <c r="C45" s="779"/>
      <c r="D45" s="779"/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21"/>
    </row>
    <row r="46" spans="1:15" s="49" customFormat="1" x14ac:dyDescent="0.25">
      <c r="A46" s="786" t="s">
        <v>211</v>
      </c>
      <c r="B46" s="786"/>
      <c r="C46" s="786"/>
      <c r="D46" s="786"/>
      <c r="E46" s="786"/>
      <c r="F46" s="786"/>
      <c r="G46" s="786"/>
      <c r="H46" s="786"/>
      <c r="I46" s="786"/>
      <c r="J46" s="786"/>
      <c r="K46" s="786"/>
      <c r="L46" s="786"/>
      <c r="M46" s="786"/>
      <c r="N46" s="786"/>
      <c r="O46" s="21"/>
    </row>
    <row r="47" spans="1:15" x14ac:dyDescent="0.25">
      <c r="A47" s="785" t="s">
        <v>608</v>
      </c>
      <c r="B47" s="785"/>
      <c r="C47" s="785"/>
      <c r="D47" s="785"/>
      <c r="E47" s="785"/>
      <c r="F47" s="785"/>
      <c r="G47" s="785"/>
      <c r="H47" s="785"/>
      <c r="I47" s="785"/>
      <c r="J47" s="785"/>
      <c r="K47" s="785"/>
      <c r="L47" s="785"/>
      <c r="M47" s="785"/>
      <c r="N47" s="785"/>
    </row>
    <row r="48" spans="1:15" x14ac:dyDescent="0.25">
      <c r="A48" s="780" t="s">
        <v>621</v>
      </c>
      <c r="B48" s="780"/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5" x14ac:dyDescent="0.25">
      <c r="A49" s="780" t="s">
        <v>311</v>
      </c>
      <c r="B49" s="780"/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5" x14ac:dyDescent="0.25">
      <c r="A50" s="785" t="s">
        <v>606</v>
      </c>
      <c r="B50" s="785"/>
      <c r="C50" s="785"/>
      <c r="D50" s="785"/>
      <c r="E50" s="785"/>
      <c r="F50" s="785"/>
      <c r="G50" s="785"/>
      <c r="H50" s="785"/>
      <c r="I50" s="785"/>
      <c r="J50" s="785"/>
      <c r="K50" s="785"/>
      <c r="L50" s="785"/>
      <c r="M50" s="785"/>
      <c r="N50" s="785"/>
    </row>
    <row r="51" spans="1:15" x14ac:dyDescent="0.25">
      <c r="A51" s="785" t="s">
        <v>607</v>
      </c>
      <c r="B51" s="785"/>
      <c r="C51" s="785"/>
      <c r="D51" s="785"/>
      <c r="E51" s="785"/>
      <c r="F51" s="785"/>
      <c r="G51" s="785"/>
      <c r="H51" s="785"/>
      <c r="I51" s="785"/>
      <c r="J51" s="785"/>
      <c r="K51" s="785"/>
      <c r="L51" s="785"/>
      <c r="M51" s="785"/>
      <c r="N51" s="785"/>
    </row>
    <row r="57" spans="1:15" x14ac:dyDescent="0.25">
      <c r="O57" s="49"/>
    </row>
    <row r="58" spans="1:15" x14ac:dyDescent="0.25">
      <c r="O58" s="48"/>
    </row>
  </sheetData>
  <mergeCells count="10">
    <mergeCell ref="A1:N1"/>
    <mergeCell ref="N3:N4"/>
    <mergeCell ref="A3:A4"/>
    <mergeCell ref="A51:N51"/>
    <mergeCell ref="A50:N50"/>
    <mergeCell ref="A45:N45"/>
    <mergeCell ref="A46:N46"/>
    <mergeCell ref="A47:N47"/>
    <mergeCell ref="A48:N48"/>
    <mergeCell ref="A49:N49"/>
  </mergeCells>
  <phoneticPr fontId="17" type="noConversion"/>
  <printOptions horizontalCentered="1"/>
  <pageMargins left="0.31496062992125984" right="0.31496062992125984" top="0.59055118110236227" bottom="0.59055118110236227" header="0.51181102362204722" footer="0.31496062992125984"/>
  <pageSetup paperSize="9" scale="80" firstPageNumber="160" fitToWidth="0" fitToHeight="0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具名範圍</vt:lpstr>
      </vt:variant>
      <vt:variant>
        <vt:i4>36</vt:i4>
      </vt:variant>
    </vt:vector>
  </HeadingPairs>
  <TitlesOfParts>
    <vt:vector size="72" baseType="lpstr">
      <vt:lpstr>目錄</vt:lpstr>
      <vt:lpstr>表1</vt:lpstr>
      <vt:lpstr>表2-80-84</vt:lpstr>
      <vt:lpstr>表2-85-104</vt:lpstr>
      <vt:lpstr>表2-105-113</vt:lpstr>
      <vt:lpstr>表3-103-105</vt:lpstr>
      <vt:lpstr>表3-106-111</vt:lpstr>
      <vt:lpstr>表3-112-113</vt:lpstr>
      <vt:lpstr>4-103</vt:lpstr>
      <vt:lpstr>4-104</vt:lpstr>
      <vt:lpstr>4-105</vt:lpstr>
      <vt:lpstr>4-106</vt:lpstr>
      <vt:lpstr>4-107</vt:lpstr>
      <vt:lpstr>4-108</vt:lpstr>
      <vt:lpstr>4-109</vt:lpstr>
      <vt:lpstr>4-110</vt:lpstr>
      <vt:lpstr>4-111</vt:lpstr>
      <vt:lpstr>4-112</vt:lpstr>
      <vt:lpstr>4-113</vt:lpstr>
      <vt:lpstr>表5(102-107)</vt:lpstr>
      <vt:lpstr>表5 (108-113)</vt:lpstr>
      <vt:lpstr>表6(102-107)</vt:lpstr>
      <vt:lpstr>表6 (108-113)</vt:lpstr>
      <vt:lpstr>表7(102-107)</vt:lpstr>
      <vt:lpstr>表7 (108-113)</vt:lpstr>
      <vt:lpstr>表8(102-105)</vt:lpstr>
      <vt:lpstr>表8(106-109)</vt:lpstr>
      <vt:lpstr>表8(110-113) </vt:lpstr>
      <vt:lpstr>表9(102-105)</vt:lpstr>
      <vt:lpstr>表9(106-109) </vt:lpstr>
      <vt:lpstr>表9(110-113)</vt:lpstr>
      <vt:lpstr>表10(102-105)</vt:lpstr>
      <vt:lpstr>表10(106-109)</vt:lpstr>
      <vt:lpstr>表10(110-113) </vt:lpstr>
      <vt:lpstr>表11</vt:lpstr>
      <vt:lpstr>表12</vt:lpstr>
      <vt:lpstr>'4-103'!Print_Area</vt:lpstr>
      <vt:lpstr>'4-104'!Print_Area</vt:lpstr>
      <vt:lpstr>'4-105'!Print_Area</vt:lpstr>
      <vt:lpstr>'4-106'!Print_Area</vt:lpstr>
      <vt:lpstr>'4-107'!Print_Area</vt:lpstr>
      <vt:lpstr>'4-108'!Print_Area</vt:lpstr>
      <vt:lpstr>'4-109'!Print_Area</vt:lpstr>
      <vt:lpstr>'4-110'!Print_Area</vt:lpstr>
      <vt:lpstr>'4-111'!Print_Area</vt:lpstr>
      <vt:lpstr>'4-112'!Print_Area</vt:lpstr>
      <vt:lpstr>'4-113'!Print_Area</vt:lpstr>
      <vt:lpstr>目錄!Print_Area</vt:lpstr>
      <vt:lpstr>表1!Print_Area</vt:lpstr>
      <vt:lpstr>'表10(102-105)'!Print_Area</vt:lpstr>
      <vt:lpstr>'表10(106-109)'!Print_Area</vt:lpstr>
      <vt:lpstr>'表10(110-113) '!Print_Area</vt:lpstr>
      <vt:lpstr>表11!Print_Area</vt:lpstr>
      <vt:lpstr>表12!Print_Area</vt:lpstr>
      <vt:lpstr>'表2-105-113'!Print_Area</vt:lpstr>
      <vt:lpstr>'表2-80-84'!Print_Area</vt:lpstr>
      <vt:lpstr>'表2-85-104'!Print_Area</vt:lpstr>
      <vt:lpstr>'表3-103-105'!Print_Area</vt:lpstr>
      <vt:lpstr>'表3-106-111'!Print_Area</vt:lpstr>
      <vt:lpstr>'表3-112-113'!Print_Area</vt:lpstr>
      <vt:lpstr>'表5 (108-113)'!Print_Area</vt:lpstr>
      <vt:lpstr>'表5(102-107)'!Print_Area</vt:lpstr>
      <vt:lpstr>'表6 (108-113)'!Print_Area</vt:lpstr>
      <vt:lpstr>'表6(102-107)'!Print_Area</vt:lpstr>
      <vt:lpstr>'表7 (108-113)'!Print_Area</vt:lpstr>
      <vt:lpstr>'表7(102-107)'!Print_Area</vt:lpstr>
      <vt:lpstr>'表8(102-105)'!Print_Area</vt:lpstr>
      <vt:lpstr>'表8(106-109)'!Print_Area</vt:lpstr>
      <vt:lpstr>'表8(110-113) '!Print_Area</vt:lpstr>
      <vt:lpstr>'表9(102-105)'!Print_Area</vt:lpstr>
      <vt:lpstr>'表9(106-109) '!Print_Area</vt:lpstr>
      <vt:lpstr>'表9(110-113)'!Print_Area</vt:lpstr>
    </vt:vector>
  </TitlesOfParts>
  <Company>doh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統計處胡美佳</dc:creator>
  <cp:lastModifiedBy>統計處黃惠芬</cp:lastModifiedBy>
  <cp:lastPrinted>2026-02-10T01:26:56Z</cp:lastPrinted>
  <dcterms:created xsi:type="dcterms:W3CDTF">1999-09-22T05:59:56Z</dcterms:created>
  <dcterms:modified xsi:type="dcterms:W3CDTF">2026-03-17T01:56:13Z</dcterms:modified>
</cp:coreProperties>
</file>