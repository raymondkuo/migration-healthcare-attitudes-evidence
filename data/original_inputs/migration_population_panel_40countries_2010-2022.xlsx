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ebook" sheetId="1" state="visible" r:id="rId3"/>
    <sheet name="Panel" sheetId="2" state="visible" r:id="rId4"/>
    <sheet name="Irregular_estimates" sheetId="3" state="visible" r:id="rId5"/>
    <sheet name="Long_all_observations" sheetId="4" state="visible" r:id="rId6"/>
    <sheet name="Countries" sheetId="5" state="visible" r:id="rId7"/>
    <sheet name="Coverage" sheetId="6" state="visible" r:id="rId8"/>
    <sheet name="Key_years_2011_2021" sheetId="7" state="visible" r:id="rId9"/>
  </sheets>
  <definedNames>
    <definedName function="false" hidden="true" localSheetId="2" name="_xlnm._FilterDatabase" vbProcedure="false">Irregular_estimates!$A$1:$J$434</definedName>
    <definedName function="false" hidden="true" localSheetId="3" name="_xlnm._FilterDatabase" vbProcedure="false">Long_all_observations!$A$1:$J$1733</definedName>
    <definedName function="false" hidden="true" localSheetId="1" name="_xlnm._FilterDatabase" vbProcedure="false">Panel!$A$1:$AM$521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<sst xmlns="http://schemas.openxmlformats.org/spreadsheetml/2006/main" count="26019" uniqueCount="796">
  <si>
    <t xml:space="preserve">Migration and population panel, 40 ISSP/ISPSS countries, 2010-2022</t>
  </si>
  <si>
    <t xml:space="preserve">Built for: attitudes toward publicly funded healthcare for non-nationals. Compiled 2026-08-16.</t>
  </si>
  <si>
    <t xml:space="preserve">SHEETS</t>
  </si>
  <si>
    <t xml:space="preserve">Panel</t>
  </si>
  <si>
    <t xml:space="preserve">One row per country-year (40 x 13 = 520). Preferred estimate for each variable, with its source, URL and reference date.</t>
  </si>
  <si>
    <t xml:space="preserve">Irregular_estimates</t>
  </si>
  <si>
    <t xml:space="preserve">Every published estimate of the irregular/unauthorized population, side by side, so competing estimates are visible rather than hidden.</t>
  </si>
  <si>
    <t xml:space="preserve">Long_all_observations</t>
  </si>
  <si>
    <t xml:space="preserve">Every observation collected, one row per country-year-variable-source. The audit trail behind Panel.</t>
  </si>
  <si>
    <t xml:space="preserve">Countries</t>
  </si>
  <si>
    <t xml:space="preserve">The 40 countries, ISO codes, and which ISSP wave each appears in.</t>
  </si>
  <si>
    <t xml:space="preserve">Coverage</t>
  </si>
  <si>
    <t xml:space="preserve">Data availability matrix by country and variable.</t>
  </si>
  <si>
    <t xml:space="preserve">VARIABLES</t>
  </si>
  <si>
    <t xml:space="preserve">Variable</t>
  </si>
  <si>
    <t xml:space="preserve">Definition</t>
  </si>
  <si>
    <t xml:space="preserve">Primary sources</t>
  </si>
  <si>
    <t xml:space="preserve">Cautions</t>
  </si>
  <si>
    <t xml:space="preserve">population</t>
  </si>
  <si>
    <t xml:space="preserve">Total resident population.</t>
  </si>
  <si>
    <t xml:space="preserve">World Bank WDI (SP.POP.TOTL), mid-year, for 39 countries. Taiwan: MOI Department of Statistics year-end registered household population.</t>
  </si>
  <si>
    <t xml:space="preserve">Taiwan is excluded from World Bank/UN databases, so its series is national and year-end (31 Dec), not mid-year; Taiwan 2010-2016 is published rounded to the nearest thousand.</t>
  </si>
  <si>
    <t xml:space="preserve">foreign_born</t>
  </si>
  <si>
    <t xml:space="preserve">Resident population born outside the reporting country (international migrant stock).</t>
  </si>
  <si>
    <t xml:space="preserve">Eurostat migr_pop3ctb (c_birth=FOR, stock at 1 Jan); OECD International Migration Database (measure B14); UN DESA International Migrant Stock via World Bank SM.POP.TOTL; national censuses.</t>
  </si>
  <si>
    <t xml:space="preserve">Includes naturalised citizens, so it exceeds foreign_nationals in most countries. Not published by Japan, Korea (annual), or Taiwan.</t>
  </si>
  <si>
    <t xml:space="preserve">foreign_nationals</t>
  </si>
  <si>
    <t xml:space="preserve">Resident population holding foreign citizenship (non-nationals), incl. stateless where reported.</t>
  </si>
  <si>
    <t xml:space="preserve">Eurostat migr_pop1ctz (citizen=FOR_STLS, stock at 1 Jan); OECD IMD (measure B15); national population registers.</t>
  </si>
  <si>
    <t xml:space="preserve">Conceptually closest to "non-nationals" using public healthcare. Not maintained by jus-soli countries (Australia, Israel, New Zealand). Naturalisation rules make cross-country levels differ for reasons unrelated to migration.</t>
  </si>
  <si>
    <t xml:space="preserve">irregular_stock</t>
  </si>
  <si>
    <t xml:space="preserve">Estimated number of foreign nationals resident without authorisation.</t>
  </si>
  <si>
    <t xml:space="preserve">DHS/OHSS (US); Pew Research Center 2019 (Europe); Fondazione ISMU (Italy); Funcas (Spain); WODC capture-recapture (Netherlands); INE/SERMIG (Chile); PIBA (Israel).</t>
  </si>
  <si>
    <t xml:space="preserve">THE WEAKEST VARIABLE. Available for only 12 of 40 countries and rarely annual. Methods are not comparable across countries. No European country has a 2011 estimate. See Irregular_estimates for the full spread.</t>
  </si>
  <si>
    <t xml:space="preserve">irregular_proxy_overstayers</t>
  </si>
  <si>
    <t xml:space="preserve">Administrative register count of persons remaining beyond authorised stay.</t>
  </si>
  <si>
    <t xml:space="preserve">Immigration Services Agency (Japan, 1 Jan); Ministry of Justice (Korea); National Immigration Agency and Ministry of Labor (Taiwan); Home Affairs (Australia); INZ (New Zealand).</t>
  </si>
  <si>
    <t xml:space="preserve">A register count, not a modelled stock: it captures only those whose overstay is recorded, so it understates the irregular population. Taiwan mixes two different measures across years (see notes column).</t>
  </si>
  <si>
    <t xml:space="preserve">irregular_proxy_detections</t>
  </si>
  <si>
    <t xml:space="preserve">Third-country nationals found to be illegally present during the year.</t>
  </si>
  <si>
    <t xml:space="preserve">Eurostat migr_eipre (annual, all EU/EFTA/UK); DGMM (Turkey); UPM/SEGOB (Mexico).</t>
  </si>
  <si>
    <t xml:space="preserve">A FLOW of enforcement events, NOT a stock, and not a count of persons (one person can be detected more than once). Driven by enforcement intensity and transit routes as much as by resident irregular population. Do not treat as comparable to irregular_stock.</t>
  </si>
  <si>
    <t xml:space="preserve">SOURCE-SELECTION RULE (Panel sheet)</t>
  </si>
  <si>
    <t xml:space="preserve">• Where more than one source publishes a figure for the same country-year, the Panel sheet reports one preferred estimate and the column "*_n_estimates" records how many exist in total.</t>
  </si>
  <si>
    <t xml:space="preserve">• Preference order: (1) national government / official statistical agency; (2) Eurostat, OECD, UN, World Bank; (3) research institute or peer-reviewed study; (4) secondary reporting of official data. Ties are broken toward the source providing the longest continuous series for that country, so a single methodology spans as many years as possible.</t>
  </si>
  <si>
    <t xml:space="preserve">• Every competing estimate is retained in full on Irregular_estimates and Long_all_observations. Nothing was averaged, interpolated, or imputed: every value in this workbook is a figure a cited source actually published.</t>
  </si>
  <si>
    <t xml:space="preserve">KNOWN CAVEATS TO CARRY INTO THE ANALYSIS</t>
  </si>
  <si>
    <t xml:space="preserve">• Reference dates differ. Eurostat and OECD stocks are 1 January of the labelled year (so "2021" = the situation at 31 Dec 2020). Taiwan and Korea are 31 December of the labelled year. Australia is 30 June. Check the *_ref_date column before merging with survey fieldwork dates.</t>
  </si>
  <si>
    <t xml:space="preserve">• Census re-basing creates breaks in series, notably Germany 2011, Slovenia 2011, Hungary/Portugal/Slovakia 2012, Czechia 2021-22, and Bulgaria/Slovakia/Croatia/Italy/Lithuania 2022.</t>
  </si>
  <si>
    <t xml:space="preserve">• Sweden has a break in the detections series (2013: 72,835 -&gt; 2014: 1,445) caused by a change in national reporting practice, not by a change in irregular migration.</t>
  </si>
  <si>
    <t xml:space="preserve">• Turkey: foreign_nationals excludes Syrians under temporary protection, while foreign_born includes them; the two are therefore not comparable in level.</t>
  </si>
  <si>
    <t xml:space="preserve">• Chile: INE revised its irregular-stock estimates sharply upward in 2023 (2020: 14,818 -&gt; 130,017). The Panel uses the revised 2023-methodology series; both vintages are on Irregular_estimates.</t>
  </si>
  <si>
    <t xml:space="preserve">• United States: DHS published no January 2021 estimate because the 2020 ACS was unusable, so the 2021 Panel value comes from Pew. Four organisations estimate this population and they differ by up to 1.5 million in a given year.</t>
  </si>
  <si>
    <t xml:space="preserve">• United Kingdom: Eurostat coverage ends at 1 Jan 2019; 2020-2021 come from ONS and are published rounded to 0.1 million. No UK stock figure exists for 2022.</t>
  </si>
  <si>
    <t xml:space="preserve">• Chile: the OECD foreign-born and foreign-national series are not independent measurements. OECD carries the same underlying SERMIG estimates under different year labels, so foreign_born in year t equals foreign_nationals in year t-1. Do not compare the two for Chile.</t>
  </si>
  <si>
    <t xml:space="preserve">• South Africa: the World Bank population series has been rebased on later censuses and runs about 4.8% above the figure Stats SA published at the time (2011: 52,995,205 vs 50,586,757). Denominator choice will visibly move any per-capita share for South Africa.</t>
  </si>
  <si>
    <t xml:space="preserve">• Poland: foreign_nationals rises 40.6% between 2016 and 2017 (149,586 to 210,328) with no documented methodology change. Treat with care.</t>
  </si>
  <si>
    <t xml:space="preserve">• United States foreign_born comes from OECD IMD and differs trivially from the US Census ACS 1-year estimate (2021: 45,272,945 vs 45,270,103, a gap of 0.006%).</t>
  </si>
  <si>
    <t xml:space="preserve">• United States irregular_stock: DHS Table A2-1 prints two values for both 2010 and 2015, reflecting a Census rebasing and a methodology update. The Panel takes the series-continuous value and the alternative is on Irregular_estimates; both cells are flagged in their notes. Verify against the PDF before publishing either year.</t>
  </si>
  <si>
    <t xml:space="preserve">• Taiwan has no published foreign-born statistic and no foreign-national stock before 2012. For 2011 the workbook instead records foreign_workers (425,660 migrant workers on employment permits, MOL) on the Long sheet - a subset of all foreign residents, not a substitute for it.</t>
  </si>
  <si>
    <t xml:space="preserve">• The irregular variables should be treated as an ordinal or categorical signal of salience rather than a precise count. Consider using foreign_nationals as the main exposure and the irregular measures as a robustness check.</t>
  </si>
  <si>
    <t xml:space="preserve">country</t>
  </si>
  <si>
    <t xml:space="preserve">iso3</t>
  </si>
  <si>
    <t xml:space="preserve">iso2</t>
  </si>
  <si>
    <t xml:space="preserve">m49_code</t>
  </si>
  <si>
    <t xml:space="preserve">in_wave1</t>
  </si>
  <si>
    <t xml:space="preserve">in_wave2</t>
  </si>
  <si>
    <t xml:space="preserve">year</t>
  </si>
  <si>
    <t xml:space="preserve">population_source</t>
  </si>
  <si>
    <t xml:space="preserve">population_url</t>
  </si>
  <si>
    <t xml:space="preserve">foreign_born_pct_pop</t>
  </si>
  <si>
    <t xml:space="preserve">foreign_born_ref_date</t>
  </si>
  <si>
    <t xml:space="preserve">foreign_born_source</t>
  </si>
  <si>
    <t xml:space="preserve">foreign_born_url</t>
  </si>
  <si>
    <t xml:space="preserve">foreign_born_note</t>
  </si>
  <si>
    <t xml:space="preserve">foreign_nationals_pct_pop</t>
  </si>
  <si>
    <t xml:space="preserve">foreign_nationals_ref_date</t>
  </si>
  <si>
    <t xml:space="preserve">foreign_nationals_source</t>
  </si>
  <si>
    <t xml:space="preserve">foreign_nationals_url</t>
  </si>
  <si>
    <t xml:space="preserve">foreign_nationals_note</t>
  </si>
  <si>
    <t xml:space="preserve">irregular_stock_pct_pop</t>
  </si>
  <si>
    <t xml:space="preserve">irregular_stock_ref_date</t>
  </si>
  <si>
    <t xml:space="preserve">irregular_stock_source</t>
  </si>
  <si>
    <t xml:space="preserve">irregular_stock_url</t>
  </si>
  <si>
    <t xml:space="preserve">irregular_stock_note</t>
  </si>
  <si>
    <t xml:space="preserve">irregular_stock_n_estimates</t>
  </si>
  <si>
    <t xml:space="preserve">irregular_proxy_overstayers_ref_date</t>
  </si>
  <si>
    <t xml:space="preserve">irregular_proxy_overstayers_source</t>
  </si>
  <si>
    <t xml:space="preserve">irregular_proxy_overstayers_url</t>
  </si>
  <si>
    <t xml:space="preserve">irregular_proxy_overstayers_note</t>
  </si>
  <si>
    <t xml:space="preserve">irregular_proxy_detections_ref_date</t>
  </si>
  <si>
    <t xml:space="preserve">irregular_proxy_detections_source</t>
  </si>
  <si>
    <t xml:space="preserve">irregular_proxy_detections_url</t>
  </si>
  <si>
    <t xml:space="preserve">irregular_proxy_detections_note</t>
  </si>
  <si>
    <t xml:space="preserve">Australia</t>
  </si>
  <si>
    <t xml:space="preserve">AUS</t>
  </si>
  <si>
    <t xml:space="preserve">AU</t>
  </si>
  <si>
    <t xml:space="preserve">36</t>
  </si>
  <si>
    <t xml:space="preserve">World Bank, World Development Indicators (SP.POP.TOTL), sourced from UN World Population Prospects and national statistical offices</t>
  </si>
  <si>
    <t xml:space="preserve">https://api.worldbank.org/v2/country/all/indicator/SP.POP.TOTL</t>
  </si>
  <si>
    <t xml:space="preserve">Mid-year / 30 June</t>
  </si>
  <si>
    <t xml:space="preserve">OECD International Migration Database (stocks of foreign-born population, measure B14)</t>
  </si>
  <si>
    <t xml:space="preserve">https://sdmx.oecd.org/public/rest/data/OECD.ELS.IMD,DSD_MIG_F@DF_MIG_POPF,1.0/AUS.W.A.B14._T._Z._Z.PS?startPeriod=2010&amp;endPeriod=2022&amp;format=jsondata&amp;dimensionAtObservation=AllDimensions</t>
  </si>
  <si>
    <t xml:space="preserve">Overseas-born estimated resident population; reference date 30 June. OECD IMD series sourced from ABS.</t>
  </si>
  <si>
    <t xml:space="preserve">ANU Press, A Long Way to Go, Chapter 2, Table 2.3 Estimated size of irregular migrant populations by region/country</t>
  </si>
  <si>
    <t xml:space="preserve">https://press-files.anu.edu.au/downloads/press/n4016/html/ch02.xhtml</t>
  </si>
  <si>
    <t xml:space="preserve">estimated irregular migrant population of Australia (visa overstayers / unlawful non-citizens in the community) for 2010. Table 2.3 source note (l): 'Department of Immigration and Border Protection (DIBP) (2010).' The DIAC/DIBP overstayer estimate is published as at 30 June, but the ANU table states the year only and does not restate the within-year reference date.</t>
  </si>
  <si>
    <t xml:space="preserve">estimated irregular migrant population of Australia (visa overstayers / unlawful non-citizens in the community) for 2011. Table 2.3 source note (m): 'Australian National Audit Office (ANAO) (2013), p. 39.' The DIAC/DIBP overstayer estimate is published as at 30 June, but the ANU table states the year only and does not restate the within-year reference date.</t>
  </si>
  <si>
    <t xml:space="preserve">Australian Department of Immigration and Border Protection, Senate Legal and Constitutional Affairs Committee, Budget Estimates Question on Notice BE17171</t>
  </si>
  <si>
    <t xml:space="preserve">https://www.aph.gov.au/~/media/Committees/legcon_ctte/estimates/bud_1718/DIBP/QoNs/BE17171.pdf</t>
  </si>
  <si>
    <t xml:space="preserve">Reference date 30 June 2016. Departmental estimate of unlawful non-citizens (visa overstayers) in the Australian community; register-derived estimate rather than a survey model.</t>
  </si>
  <si>
    <t xml:space="preserve">Austria</t>
  </si>
  <si>
    <t xml:space="preserve">AUT</t>
  </si>
  <si>
    <t xml:space="preserve">AT</t>
  </si>
  <si>
    <t xml:space="preserve">40</t>
  </si>
  <si>
    <t xml:space="preserve">1 January</t>
  </si>
  <si>
    <t xml:space="preserve">Eurostat [migr_pop3ctb]</t>
  </si>
  <si>
    <t xml:space="preserve">https://ec.europa.eu/eurostat/api/dissemination/statistics/1.0/data/migr_pop3ctb?format=JSON&amp;lang=EN&amp;geo=AT&amp;age=TOTAL&amp;sex=T&amp;unit=NR&amp;c_birth=FOR&amp;sinceTimePeriod=2010&amp;untilTimePeriod=2022</t>
  </si>
  <si>
    <t xml:space="preserve">stock at 1 Jan; c_birth=FOR (born in a foreign country)</t>
  </si>
  <si>
    <t xml:space="preserve">Eurostat [migr_pop1ctz]</t>
  </si>
  <si>
    <t xml:space="preserve">https://ec.europa.eu/eurostat/api/dissemination/statistics/1.0/data/migr_pop1ctz?format=JSON&amp;lang=EN&amp;geo=AT&amp;age=TOTAL&amp;sex=T&amp;unit=NR&amp;citizen=FOR_STLS&amp;sinceTimePeriod=2010&amp;untilTimePeriod=2022</t>
  </si>
  <si>
    <t xml:space="preserve">stock at 1 Jan; citizen=FOR_STLS (foreign citizens incl. stateless)</t>
  </si>
  <si>
    <t xml:space="preserve">Full calendar year (flow)</t>
  </si>
  <si>
    <t xml:space="preserve">Eurostat, Third country nationals found to be illegally present (migr_eipre)</t>
  </si>
  <si>
    <t xml:space="preserve">https://ec.europa.eu/eurostat/databrowser/view/migr_eipre/default/table</t>
  </si>
  <si>
    <t xml:space="preserve">Eurostat enforcement statistic - annual flow of detections, NOT a stock. Dataset migr_eipre, dimensions freq=A citizen=TOTAL reason=TOTAL apprehen=TOTAL sex=T age=TOTAL unit=PER. Rounded to nearest 5 by Eurostat.</t>
  </si>
  <si>
    <t xml:space="preserve">See note</t>
  </si>
  <si>
    <t xml:space="preserve">Pew Research Center (2019), Europe's Unauthorized Immigrant Population Peaks in 2016, Then Levels Off</t>
  </si>
  <si>
    <t xml:space="preserve">https://www.pewresearch.org/global/2019/11/13/europes-unauthorized-immigrant-population-peaks-in-2016-then-levels-off/</t>
  </si>
  <si>
    <t xml:space="preserve">Pew residual method (population/labour-force data minus lawfully resident foreign-born), estimate INCLUDES asylum seekers awaiting a decision; published range 100000-200000, value is the midpoint of the published range. Pew reports only rounded 100k bounds.</t>
  </si>
  <si>
    <t xml:space="preserve">Belgium</t>
  </si>
  <si>
    <t xml:space="preserve">BEL</t>
  </si>
  <si>
    <t xml:space="preserve">BE</t>
  </si>
  <si>
    <t xml:space="preserve">56</t>
  </si>
  <si>
    <t xml:space="preserve">https://ec.europa.eu/eurostat/api/dissemination/statistics/1.0/data/migr_pop3ctb?format=JSON&amp;lang=EN&amp;geo=BE&amp;age=TOTAL&amp;sex=T&amp;unit=NR&amp;c_birth=FOR&amp;sinceTimePeriod=2010&amp;untilTimePeriod=2022</t>
  </si>
  <si>
    <t xml:space="preserve">https://ec.europa.eu/eurostat/api/dissemination/statistics/1.0/data/migr_pop1ctz?format=JSON&amp;lang=EN&amp;geo=BE&amp;age=TOTAL&amp;sex=T&amp;unit=NR&amp;citizen=FOR_STLS&amp;sinceTimePeriod=2010&amp;untilTimePeriod=2022</t>
  </si>
  <si>
    <t xml:space="preserve">Bulgaria</t>
  </si>
  <si>
    <t xml:space="preserve">BGR</t>
  </si>
  <si>
    <t xml:space="preserve">BG</t>
  </si>
  <si>
    <t xml:space="preserve">100</t>
  </si>
  <si>
    <t xml:space="preserve">https://ec.europa.eu/eurostat/api/dissemination/statistics/1.0/data/migr_pop1ctz?format=JSON&amp;lang=EN&amp;geo=BG&amp;age=TOTAL&amp;sex=T&amp;unit=NR&amp;citizen=FOR_STLS&amp;sinceTimePeriod=2010&amp;untilTimePeriod=2022</t>
  </si>
  <si>
    <t xml:space="preserve">https://ec.europa.eu/eurostat/api/dissemination/statistics/1.0/data/migr_pop3ctb?format=JSON&amp;lang=EN&amp;geo=BG&amp;age=TOTAL&amp;sex=T&amp;unit=NR&amp;c_birth=FOR&amp;sinceTimePeriod=2010&amp;untilTimePeriod=2022</t>
  </si>
  <si>
    <t xml:space="preserve">stock at 1 Jan; c_birth=FOR (born in a foreign country); Eurostat series starts in 2011</t>
  </si>
  <si>
    <t xml:space="preserve">stock at 1 Jan; c_birth=FOR (born in a foreign country); apparent break in series (population census re-basing); Eurostat series starts in 2011</t>
  </si>
  <si>
    <t xml:space="preserve">stock at 1 Jan; citizen=FOR_STLS (foreign citizens incl. stateless); apparent break in series (population census re-basing)</t>
  </si>
  <si>
    <t xml:space="preserve">Chile</t>
  </si>
  <si>
    <t xml:space="preserve">CHL</t>
  </si>
  <si>
    <t xml:space="preserve">CL</t>
  </si>
  <si>
    <t xml:space="preserve">152</t>
  </si>
  <si>
    <t xml:space="preserve">https://sdmx.oecd.org/public/rest/data/OECD.ELS.IMD,DSD_MIG_F@DF_MIG_POPF,1.0/CHL.W.A.B14._T._Z._Z.PS?startPeriod=2010&amp;endPeriod=2022&amp;format=jsondata&amp;dimensionAtObservation=AllDimensions</t>
  </si>
  <si>
    <t xml:space="preserve">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</si>
  <si>
    <t xml:space="preserve">31 December</t>
  </si>
  <si>
    <t xml:space="preserve">OECD International Migration Database (stocks of foreign population, measure B15)</t>
  </si>
  <si>
    <t xml:space="preserve">https://sdmx.oecd.org/public/rest/data/OECD.ELS.IMD,DSD_MIG@DF_MIG,1.0/CHL.W.A.B15._T._Z._Z.PS?startPeriod=2010&amp;endPeriod=2022&amp;format=jsondata&amp;dimensionAtObservation=AllDimensions</t>
  </si>
  <si>
    <t xml:space="preserve">Foreign nationals resident in Chile; OECD IMD series based on INE/SERMIG estimates of foreign residents. Reference date 31 December.</t>
  </si>
  <si>
    <t xml:space="preserve">Instituto Nacional de Estadisticas (INE) and Servicio Nacional de Migraciones (SERMIG), Estimacion de Personas Extranjeras Residentes Habituales en Chile 2023 - Sintesis (2023 revised methodology)</t>
  </si>
  <si>
    <t xml:space="preserve">https://www.ine.gob.cl/docs/default-source/demografia-y-migracion/publicaciones-y-anuarios/migraci%C3%B3n-internacional/estimaci%C3%B3n-poblaci%C3%B3n-extranjera-en-chile-2018/sintesis-epe2023.pdf?sfvrsn=cc51129c_10</t>
  </si>
  <si>
    <t xml:space="preserve">Reference date 31 December 2018. Modelled stock estimate, REVISED under the 2023 methodology which added Mineduc school-enrolment and SERMIG biometric-registration records. Substantially higher than the 2022-methodology value for the same year.</t>
  </si>
  <si>
    <t xml:space="preserve">Reference date 31 December 2019. Modelled stock estimate, REVISED under the 2023 methodology which added Mineduc school-enrolment and SERMIG biometric-registration records. Substantially higher than the 2022-methodology value for the same year.</t>
  </si>
  <si>
    <t xml:space="preserve">Reference date 31 December 2020. Modelled stock estimate, REVISED under the 2023 methodology which added Mineduc school-enrolment and SERMIG biometric-registration records. Substantially higher than the 2022-methodology value for the same year.</t>
  </si>
  <si>
    <t xml:space="preserve">Instituto Nacional de Estadisticas (INE) and Servicio Nacional de Migraciones (SERMIG), Estimacion de Personas Extranjeras Residentes Habituales en Chile 2023 - Sintesis (2022 methodology series)</t>
  </si>
  <si>
    <t xml:space="preserve">Reference date 31 December 2021. Modelled stock estimate of foreign residents in irregular migratory status, built from census plus administrative records. This is the 2022-methodology series; INE revised 2018-2020 sharply upward in the 2023 methodology (recorded as separate rows).</t>
  </si>
  <si>
    <t xml:space="preserve">Reference date 31 December 2022. Modelled stock estimate of foreign residents in irregular migratory status, built from census plus administrative records. This is the 2022-methodology series; INE revised 2018-2020 sharply upward in the 2023 methodology (recorded as separate rows).</t>
  </si>
  <si>
    <t xml:space="preserve">China</t>
  </si>
  <si>
    <t xml:space="preserve">CHN</t>
  </si>
  <si>
    <t xml:space="preserve">CN</t>
  </si>
  <si>
    <t xml:space="preserve">156</t>
  </si>
  <si>
    <t xml:space="preserve">UN DESA International Migrant Stock (World Bank indicator SM.POP.TOTL)</t>
  </si>
  <si>
    <t xml:space="preserve">https://api.worldbank.org/v2/country/CHN;IND;PHL;RUS;ZAF;SUR;THA/indicator/SM.POP.TOTL?format=json&amp;date=2010:2022&amp;per_page=200</t>
  </si>
  <si>
    <t xml:space="preserve">UN estimate (not annual); mid-year benchmark year only; retrieved from World Bank mirror of UN DESA International Migrant Stock, accessed 2026-08; latest UN revision is IMS 2024</t>
  </si>
  <si>
    <t xml:space="preserve">Census reference date</t>
  </si>
  <si>
    <t xml:space="preserve">National Bureau of Statistics of China - 2010 Population Census (Sixth National Population Census)</t>
  </si>
  <si>
    <t xml:space="preserve">https://www.stats.gov.cn/english/NewsEvents/201104/t20110429_26451.html</t>
  </si>
  <si>
    <t xml:space="preserve">Census count, reference date 1 Nov 2010; foreign nationals who had stayed or intended to stay more than three months in mainland China; excludes 426313 residents of Hong Kong SAR (234829), Macao SAR (21201) and Taiwan (170283) who are counted separately, giving a total of 1020145 persons from outside the mainland</t>
  </si>
  <si>
    <t xml:space="preserve">UN estimate (not annual); mid-year benchmark year only; retrieved from World Bank mirror of UN DESA International Migrant Stock, accessed 2026-08</t>
  </si>
  <si>
    <t xml:space="preserve">National Bureau of Statistics of China - Communique of the Seventh National Population Census (No. 8)</t>
  </si>
  <si>
    <t xml:space="preserve">https://www.stats.gov.cn/english/PressRelease/202105/t20210510_1817193.html</t>
  </si>
  <si>
    <t xml:space="preserve">Census count, reference date 1 Nov 2020; foreign nationals residing in the 31 mainland provinces; excludes 584998 residents of Hong Kong SAR (371380), Macao SAR (55732) and Taiwan (157886), giving a total of 1430695 persons from outside the mainland</t>
  </si>
  <si>
    <t xml:space="preserve">Croatia</t>
  </si>
  <si>
    <t xml:space="preserve">HRV</t>
  </si>
  <si>
    <t xml:space="preserve">HR</t>
  </si>
  <si>
    <t xml:space="preserve">191</t>
  </si>
  <si>
    <t xml:space="preserve">See note (not 1 January)</t>
  </si>
  <si>
    <t xml:space="preserve">Croatian Bureau of Statistics, Census 2011</t>
  </si>
  <si>
    <t xml:space="preserve">https://web.dzs.hr/eng/censuses/census2011/results/htm/e01_01_25/E01_01_25.html</t>
  </si>
  <si>
    <t xml:space="preserve">census reference date 31 March 2011, NOT stock at 1 Jan; published category 'Born abroad'; total census population 4284889; not strictly comparable with the Eurostat 1 Jan register series</t>
  </si>
  <si>
    <t xml:space="preserve">https://web.dzs.hr/eng/censuses/census2011/results/htm/e01_01_06/e01_01_06_RH.html</t>
  </si>
  <si>
    <t xml:space="preserve">census reference date 31 March 2011, NOT stock at 1 Jan; computed as published 'Foreign' citizenship 22527 plus 'Stateless' 749 to match the Eurostat FOR_STLS concept; 'Unknown' citizenship 2137 excluded; not strictly comparable with the Eurostat 1 Jan register series</t>
  </si>
  <si>
    <t xml:space="preserve">https://ec.europa.eu/eurostat/api/dissemination/statistics/1.0/data/migr_pop3ctb?format=JSON&amp;lang=EN&amp;geo=HR&amp;age=TOTAL&amp;sex=T&amp;unit=NR&amp;c_birth=FOR&amp;sinceTimePeriod=2010&amp;untilTimePeriod=2022</t>
  </si>
  <si>
    <t xml:space="preserve">stock at 1 Jan; c_birth=FOR (born in a foreign country); Eurostat series for Croatia starts in 2013</t>
  </si>
  <si>
    <t xml:space="preserve">https://ec.europa.eu/eurostat/api/dissemination/statistics/1.0/data/migr_pop1ctz?format=JSON&amp;lang=EN&amp;geo=HR&amp;age=TOTAL&amp;sex=T&amp;unit=NR&amp;citizen=FOR_STLS&amp;sinceTimePeriod=2010&amp;untilTimePeriod=2022</t>
  </si>
  <si>
    <t xml:space="preserve">stock at 1 Jan; citizen=FOR_STLS (foreign citizens incl. stateless); Eurostat series for Croatia starts in 2013</t>
  </si>
  <si>
    <t xml:space="preserve">Eurostat enforcement statistic - annual flow of detections, NOT a stock. Dataset migr_eipre, dimensions freq=A citizen=TOTAL reason=TOTAL apprehen=TOTAL sex=T age=TOTAL unit=PER. Rounded to nearest 5 by Eurostat. Croatia acceded to the EU in July 2013; no data reported before 2013.</t>
  </si>
  <si>
    <t xml:space="preserve">stock at 1 Jan; citizen=FOR_STLS (foreign citizens incl. stateless); apparent break in series (population census re-basing); Eurostat series for Croatia starts in 2013</t>
  </si>
  <si>
    <t xml:space="preserve">Czech Republic</t>
  </si>
  <si>
    <t xml:space="preserve">CZE</t>
  </si>
  <si>
    <t xml:space="preserve">CZ</t>
  </si>
  <si>
    <t xml:space="preserve">203</t>
  </si>
  <si>
    <t xml:space="preserve">https://ec.europa.eu/eurostat/api/dissemination/statistics/1.0/data/migr_pop3ctb?format=JSON&amp;lang=EN&amp;geo=CZ&amp;age=TOTAL&amp;sex=T&amp;unit=NR&amp;c_birth=FOR&amp;sinceTimePeriod=2010&amp;untilTimePeriod=2022</t>
  </si>
  <si>
    <t xml:space="preserve">https://ec.europa.eu/eurostat/api/dissemination/statistics/1.0/data/migr_pop1ctz?format=JSON&amp;lang=EN&amp;geo=CZ&amp;age=TOTAL&amp;sex=T&amp;unit=NR&amp;citizen=FOR_STLS&amp;sinceTimePeriod=2010&amp;untilTimePeriod=2022</t>
  </si>
  <si>
    <t xml:space="preserve">stock at 1 Jan; c_birth=FOR (born in a foreign country); apparent break in series (population census re-basing)</t>
  </si>
  <si>
    <t xml:space="preserve">Denmark</t>
  </si>
  <si>
    <t xml:space="preserve">DNK</t>
  </si>
  <si>
    <t xml:space="preserve">DK</t>
  </si>
  <si>
    <t xml:space="preserve">208</t>
  </si>
  <si>
    <t xml:space="preserve">https://ec.europa.eu/eurostat/api/dissemination/statistics/1.0/data/migr_pop3ctb?format=JSON&amp;lang=EN&amp;geo=DK&amp;age=TOTAL&amp;sex=T&amp;unit=NR&amp;c_birth=FOR&amp;sinceTimePeriod=2010&amp;untilTimePeriod=2022</t>
  </si>
  <si>
    <t xml:space="preserve">https://ec.europa.eu/eurostat/api/dissemination/statistics/1.0/data/migr_pop1ctz?format=JSON&amp;lang=EN&amp;geo=DK&amp;age=TOTAL&amp;sex=T&amp;unit=NR&amp;citizen=FOR_STLS&amp;sinceTimePeriod=2010&amp;untilTimePeriod=2022</t>
  </si>
  <si>
    <t xml:space="preserve">Finland</t>
  </si>
  <si>
    <t xml:space="preserve">FIN</t>
  </si>
  <si>
    <t xml:space="preserve">FI</t>
  </si>
  <si>
    <t xml:space="preserve">246</t>
  </si>
  <si>
    <t xml:space="preserve">https://ec.europa.eu/eurostat/api/dissemination/statistics/1.0/data/migr_pop3ctb?format=JSON&amp;lang=EN&amp;geo=FI&amp;age=TOTAL&amp;sex=T&amp;unit=NR&amp;c_birth=FOR&amp;sinceTimePeriod=2010&amp;untilTimePeriod=2022</t>
  </si>
  <si>
    <t xml:space="preserve">https://ec.europa.eu/eurostat/api/dissemination/statistics/1.0/data/migr_pop1ctz?format=JSON&amp;lang=EN&amp;geo=FI&amp;age=TOTAL&amp;sex=T&amp;unit=NR&amp;citizen=FOR_STLS&amp;sinceTimePeriod=2010&amp;untilTimePeriod=2022</t>
  </si>
  <si>
    <t xml:space="preserve">France</t>
  </si>
  <si>
    <t xml:space="preserve">FRA</t>
  </si>
  <si>
    <t xml:space="preserve">FR</t>
  </si>
  <si>
    <t xml:space="preserve">250</t>
  </si>
  <si>
    <t xml:space="preserve">https://ec.europa.eu/eurostat/api/dissemination/statistics/1.0/data/migr_pop3ctb?format=JSON&amp;lang=EN&amp;geo=FR&amp;age=TOTAL&amp;sex=T&amp;unit=NR&amp;c_birth=FOR&amp;sinceTimePeriod=2010&amp;untilTimePeriod=2022</t>
  </si>
  <si>
    <t xml:space="preserve">https://ec.europa.eu/eurostat/api/dissemination/statistics/1.0/data/migr_pop1ctz?format=JSON&amp;lang=EN&amp;geo=FR&amp;age=TOTAL&amp;sex=T&amp;unit=NR&amp;citizen=FOR_STLS&amp;sinceTimePeriod=2010&amp;untilTimePeriod=2022</t>
  </si>
  <si>
    <t xml:space="preserve">Pew residual method (population/labour-force data minus lawfully resident foreign-born), estimate INCLUDES asylum seekers awaiting a decision; published range 200000-300000, value is the midpoint of the published range. Pew reports only rounded 100k bounds.</t>
  </si>
  <si>
    <t xml:space="preserve">Pew residual method (population/labour-force data minus lawfully resident foreign-born), estimate INCLUDES asylum seekers awaiting a decision; published range 300000-400000, value is the midpoint of the published range. Pew reports only rounded 100k bounds.</t>
  </si>
  <si>
    <t xml:space="preserve">Germany</t>
  </si>
  <si>
    <t xml:space="preserve">DEU</t>
  </si>
  <si>
    <t xml:space="preserve">DE</t>
  </si>
  <si>
    <t xml:space="preserve">276</t>
  </si>
  <si>
    <t xml:space="preserve">https://ec.europa.eu/eurostat/api/dissemination/statistics/1.0/data/migr_pop3ctb?format=JSON&amp;lang=EN&amp;geo=DE&amp;age=TOTAL&amp;sex=T&amp;unit=NR&amp;c_birth=FOR&amp;sinceTimePeriod=2010&amp;untilTimePeriod=2022</t>
  </si>
  <si>
    <t xml:space="preserve">https://ec.europa.eu/eurostat/api/dissemination/statistics/1.0/data/migr_pop1ctz?format=JSON&amp;lang=EN&amp;geo=DE&amp;age=TOTAL&amp;sex=T&amp;unit=NR&amp;citizen=FOR_STLS&amp;sinceTimePeriod=2010&amp;untilTimePeriod=2022</t>
  </si>
  <si>
    <t xml:space="preserve">Pew residual method (population/labour-force data minus lawfully resident foreign-born), estimate INCLUDES asylum seekers awaiting a decision; published range 500000-600000, value is the midpoint of the published range. Pew reports only rounded 100k bounds.</t>
  </si>
  <si>
    <t xml:space="preserve">Pew residual method (population/labour-force data minus lawfully resident foreign-born), estimate INCLUDES asylum seekers awaiting a decision; published range 600000-1200000, value is the midpoint of the published range. Pew reports only rounded 100k bounds.</t>
  </si>
  <si>
    <t xml:space="preserve">Pew residual method (population/labour-force data minus lawfully resident foreign-born), estimate INCLUDES asylum seekers awaiting a decision; published range 1100000-1400000, value is the midpoint of the published range. Pew reports only rounded 100k bounds.</t>
  </si>
  <si>
    <t xml:space="preserve">Pew residual method (population/labour-force data minus lawfully resident foreign-born), estimate INCLUDES asylum seekers awaiting a decision; published range 1000000-1200000, value is the midpoint of the published range. Pew reports only rounded 100k bounds.</t>
  </si>
  <si>
    <t xml:space="preserve">Hungary</t>
  </si>
  <si>
    <t xml:space="preserve">HUN</t>
  </si>
  <si>
    <t xml:space="preserve">HU</t>
  </si>
  <si>
    <t xml:space="preserve">348</t>
  </si>
  <si>
    <t xml:space="preserve">https://ec.europa.eu/eurostat/api/dissemination/statistics/1.0/data/migr_pop3ctb?format=JSON&amp;lang=EN&amp;geo=HU&amp;age=TOTAL&amp;sex=T&amp;unit=NR&amp;c_birth=FOR&amp;sinceTimePeriod=2010&amp;untilTimePeriod=2022</t>
  </si>
  <si>
    <t xml:space="preserve">https://ec.europa.eu/eurostat/api/dissemination/statistics/1.0/data/migr_pop1ctz?format=JSON&amp;lang=EN&amp;geo=HU&amp;age=TOTAL&amp;sex=T&amp;unit=NR&amp;citizen=FOR_STLS&amp;sinceTimePeriod=2010&amp;untilTimePeriod=2022</t>
  </si>
  <si>
    <t xml:space="preserve">Iceland</t>
  </si>
  <si>
    <t xml:space="preserve">ISL</t>
  </si>
  <si>
    <t xml:space="preserve">IS</t>
  </si>
  <si>
    <t xml:space="preserve">352</t>
  </si>
  <si>
    <t xml:space="preserve">https://ec.europa.eu/eurostat/api/dissemination/statistics/1.0/data/migr_pop3ctb?format=JSON&amp;lang=EN&amp;geo=IS&amp;age=TOTAL&amp;sex=T&amp;unit=NR&amp;c_birth=FOR&amp;sinceTimePeriod=2010&amp;untilTimePeriod=2022</t>
  </si>
  <si>
    <t xml:space="preserve">https://ec.europa.eu/eurostat/api/dissemination/statistics/1.0/data/migr_pop1ctz?format=JSON&amp;lang=EN&amp;geo=IS&amp;age=TOTAL&amp;sex=T&amp;unit=NR&amp;citizen=FOR_STLS&amp;sinceTimePeriod=2010&amp;untilTimePeriod=2022</t>
  </si>
  <si>
    <t xml:space="preserve">Eurostat enforcement statistic - annual flow of detections, NOT a stock. Dataset migr_eipre, dimensions freq=A citizen=TOTAL reason=TOTAL apprehen=TOTAL sex=T age=TOTAL unit=PER. Rounded to nearest 5 by Eurostat. Iceland reports only sporadically; most years are not available in migr_eipre.</t>
  </si>
  <si>
    <t xml:space="preserve">India</t>
  </si>
  <si>
    <t xml:space="preserve">IND</t>
  </si>
  <si>
    <t xml:space="preserve">IN</t>
  </si>
  <si>
    <t xml:space="preserve">356</t>
  </si>
  <si>
    <t xml:space="preserve">Chandrasekhar S. and Sharma A., Migration in India: trends and characteristics, Demography India Vol. 51 No. 1 (2022) pp.160-175 (Census of India 2011 place-of-birth data)</t>
  </si>
  <si>
    <t xml:space="preserve">https://iasp.ac.in/uploads/journal/10.%20Migration%20in%20India%20trends%20and%20characteristics-1669206793.pdf</t>
  </si>
  <si>
    <t xml:space="preserve">Census (Census of India 2011, place-of-birth / D-series tables), reference date 1 Mar 2011; value as published is rounded to the nearest thousand (5490 thousand; 2513 thousand male, 2977 thousand female = 0.44 per cent of population); no exact unit-level figure could be verified from censusindia.gov.in; India has no 2021 census (postponed), so no national 2021 benchmark exists</t>
  </si>
  <si>
    <t xml:space="preserve">Israel</t>
  </si>
  <si>
    <t xml:space="preserve">ISR</t>
  </si>
  <si>
    <t xml:space="preserve">IL</t>
  </si>
  <si>
    <t xml:space="preserve">376</t>
  </si>
  <si>
    <t xml:space="preserve">https://sdmx.oecd.org/public/rest/data/OECD.ELS.IMD,DSD_MIG_F@DF_MIG_POPF,1.0/ISR.W.A.B14._T._Z._Z.PS?startPeriod=2010&amp;endPeriod=2022&amp;format=jsondata&amp;dimensionAtObservation=AllDimensions</t>
  </si>
  <si>
    <t xml:space="preserve">Population born abroad; OECD IMD series sourced from Israel CBS. Reference date 31 December. Figures for 2010-2015 are rounded by the source to the nearest 100 or 1000.</t>
  </si>
  <si>
    <t xml:space="preserve">Israel Population and Immigration Authority (רשות האוכלוסין וההגירה), Foreigners in Israel (נתוני זרים בישראל), Q1 2022</t>
  </si>
  <si>
    <t xml:space="preserve">https://www.gov.il/BlobFolder/generalpage/foreign_workers_stats/he/zarim_2022_q1.pdf</t>
  </si>
  <si>
    <t xml:space="preserve">Reference date end of 2020. Administrative register count of persons who entered Israel as tourists and remained without a valid permit; published as '30.1 thousand'. Excludes infiltrators and lapsed foreign workers, which PIBA counts separately.</t>
  </si>
  <si>
    <t xml:space="preserve">Reference date 31 March 2022. Administrative register count of 'infiltrators' (מסתננים) resident in Israel, i.e. persons who entered irregularly via the Egyptian border; 76% Eritrean, 14% Sudanese. Separate PIBA category from tourist overstayers and lapsed workers.</t>
  </si>
  <si>
    <t xml:space="preserve">Italy</t>
  </si>
  <si>
    <t xml:space="preserve">ITA</t>
  </si>
  <si>
    <t xml:space="preserve">IT</t>
  </si>
  <si>
    <t xml:space="preserve">380</t>
  </si>
  <si>
    <t xml:space="preserve">https://ec.europa.eu/eurostat/api/dissemination/statistics/1.0/data/migr_pop3ctb?format=JSON&amp;lang=EN&amp;geo=IT&amp;age=TOTAL&amp;sex=T&amp;unit=NR&amp;c_birth=FOR&amp;sinceTimePeriod=2010&amp;untilTimePeriod=2022</t>
  </si>
  <si>
    <t xml:space="preserve">https://ec.europa.eu/eurostat/api/dissemination/statistics/1.0/data/migr_pop1ctz?format=JSON&amp;lang=EN&amp;geo=IT&amp;age=TOTAL&amp;sex=T&amp;unit=NR&amp;citizen=FOR_STLS&amp;sinceTimePeriod=2010&amp;untilTimePeriod=2022</t>
  </si>
  <si>
    <t xml:space="preserve">Pew residual method (population/labour-force data minus lawfully resident foreign-born), estimate INCLUDES asylum seekers awaiting a decision; published range 300000-500000, value is the midpoint of the published range. Pew reports only rounded 100k bounds.</t>
  </si>
  <si>
    <t xml:space="preserve">Fondazione ISMU, XXII Rapporto sulle migrazioni 2016</t>
  </si>
  <si>
    <t xml:space="preserve">https://www.antoniocasella.eu/nume/Ismu_1dic2016.pdf</t>
  </si>
  <si>
    <t xml:space="preserve">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</si>
  <si>
    <t xml:space="preserve">Fondazione ISMU estimate, reported in Neodemos</t>
  </si>
  <si>
    <t xml:space="preserve">https://www.neodemos.info/2018/07/27/irregolari-sanatorie-e-rimpatri/</t>
  </si>
  <si>
    <t xml:space="preserve">Fondazione ISMU, XXIV Rapporto sulle migrazioni 2018</t>
  </si>
  <si>
    <t xml:space="preserve">https://www.vita.it/rapporto-ismu-calano-gli-sbarcati-ma-sale-la-quota-degli-irregolari/</t>
  </si>
  <si>
    <t xml:space="preserve">Fondazione ISMU, XXV Rapporto sulle migrazioni 2019</t>
  </si>
  <si>
    <t xml:space="preserve">https://www.ismu.org/comunicato-stampa-xxv-rapporto-ismu/</t>
  </si>
  <si>
    <t xml:space="preserve">Fondazione ISMU, XXVI Rapporto sulle migrazioni 2020</t>
  </si>
  <si>
    <t xml:space="preserve">https://www.cinformi.it/Comunicazione/Notizie/I-dati-del-Rapporto-ISMU-sulle-migrazioni-2020</t>
  </si>
  <si>
    <t xml:space="preserve">Fondazione ISMU, XXVII Rapporto sulle migrazioni 2021</t>
  </si>
  <si>
    <t xml:space="preserve">https://www.ismu.org/xxvii-rapporto-sulle-migrazioni-2021-comunicato-stampa-11-2-2022/</t>
  </si>
  <si>
    <t xml:space="preserve">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2022 fall reflects completion of the 2020 regularisation (sanatoria). NOTE: for 2015-2017 an alternative Pew estimate also exists in this file - do not sum.</t>
  </si>
  <si>
    <t xml:space="preserve">Japan</t>
  </si>
  <si>
    <t xml:space="preserve">JPN</t>
  </si>
  <si>
    <t xml:space="preserve">JP</t>
  </si>
  <si>
    <t xml:space="preserve">392</t>
  </si>
  <si>
    <t xml:space="preserve">https://sdmx.oecd.org/public/rest/data/OECD.ELS.IMD,DSD_MIG@DF_MIG,1.0/JPN.W.A.B15._T._Z._Z.PS?startPeriod=2010&amp;endPeriod=2022&amp;format=jsondata&amp;dimensionAtObservation=AllDimensions</t>
  </si>
  <si>
    <r>
      <rPr>
        <sz val="10"/>
        <rFont val="Arial"/>
        <family val="0"/>
        <charset val="1"/>
      </rPr>
      <t xml:space="preserve">Registered foreign residents (</t>
    </r>
    <r>
      <rPr>
        <sz val="10"/>
        <rFont val="Noto Sans CJK SC"/>
        <family val="2"/>
      </rPr>
      <t xml:space="preserve">在留外国人</t>
    </r>
    <r>
      <rPr>
        <sz val="10"/>
        <rFont val="Arial"/>
        <family val="0"/>
        <charset val="1"/>
      </rPr>
      <t xml:space="preserve">),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r>
  </si>
  <si>
    <t xml:space="preserve">Global Detention Project, Japan Immigration Detention Profile (reproducing Ministry of Justice, 2011, p.34)</t>
  </si>
  <si>
    <t xml:space="preserve">https://www.globaldetentionproject.org/countries/asia-pacific/japan</t>
  </si>
  <si>
    <r>
      <rPr>
        <sz val="10"/>
        <rFont val="Arial"/>
        <family val="0"/>
        <charset val="1"/>
      </rPr>
      <t xml:space="preserve">overstayers (</t>
    </r>
    <r>
      <rPr>
        <sz val="10"/>
        <rFont val="Noto Sans CJK SC"/>
        <family val="2"/>
      </rPr>
      <t xml:space="preserve">不法残留者</t>
    </r>
    <r>
      <rPr>
        <sz val="10"/>
        <rFont val="Arial"/>
        <family val="0"/>
        <charset val="1"/>
      </rPr>
      <t xml:space="preserve">) reported for 2011; the MOJ/ISA series is compiled as of 1 January. Source text: 'Immigration authorities estimate that in 2011 there were between 90,000 and 100,000 undocumented migrants in Japan, including 78,488 overstayers' (cited to MoJ, 2011, p.34). CAVEAT: the secondary source gives the year only and does not restate the 1 January reference date; the MOJ primary release for 1 January 2011 was no longer reachable (removed from moj.go.jp; nisshinkyo.org mirror returns 404 to the fetcher).</t>
    </r>
  </si>
  <si>
    <r>
      <rPr>
        <sz val="10"/>
        <rFont val="Noto Sans CJK SC"/>
        <family val="2"/>
      </rPr>
      <t xml:space="preserve">出入国在留管理庁 本邦における不法残留者数について </t>
    </r>
    <r>
      <rPr>
        <sz val="10"/>
        <rFont val="Arial"/>
        <family val="0"/>
        <charset val="1"/>
      </rPr>
      <t xml:space="preserve">(Immigration Services Agency of Japan, Number of Overstayers in Japan)</t>
    </r>
  </si>
  <si>
    <t xml:space="preserve">https://www.moj.go.jp/isa/content/001459199.pdf</t>
  </si>
  <si>
    <r>
      <rPr>
        <sz val="10"/>
        <rFont val="Arial"/>
        <family val="0"/>
        <charset val="1"/>
      </rPr>
      <t xml:space="preserve">As of 1 Jan 2014 (</t>
    </r>
    <r>
      <rPr>
        <sz val="10"/>
        <rFont val="Noto Sans CJK SC"/>
        <family val="2"/>
      </rPr>
      <t xml:space="preserve">平成</t>
    </r>
    <r>
      <rPr>
        <sz val="10"/>
        <rFont val="Arial"/>
        <family val="0"/>
        <charset val="1"/>
      </rPr>
      <t xml:space="preserve">26</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 RE-CONFIRMATION of a value already in the dataset. READ FROM A CHART: the labelled data point marked </t>
    </r>
    <r>
      <rPr>
        <sz val="10"/>
        <rFont val="Noto Sans CJK SC"/>
        <family val="2"/>
      </rPr>
      <t xml:space="preserve">過去最低 </t>
    </r>
    <r>
      <rPr>
        <sz val="10"/>
        <rFont val="Arial"/>
        <family val="0"/>
        <charset val="1"/>
      </rPr>
      <t xml:space="preserve">(all-time low) on </t>
    </r>
    <r>
      <rPr>
        <sz val="10"/>
        <rFont val="Noto Sans CJK SC"/>
        <family val="2"/>
      </rPr>
      <t xml:space="preserve">第</t>
    </r>
    <r>
      <rPr>
        <sz val="10"/>
        <rFont val="Arial"/>
        <family val="0"/>
        <charset val="1"/>
      </rPr>
      <t xml:space="preserve">1</t>
    </r>
    <r>
      <rPr>
        <sz val="10"/>
        <rFont val="Noto Sans CJK SC"/>
        <family val="2"/>
      </rPr>
      <t xml:space="preserve">図 不法残留者数の推移 </t>
    </r>
    <r>
      <rPr>
        <sz val="10"/>
        <rFont val="Arial"/>
        <family val="0"/>
        <charset val="1"/>
      </rPr>
      <t xml:space="preserve">in the </t>
    </r>
    <r>
      <rPr>
        <sz val="10"/>
        <rFont val="Noto Sans CJK SC"/>
        <family val="2"/>
      </rPr>
      <t xml:space="preserve">令和</t>
    </r>
    <r>
      <rPr>
        <sz val="10"/>
        <rFont val="Arial"/>
        <family val="0"/>
        <charset val="1"/>
      </rPr>
      <t xml:space="preserve">7</t>
    </r>
    <r>
      <rPr>
        <sz val="10"/>
        <rFont val="Noto Sans CJK SC"/>
        <family val="2"/>
      </rPr>
      <t xml:space="preserve">年 </t>
    </r>
    <r>
      <rPr>
        <sz val="10"/>
        <rFont val="Arial"/>
        <family val="0"/>
        <charset val="1"/>
      </rPr>
      <t xml:space="preserve">operations digest. Matches the already-confirmed 59,061.</t>
    </r>
  </si>
  <si>
    <t xml:space="preserve">https://www.moj.go.jp/isa/content/001344148.pdf</t>
  </si>
  <si>
    <r>
      <rPr>
        <sz val="10"/>
        <rFont val="Arial"/>
        <family val="0"/>
        <charset val="1"/>
      </rPr>
      <t xml:space="preserve">As of 1 Jan 2017 (</t>
    </r>
    <r>
      <rPr>
        <sz val="10"/>
        <rFont val="Noto Sans CJK SC"/>
        <family val="2"/>
      </rPr>
      <t xml:space="preserve">平成</t>
    </r>
    <r>
      <rPr>
        <sz val="10"/>
        <rFont val="Arial"/>
        <family val="0"/>
        <charset val="1"/>
      </rPr>
      <t xml:space="preserve">29</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 Read from </t>
    </r>
    <r>
      <rPr>
        <sz val="10"/>
        <rFont val="Noto Sans CJK SC"/>
        <family val="2"/>
      </rPr>
      <t xml:space="preserve">第</t>
    </r>
    <r>
      <rPr>
        <sz val="10"/>
        <rFont val="Arial"/>
        <family val="0"/>
        <charset val="1"/>
      </rPr>
      <t xml:space="preserve">1</t>
    </r>
    <r>
      <rPr>
        <sz val="10"/>
        <rFont val="Noto Sans CJK SC"/>
        <family val="2"/>
      </rPr>
      <t xml:space="preserve">表 </t>
    </r>
    <r>
      <rPr>
        <sz val="10"/>
        <rFont val="Arial"/>
        <family val="0"/>
        <charset val="1"/>
      </rPr>
      <t xml:space="preserve">of the press release dated 31 Mar 2021 (</t>
    </r>
    <r>
      <rPr>
        <sz val="10"/>
        <rFont val="Noto Sans CJK SC"/>
        <family val="2"/>
      </rPr>
      <t xml:space="preserve">本邦における不法残留者数について（令和</t>
    </r>
    <r>
      <rPr>
        <sz val="10"/>
        <rFont val="Arial"/>
        <family val="0"/>
        <charset val="1"/>
      </rPr>
      <t xml:space="preserve">3</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 Verified two ways within the table: </t>
    </r>
    <r>
      <rPr>
        <sz val="10"/>
        <rFont val="Noto Sans CJK SC"/>
        <family val="2"/>
      </rPr>
      <t xml:space="preserve">男 </t>
    </r>
    <r>
      <rPr>
        <sz val="10"/>
        <rFont val="Arial"/>
        <family val="0"/>
        <charset val="1"/>
      </rPr>
      <t xml:space="preserve">35,843 + </t>
    </r>
    <r>
      <rPr>
        <sz val="10"/>
        <rFont val="Noto Sans CJK SC"/>
        <family val="2"/>
      </rPr>
      <t xml:space="preserve">女 </t>
    </r>
    <r>
      <rPr>
        <sz val="10"/>
        <rFont val="Arial"/>
        <family val="0"/>
        <charset val="1"/>
      </rPr>
      <t xml:space="preserve">29,427 = 65,270; and the 11 nationality/region rows sum to 65,270. Landing page: https://www.moj.go.jp/isa/publications/press/13_00013.html</t>
    </r>
  </si>
  <si>
    <t xml:space="preserve">https://www.moj.go.jp/isa/content/001344904.pdf</t>
  </si>
  <si>
    <r>
      <rPr>
        <sz val="10"/>
        <rFont val="Arial"/>
        <family val="0"/>
        <charset val="1"/>
      </rPr>
      <t xml:space="preserve">As of 1 Jan 2018 (</t>
    </r>
    <r>
      <rPr>
        <sz val="10"/>
        <rFont val="Noto Sans CJK SC"/>
        <family val="2"/>
      </rPr>
      <t xml:space="preserve">平成</t>
    </r>
    <r>
      <rPr>
        <sz val="10"/>
        <rFont val="Arial"/>
        <family val="0"/>
        <charset val="1"/>
      </rPr>
      <t xml:space="preserve">30</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2018</t>
    </r>
    <r>
      <rPr>
        <sz val="10"/>
        <rFont val="Noto Sans CJK SC"/>
        <family val="2"/>
      </rPr>
      <t xml:space="preserve">年）</t>
    </r>
    <r>
      <rPr>
        <sz val="10"/>
        <rFont val="Arial"/>
        <family val="0"/>
        <charset val="1"/>
      </rPr>
      <t xml:space="preserve">- the source PDF prints the Western year itself). Read from </t>
    </r>
    <r>
      <rPr>
        <sz val="10"/>
        <rFont val="Noto Sans CJK SC"/>
        <family val="2"/>
      </rPr>
      <t xml:space="preserve">第</t>
    </r>
    <r>
      <rPr>
        <sz val="10"/>
        <rFont val="Arial"/>
        <family val="0"/>
        <charset val="1"/>
      </rPr>
      <t xml:space="preserve">1</t>
    </r>
    <r>
      <rPr>
        <sz val="10"/>
        <rFont val="Noto Sans CJK SC"/>
        <family val="2"/>
      </rPr>
      <t xml:space="preserve">表 </t>
    </r>
    <r>
      <rPr>
        <sz val="10"/>
        <rFont val="Arial"/>
        <family val="0"/>
        <charset val="1"/>
      </rPr>
      <t xml:space="preserve">of the press release dated 29 Mar 2022 (</t>
    </r>
    <r>
      <rPr>
        <sz val="10"/>
        <rFont val="Noto Sans CJK SC"/>
        <family val="2"/>
      </rPr>
      <t xml:space="preserve">本邦における不法残留者数について（令和</t>
    </r>
    <r>
      <rPr>
        <sz val="10"/>
        <rFont val="Arial"/>
        <family val="0"/>
        <charset val="1"/>
      </rPr>
      <t xml:space="preserve">4</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 Corroborated by an independent PDF, </t>
    </r>
    <r>
      <rPr>
        <sz val="10"/>
        <rFont val="Noto Sans CJK SC"/>
        <family val="2"/>
      </rPr>
      <t xml:space="preserve">第</t>
    </r>
    <r>
      <rPr>
        <sz val="10"/>
        <rFont val="Arial"/>
        <family val="0"/>
        <charset val="1"/>
      </rPr>
      <t xml:space="preserve">1</t>
    </r>
    <r>
      <rPr>
        <sz val="10"/>
        <rFont val="Noto Sans CJK SC"/>
        <family val="2"/>
      </rPr>
      <t xml:space="preserve">表 </t>
    </r>
    <r>
      <rPr>
        <sz val="10"/>
        <rFont val="Arial"/>
        <family val="0"/>
        <charset val="1"/>
      </rPr>
      <t xml:space="preserve">of the 2021 release (https://www.moj.go.jp/isa/content/001344148.pdf), which gives the same 66,498; also </t>
    </r>
    <r>
      <rPr>
        <sz val="10"/>
        <rFont val="Noto Sans CJK SC"/>
        <family val="2"/>
      </rPr>
      <t xml:space="preserve">男 </t>
    </r>
    <r>
      <rPr>
        <sz val="10"/>
        <rFont val="Arial"/>
        <family val="0"/>
        <charset val="1"/>
      </rPr>
      <t xml:space="preserve">37,052 + </t>
    </r>
    <r>
      <rPr>
        <sz val="10"/>
        <rFont val="Noto Sans CJK SC"/>
        <family val="2"/>
      </rPr>
      <t xml:space="preserve">女 </t>
    </r>
    <r>
      <rPr>
        <sz val="10"/>
        <rFont val="Arial"/>
        <family val="0"/>
        <charset val="1"/>
      </rPr>
      <t xml:space="preserve">29,446 = 66,498 and nationality rows sum to 66,498.</t>
    </r>
  </si>
  <si>
    <r>
      <rPr>
        <sz val="10"/>
        <rFont val="Arial"/>
        <family val="0"/>
        <charset val="1"/>
      </rPr>
      <t xml:space="preserve">As of 1 Jan 2019 (</t>
    </r>
    <r>
      <rPr>
        <sz val="10"/>
        <rFont val="Noto Sans CJK SC"/>
        <family val="2"/>
      </rPr>
      <t xml:space="preserve">平成</t>
    </r>
    <r>
      <rPr>
        <sz val="10"/>
        <rFont val="Arial"/>
        <family val="0"/>
        <charset val="1"/>
      </rPr>
      <t xml:space="preserve">31</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2019</t>
    </r>
    <r>
      <rPr>
        <sz val="10"/>
        <rFont val="Noto Sans CJK SC"/>
        <family val="2"/>
      </rPr>
      <t xml:space="preserve">年）</t>
    </r>
    <r>
      <rPr>
        <sz val="10"/>
        <rFont val="Arial"/>
        <family val="0"/>
        <charset val="1"/>
      </rPr>
      <t xml:space="preserve">- the source PDF prints the Western year itself). Read from </t>
    </r>
    <r>
      <rPr>
        <sz val="10"/>
        <rFont val="Noto Sans CJK SC"/>
        <family val="2"/>
      </rPr>
      <t xml:space="preserve">第</t>
    </r>
    <r>
      <rPr>
        <sz val="10"/>
        <rFont val="Arial"/>
        <family val="0"/>
        <charset val="1"/>
      </rPr>
      <t xml:space="preserve">1</t>
    </r>
    <r>
      <rPr>
        <sz val="10"/>
        <rFont val="Noto Sans CJK SC"/>
        <family val="2"/>
      </rPr>
      <t xml:space="preserve">表 </t>
    </r>
    <r>
      <rPr>
        <sz val="10"/>
        <rFont val="Arial"/>
        <family val="0"/>
        <charset val="1"/>
      </rPr>
      <t xml:space="preserve">of the press release dated 29 Mar 2022. Corroborated by an independent PDF, </t>
    </r>
    <r>
      <rPr>
        <sz val="10"/>
        <rFont val="Noto Sans CJK SC"/>
        <family val="2"/>
      </rPr>
      <t xml:space="preserve">第</t>
    </r>
    <r>
      <rPr>
        <sz val="10"/>
        <rFont val="Arial"/>
        <family val="0"/>
        <charset val="1"/>
      </rPr>
      <t xml:space="preserve">1</t>
    </r>
    <r>
      <rPr>
        <sz val="10"/>
        <rFont val="Noto Sans CJK SC"/>
        <family val="2"/>
      </rPr>
      <t xml:space="preserve">表 </t>
    </r>
    <r>
      <rPr>
        <sz val="10"/>
        <rFont val="Arial"/>
        <family val="0"/>
        <charset val="1"/>
      </rPr>
      <t xml:space="preserve">of the 2021 release (https://www.moj.go.jp/isa/content/001344148.pdf), same 74,167; also </t>
    </r>
    <r>
      <rPr>
        <sz val="10"/>
        <rFont val="Noto Sans CJK SC"/>
        <family val="2"/>
      </rPr>
      <t xml:space="preserve">男 </t>
    </r>
    <r>
      <rPr>
        <sz val="10"/>
        <rFont val="Arial"/>
        <family val="0"/>
        <charset val="1"/>
      </rPr>
      <t xml:space="preserve">42,632 + </t>
    </r>
    <r>
      <rPr>
        <sz val="10"/>
        <rFont val="Noto Sans CJK SC"/>
        <family val="2"/>
      </rPr>
      <t xml:space="preserve">女 </t>
    </r>
    <r>
      <rPr>
        <sz val="10"/>
        <rFont val="Arial"/>
        <family val="0"/>
        <charset val="1"/>
      </rPr>
      <t xml:space="preserve">31,535 = 74,167 and nationality rows sum to 74,167.</t>
    </r>
  </si>
  <si>
    <r>
      <rPr>
        <sz val="10"/>
        <rFont val="Arial"/>
        <family val="0"/>
        <charset val="1"/>
      </rPr>
      <t xml:space="preserve">As of 1 Jan 2020 (</t>
    </r>
    <r>
      <rPr>
        <sz val="10"/>
        <rFont val="Noto Sans CJK SC"/>
        <family val="2"/>
      </rPr>
      <t xml:space="preserve">令和</t>
    </r>
    <r>
      <rPr>
        <sz val="10"/>
        <rFont val="Arial"/>
        <family val="0"/>
        <charset val="1"/>
      </rPr>
      <t xml:space="preserve">2</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2020</t>
    </r>
    <r>
      <rPr>
        <sz val="10"/>
        <rFont val="Noto Sans CJK SC"/>
        <family val="2"/>
      </rPr>
      <t xml:space="preserve">年）</t>
    </r>
    <r>
      <rPr>
        <sz val="10"/>
        <rFont val="Arial"/>
        <family val="0"/>
        <charset val="1"/>
      </rPr>
      <t xml:space="preserve">). RE-CONFIRMATION of a value already in the dataset. </t>
    </r>
    <r>
      <rPr>
        <sz val="10"/>
        <rFont val="Noto Sans CJK SC"/>
        <family val="2"/>
      </rPr>
      <t xml:space="preserve">第</t>
    </r>
    <r>
      <rPr>
        <sz val="10"/>
        <rFont val="Arial"/>
        <family val="0"/>
        <charset val="1"/>
      </rPr>
      <t xml:space="preserve">1</t>
    </r>
    <r>
      <rPr>
        <sz val="10"/>
        <rFont val="Noto Sans CJK SC"/>
        <family val="2"/>
      </rPr>
      <t xml:space="preserve">表 </t>
    </r>
    <r>
      <rPr>
        <sz val="10"/>
        <rFont val="Arial"/>
        <family val="0"/>
        <charset val="1"/>
      </rPr>
      <t xml:space="preserve">of the 29 Mar 2022 release; identical figure in the 31 Mar 2021 release PDF.</t>
    </r>
  </si>
  <si>
    <r>
      <rPr>
        <sz val="10"/>
        <rFont val="Arial"/>
        <family val="0"/>
        <charset val="1"/>
      </rPr>
      <t xml:space="preserve">As of 1 Jan 2021 (</t>
    </r>
    <r>
      <rPr>
        <sz val="10"/>
        <rFont val="Noto Sans CJK SC"/>
        <family val="2"/>
      </rPr>
      <t xml:space="preserve">令和</t>
    </r>
    <r>
      <rPr>
        <sz val="10"/>
        <rFont val="Arial"/>
        <family val="0"/>
        <charset val="1"/>
      </rPr>
      <t xml:space="preserve">3</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2021</t>
    </r>
    <r>
      <rPr>
        <sz val="10"/>
        <rFont val="Noto Sans CJK SC"/>
        <family val="2"/>
      </rPr>
      <t xml:space="preserve">年）</t>
    </r>
    <r>
      <rPr>
        <sz val="10"/>
        <rFont val="Arial"/>
        <family val="0"/>
        <charset val="1"/>
      </rPr>
      <t xml:space="preserve">). RE-CONFIRMATION of a value already in the dataset. </t>
    </r>
    <r>
      <rPr>
        <sz val="10"/>
        <rFont val="Noto Sans CJK SC"/>
        <family val="2"/>
      </rPr>
      <t xml:space="preserve">第</t>
    </r>
    <r>
      <rPr>
        <sz val="10"/>
        <rFont val="Arial"/>
        <family val="0"/>
        <charset val="1"/>
      </rPr>
      <t xml:space="preserve">1</t>
    </r>
    <r>
      <rPr>
        <sz val="10"/>
        <rFont val="Noto Sans CJK SC"/>
        <family val="2"/>
      </rPr>
      <t xml:space="preserve">表 </t>
    </r>
    <r>
      <rPr>
        <sz val="10"/>
        <rFont val="Arial"/>
        <family val="0"/>
        <charset val="1"/>
      </rPr>
      <t xml:space="preserve">of the 29 Mar 2022 release; identical figure in the 31 Mar 2021 release PDF, whose text also states a decrease of 24 persons (-0.03%) vs 1 Jan 2020, consistent with 82,892 - 24 = 82,868.</t>
    </r>
  </si>
  <si>
    <r>
      <rPr>
        <sz val="10"/>
        <rFont val="Arial"/>
        <family val="0"/>
        <charset val="1"/>
      </rPr>
      <t xml:space="preserve">As of 1 Jan 2022 (</t>
    </r>
    <r>
      <rPr>
        <sz val="10"/>
        <rFont val="Noto Sans CJK SC"/>
        <family val="2"/>
      </rPr>
      <t xml:space="preserve">令和</t>
    </r>
    <r>
      <rPr>
        <sz val="10"/>
        <rFont val="Arial"/>
        <family val="0"/>
        <charset val="1"/>
      </rPr>
      <t xml:space="preserve">4</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t>
    </r>
    <r>
      <rPr>
        <sz val="10"/>
        <rFont val="Arial"/>
        <family val="0"/>
        <charset val="1"/>
      </rPr>
      <t xml:space="preserve">2022</t>
    </r>
    <r>
      <rPr>
        <sz val="10"/>
        <rFont val="Noto Sans CJK SC"/>
        <family val="2"/>
      </rPr>
      <t xml:space="preserve">年）</t>
    </r>
    <r>
      <rPr>
        <sz val="10"/>
        <rFont val="Arial"/>
        <family val="0"/>
        <charset val="1"/>
      </rPr>
      <t xml:space="preserve">). RE-CONFIRMATION of a value already in the dataset. </t>
    </r>
    <r>
      <rPr>
        <sz val="10"/>
        <rFont val="Noto Sans CJK SC"/>
        <family val="2"/>
      </rPr>
      <t xml:space="preserve">第</t>
    </r>
    <r>
      <rPr>
        <sz val="10"/>
        <rFont val="Arial"/>
        <family val="0"/>
        <charset val="1"/>
      </rPr>
      <t xml:space="preserve">1</t>
    </r>
    <r>
      <rPr>
        <sz val="10"/>
        <rFont val="Noto Sans CJK SC"/>
        <family val="2"/>
      </rPr>
      <t xml:space="preserve">表 </t>
    </r>
    <r>
      <rPr>
        <sz val="10"/>
        <rFont val="Arial"/>
        <family val="0"/>
        <charset val="1"/>
      </rPr>
      <t xml:space="preserve">of the 29 Mar 2022 release; the release text states a decrease of 16,109 (-19.4%) vs 1 Jan 2021, consistent with 82,868 - 16,109 = 66,759.</t>
    </r>
  </si>
  <si>
    <t xml:space="preserve">Korea (South)</t>
  </si>
  <si>
    <t xml:space="preserve">KOR</t>
  </si>
  <si>
    <t xml:space="preserve">KR</t>
  </si>
  <si>
    <t xml:space="preserve">410</t>
  </si>
  <si>
    <t xml:space="preserve">UN DESA International Migrant Stock (retrieved via World Bank indicator SM.POP.TOTL)</t>
  </si>
  <si>
    <t xml:space="preserve">https://api.worldbank.org/v2/country/KOR/indicator/SM.POP.TOTL?format=json&amp;date=2010:2022</t>
  </si>
  <si>
    <t xml:space="preserve">UN DESA International Migrant Stock, mid-year estimate. UN DESA publishes only 1990/1995/2000/2005/2010/2015/2020 - this is a 5-year-interval estimate, NOT an annual national figure. Korea does not publish an annual foreign-born stock; OECD IMD has no foreign-born series for Korea.</t>
  </si>
  <si>
    <t xml:space="preserve">https://sdmx.oecd.org/public/rest/data/OECD.ELS.IMD,DSD_MIG@DF_MIG,1.0/KOR.W.A.B15._T._Z._Z.PS?startPeriod=2010&amp;endPeriod=2022&amp;format=jsondata&amp;dimensionAtObservation=AllDimensions</t>
  </si>
  <si>
    <t xml:space="preserve">Foreign residents in Korea (Ministry of Justice / Korea Immigration Service) as compiled by OECD IMD. Reference date 31 December.</t>
  </si>
  <si>
    <t xml:space="preserve">Korean National Police University press, Cheryu oegugin beomjoe-e gwanhan gyeongchal-ui daeeung bangan (2015), Table 1, citing Ministry of Justice Korea Immigration Service statistical yearbook</t>
  </si>
  <si>
    <t xml:space="preserve">https://press.police.ac.kr/pds/1476878914562.pdf</t>
  </si>
  <si>
    <r>
      <rPr>
        <sz val="10"/>
        <rFont val="Arial"/>
        <family val="0"/>
        <charset val="1"/>
      </rPr>
      <t xml:space="preserve">illegal residents (</t>
    </r>
    <r>
      <rPr>
        <sz val="10"/>
        <rFont val="Noto Sans CJK SC"/>
        <family val="2"/>
      </rPr>
      <t xml:space="preserve">불법체류자</t>
    </r>
    <r>
      <rPr>
        <sz val="10"/>
        <rFont val="Arial"/>
        <family val="0"/>
        <charset val="1"/>
      </rPr>
      <t xml:space="preserve">), calendar-year figure as tabulated in the MOJ Korea Immigration Service statistical yearbook (</t>
    </r>
    <r>
      <rPr>
        <sz val="10"/>
        <rFont val="Noto Sans CJK SC"/>
        <family val="2"/>
      </rPr>
      <t xml:space="preserve">통계연보</t>
    </r>
    <r>
      <rPr>
        <sz val="10"/>
        <rFont val="Arial"/>
        <family val="0"/>
        <charset val="1"/>
      </rPr>
      <t xml:space="preserve">); the yearbook series is compiled as of 31 December. Predominantly visa overstayers. Source line: '</t>
    </r>
    <r>
      <rPr>
        <sz val="10"/>
        <rFont val="Noto Sans CJK SC"/>
        <family val="2"/>
      </rPr>
      <t xml:space="preserve">출처</t>
    </r>
    <r>
      <rPr>
        <sz val="10"/>
        <rFont val="Arial"/>
        <family val="0"/>
        <charset val="1"/>
      </rPr>
      <t xml:space="preserve">: </t>
    </r>
    <r>
      <rPr>
        <sz val="10"/>
        <rFont val="Noto Sans CJK SC"/>
        <family val="2"/>
      </rPr>
      <t xml:space="preserve">법무부 출입국</t>
    </r>
    <r>
      <rPr>
        <sz val="10"/>
        <rFont val="Arial"/>
        <family val="0"/>
        <charset val="1"/>
      </rPr>
      <t xml:space="preserve">·</t>
    </r>
    <r>
      <rPr>
        <sz val="10"/>
        <rFont val="Noto Sans CJK SC"/>
        <family val="2"/>
      </rPr>
      <t xml:space="preserve">외국인 정책본부</t>
    </r>
    <r>
      <rPr>
        <sz val="10"/>
        <rFont val="Arial"/>
        <family val="0"/>
        <charset val="1"/>
      </rPr>
      <t xml:space="preserve">, </t>
    </r>
    <r>
      <rPr>
        <sz val="10"/>
        <rFont val="Noto Sans CJK SC"/>
        <family val="2"/>
      </rPr>
      <t xml:space="preserve">통계연보 자료</t>
    </r>
    <r>
      <rPr>
        <sz val="10"/>
        <rFont val="Arial"/>
        <family val="0"/>
        <charset val="1"/>
      </rPr>
      <t xml:space="preserve">'. Korean government portals (data.go.kr, index.go.kr, kosis) block the fetcher, so this secondary academic tabulation of the MOJ series was used.</t>
    </r>
  </si>
  <si>
    <r>
      <rPr>
        <sz val="10"/>
        <rFont val="Arial"/>
        <family val="0"/>
        <charset val="1"/>
      </rPr>
      <t xml:space="preserve">illegal residents (</t>
    </r>
    <r>
      <rPr>
        <sz val="10"/>
        <rFont val="Noto Sans CJK SC"/>
        <family val="2"/>
      </rPr>
      <t xml:space="preserve">불법체류자</t>
    </r>
    <r>
      <rPr>
        <sz val="10"/>
        <rFont val="Arial"/>
        <family val="0"/>
        <charset val="1"/>
      </rPr>
      <t xml:space="preserve">) as of 31 AUGUST 2015, NOT year-end - the source column is labelled '2015. 8. </t>
    </r>
    <r>
      <rPr>
        <sz val="10"/>
        <rFont val="Noto Sans CJK SC"/>
        <family val="2"/>
      </rPr>
      <t xml:space="preserve">기준</t>
    </r>
    <r>
      <rPr>
        <sz val="10"/>
        <rFont val="Arial"/>
        <family val="0"/>
        <charset val="1"/>
      </rPr>
      <t xml:space="preserve">' and the table footer reads '2015. 8. 31. </t>
    </r>
    <r>
      <rPr>
        <sz val="10"/>
        <rFont val="Noto Sans CJK SC"/>
        <family val="2"/>
      </rPr>
      <t xml:space="preserve">기준</t>
    </r>
    <r>
      <rPr>
        <sz val="10"/>
        <rFont val="Arial"/>
        <family val="0"/>
        <charset val="1"/>
      </rPr>
      <t xml:space="preserve">'. Not strictly comparable with the 31 December figures for other years; use with care or drop.</t>
    </r>
  </si>
  <si>
    <r>
      <rPr>
        <sz val="10"/>
        <rFont val="Arial"/>
        <family val="0"/>
        <charset val="1"/>
      </rPr>
      <t xml:space="preserve">Ministry of Justice of Korea, Immigration and Foreign Policy Statistics (</t>
    </r>
    <r>
      <rPr>
        <sz val="10"/>
        <rFont val="Noto Sans CJK SC"/>
        <family val="2"/>
      </rPr>
      <t xml:space="preserve">불법체류외국인</t>
    </r>
    <r>
      <rPr>
        <sz val="10"/>
        <rFont val="Arial"/>
        <family val="0"/>
        <charset val="1"/>
      </rPr>
      <t xml:space="preserve">), reported via EKW</t>
    </r>
  </si>
  <si>
    <t xml:space="preserve">https://www.ekw.co.kr/news/articleView.html?idxno=11130</t>
  </si>
  <si>
    <r>
      <rPr>
        <sz val="10"/>
        <rFont val="Arial"/>
        <family val="0"/>
        <charset val="1"/>
      </rPr>
      <t xml:space="preserve">Reference date 31 December 2018. Administrative register count of foreigners in illegal residence (</t>
    </r>
    <r>
      <rPr>
        <sz val="10"/>
        <rFont val="Noto Sans CJK SC"/>
        <family val="2"/>
      </rPr>
      <t xml:space="preserve">불법체류자</t>
    </r>
    <r>
      <rPr>
        <sz val="10"/>
        <rFont val="Arial"/>
        <family val="0"/>
        <charset val="1"/>
      </rPr>
      <t xml:space="preserve">), predominantly overstayers. Figure taken from a secondary report citing the MOJ 2022 monthly statistics bulletin and 2021 statistical yearbook; the MOJ primary files were not directly reachable (robots.txt).</t>
    </r>
  </si>
  <si>
    <r>
      <rPr>
        <sz val="10"/>
        <rFont val="Arial"/>
        <family val="0"/>
        <charset val="1"/>
      </rPr>
      <t xml:space="preserve">Reference date 31 December 2020. Administrative register count of foreigners in illegal residence (</t>
    </r>
    <r>
      <rPr>
        <sz val="10"/>
        <rFont val="Noto Sans CJK SC"/>
        <family val="2"/>
      </rPr>
      <t xml:space="preserve">불법체류자</t>
    </r>
    <r>
      <rPr>
        <sz val="10"/>
        <rFont val="Arial"/>
        <family val="0"/>
        <charset val="1"/>
      </rPr>
      <t xml:space="preserve">), predominantly overstayers. Figure taken from a secondary report citing the MOJ 2022 monthly statistics bulletin and 2021 statistical yearbook; the MOJ primary files were not directly reachable (robots.txt).</t>
    </r>
  </si>
  <si>
    <r>
      <rPr>
        <sz val="10"/>
        <rFont val="Arial"/>
        <family val="0"/>
        <charset val="1"/>
      </rPr>
      <t xml:space="preserve">Reference date 31 December 2021. Administrative register count of foreigners in illegal residence (</t>
    </r>
    <r>
      <rPr>
        <sz val="10"/>
        <rFont val="Noto Sans CJK SC"/>
        <family val="2"/>
      </rPr>
      <t xml:space="preserve">불법체류자</t>
    </r>
    <r>
      <rPr>
        <sz val="10"/>
        <rFont val="Arial"/>
        <family val="0"/>
        <charset val="1"/>
      </rPr>
      <t xml:space="preserve">), predominantly overstayers. Figure taken from a secondary report citing the MOJ 2022 monthly statistics bulletin and 2021 statistical yearbook; the MOJ primary files were not directly reachable (robots.txt). Value ends in '00' and may have been rounded by the secondary source.</t>
    </r>
  </si>
  <si>
    <r>
      <rPr>
        <sz val="10"/>
        <rFont val="Arial"/>
        <family val="0"/>
        <charset val="1"/>
      </rPr>
      <t xml:space="preserve">Reference date 31 December 2022. Administrative register count of foreigners in illegal residence (</t>
    </r>
    <r>
      <rPr>
        <sz val="10"/>
        <rFont val="Noto Sans CJK SC"/>
        <family val="2"/>
      </rPr>
      <t xml:space="preserve">불법체류자</t>
    </r>
    <r>
      <rPr>
        <sz val="10"/>
        <rFont val="Arial"/>
        <family val="0"/>
        <charset val="1"/>
      </rPr>
      <t xml:space="preserve">), predominantly overstayers. Figure taken from a secondary report citing the MOJ 2022 monthly statistics bulletin and 2021 statistical yearbook; the MOJ primary files were not directly reachable (robots.txt).</t>
    </r>
  </si>
  <si>
    <t xml:space="preserve">Lithuania</t>
  </si>
  <si>
    <t xml:space="preserve">LTU</t>
  </si>
  <si>
    <t xml:space="preserve">LT</t>
  </si>
  <si>
    <t xml:space="preserve">440</t>
  </si>
  <si>
    <t xml:space="preserve">https://ec.europa.eu/eurostat/api/dissemination/statistics/1.0/data/migr_pop3ctb?format=JSON&amp;lang=EN&amp;geo=LT&amp;age=TOTAL&amp;sex=T&amp;unit=NR&amp;c_birth=FOR&amp;sinceTimePeriod=2010&amp;untilTimePeriod=2022</t>
  </si>
  <si>
    <t xml:space="preserve">https://ec.europa.eu/eurostat/api/dissemination/statistics/1.0/data/migr_pop1ctz?format=JSON&amp;lang=EN&amp;geo=LT&amp;age=TOTAL&amp;sex=T&amp;unit=NR&amp;citizen=FOR_STLS&amp;sinceTimePeriod=2010&amp;untilTimePeriod=2022</t>
  </si>
  <si>
    <t xml:space="preserve">Mexico</t>
  </si>
  <si>
    <t xml:space="preserve">MEX</t>
  </si>
  <si>
    <t xml:space="preserve">MX</t>
  </si>
  <si>
    <t xml:space="preserve">484</t>
  </si>
  <si>
    <t xml:space="preserve">https://sdmx.oecd.org/public/rest/data/OECD.ELS.IMD,DSD_MIG_F@DF_MIG_POPF,1.0/MEX.W.A.B14._T._Z._Z.PS?startPeriod=2010&amp;endPeriod=2022&amp;format=jsondata&amp;dimensionAtObservation=AllDimensions</t>
  </si>
  <si>
    <t xml:space="preserve">Population born abroad; OECD IMD series sourced from INEGI. 2010 value (961121) corresponds to the Censo de Población y Vivienda 2010. Years 2016, 2017, 2019, 2021 and 2022 are not published.</t>
  </si>
  <si>
    <t xml:space="preserve">https://sdmx.oecd.org/public/rest/data/OECD.ELS.IMD,DSD_MIG@DF_MIG,1.0/MEX.W.A.B15._T._Z._Z.PS?startPeriod=2010&amp;endPeriod=2022&amp;format=jsondata&amp;dimensionAtObservation=AllDimensions</t>
  </si>
  <si>
    <t xml:space="preserve">Foreign nationals resident in Mexico; OECD IMD series sourced from INEGI (Census/ENADID/ENOE). Reference date varies by source year.</t>
  </si>
  <si>
    <t xml:space="preserve">Unidad de Politica Migratoria, Registro e Identidad de Personas (UPMRIP), SEGOB, Boletin de Estadisticas Migratorias, as compiled in IOM Mexico, Estadisticas migratorias 2023</t>
  </si>
  <si>
    <t xml:space="preserve">https://mexico.iom.int/sites/g/files/tmzbdl1686/files/documents/2024-03/estadisticas-migratorias-2023.pdf</t>
  </si>
  <si>
    <t xml:space="preserve">ENFORCEMENT/TRANSIT FLOW, not a stock. EVENTS, not persons: 'eventos de personas en situacion migratoria irregular' presented to the Mexican migration authority during calendar year 2017. One person may be recorded multiple times. Largely transit migrants heading to the United States. Administrative count.</t>
  </si>
  <si>
    <t xml:space="preserve">ENFORCEMENT/TRANSIT FLOW, not a stock. EVENTS, not persons: 'eventos de personas en situacion migratoria irregular' presented to the Mexican migration authority during calendar year 2018. One person may be recorded multiple times. Largely transit migrants. Administrative count.</t>
  </si>
  <si>
    <t xml:space="preserve">ENFORCEMENT/TRANSIT FLOW, not a stock. EVENTS, not persons: 'eventos de personas en situacion migratoria irregular' during calendar year 2019. Largely transit migrants. Administrative count. Independently corroborated at 182,940 in Papeles de Poblacion 29(118), SciELO Mexico, citing UPM.</t>
  </si>
  <si>
    <t xml:space="preserve">ENFORCEMENT/TRANSIT FLOW, not a stock. EVENTS, not persons: 'eventos de personas en situacion migratoria irregular' during calendar year 2020 (COVID-19 year). Largely transit migrants. Administrative count. Independently corroborated at 82,379 in Papeles de Poblacion 29(118), SciELO Mexico.</t>
  </si>
  <si>
    <t xml:space="preserve">ENFORCEMENT/TRANSIT FLOW, not a stock. EVENTS, not persons: 'eventos de personas en situacion migratoria irregular' during calendar year 2021. Largely transit migrants. Administrative count. Independently corroborated at 309,692 in Papeles de Poblacion 29(118), SciELO Mexico, and in the IOM Mexico Q2-2023 bulletin.</t>
  </si>
  <si>
    <t xml:space="preserve">ENFORCEMENT/TRANSIT FLOW, not a stock. EVENTS, not persons: 'eventos de personas en situacion migratoria irregular' during calendar year 2022. Largely transit migrants. Administrative count. Vintage caveat: a later UPM vintage cited in Papeles de Poblacion 29(118) gives 444,439 for 2022; the value here is the IOM/UPMRIP bulletin figure used consistently across 2017-2022.</t>
  </si>
  <si>
    <t xml:space="preserve">Netherlands</t>
  </si>
  <si>
    <t xml:space="preserve">NLD</t>
  </si>
  <si>
    <t xml:space="preserve">NL</t>
  </si>
  <si>
    <t xml:space="preserve">528</t>
  </si>
  <si>
    <t xml:space="preserve">https://ec.europa.eu/eurostat/api/dissemination/statistics/1.0/data/migr_pop3ctb?format=JSON&amp;lang=EN&amp;geo=NL&amp;age=TOTAL&amp;sex=T&amp;unit=NR&amp;c_birth=FOR&amp;sinceTimePeriod=2010&amp;untilTimePeriod=2022</t>
  </si>
  <si>
    <t xml:space="preserve">https://ec.europa.eu/eurostat/api/dissemination/statistics/1.0/data/migr_pop1ctz?format=JSON&amp;lang=EN&amp;geo=NL&amp;age=TOTAL&amp;sex=T&amp;unit=NR&amp;citizen=FOR_STLS&amp;sinceTimePeriod=2010&amp;untilTimePeriod=2022</t>
  </si>
  <si>
    <t xml:space="preserve">Van der Heijden, Cruyff, Van Gils (WODC), Schattingen onrechtmatig in Nederland verblijvende vreemdelingen 2017-2018</t>
  </si>
  <si>
    <t xml:space="preserve">https://www.wodc.nl/actueel/nieuws/2020/12/16/nieuwe-schatting-voor-de-periode-medio-2017---medio-2018</t>
  </si>
  <si>
    <t xml:space="preserve">Capture-recapture; this round used Dual Systems Estimation alongside the truncated Poisson model. Published range approximately 23000-58000 for mid-2017 to mid-2018; value is the midpoint of that range, no point estimate was published. Not strictly comparable with the later 2018-2023 series.</t>
  </si>
  <si>
    <t xml:space="preserve">Van der Heijden, Cruyff, Lugtig, Engbersen, Van Gils (WODC/Utrecht University/Erasmus University Rotterdam), Schattingen onrechtmatig in Nederland verblijvende vreemdelingen medio 2018-2019 tot medio 2022-2023</t>
  </si>
  <si>
    <t xml:space="preserve">https://www.wodc.nl/actueel/nieuws/2026/03/31/nieuwe-schattingen-beschikbaar-over-het-aantal-vreemdelingen-zonder-verblijfsvergunning</t>
  </si>
  <si>
    <t xml:space="preserve">Capture-recapture (truncated Poisson regression) on police apprehension/detention records; reference period is mid-2018 to mid-2019, coded to the starting year. Point estimate with 95% CI 21056-48848. Overlapping CIs mean the 2018-2023 changes are not statistically significant.</t>
  </si>
  <si>
    <t xml:space="preserve">Capture-recapture (truncated Poisson regression) on police apprehension/detention records; reference period is mid-2019 to mid-2020, coded to the starting year. Point estimate with 95% CI 18511-29737. Overlapping CIs mean the 2018-2023 changes are not statistically significant.</t>
  </si>
  <si>
    <t xml:space="preserve">Capture-recapture (truncated Poisson regression) on police apprehension/detention records; reference period is mid-2020 to mid-2021, coded to the starting year. Point estimate with 95% CI 19202-29364. Overlapping CIs mean the 2018-2023 changes are not statistically significant.</t>
  </si>
  <si>
    <t xml:space="preserve">Capture-recapture (truncated Poisson regression) on police apprehension/detention records; reference period is mid-2021 to mid-2022, coded to the starting year. Point estimate with 95% CI 15923-24471. Overlapping CIs mean the 2018-2023 changes are not statistically significant.</t>
  </si>
  <si>
    <t xml:space="preserve">Capture-recapture (truncated Poisson regression) on police apprehension/detention records; reference period is mid-2022 to mid-2023, coded to the starting year. Point estimate with 95% CI 16955-23175. Overlapping CIs mean the 2018-2023 changes are not statistically significant.</t>
  </si>
  <si>
    <t xml:space="preserve">New Zealand</t>
  </si>
  <si>
    <t xml:space="preserve">NZL</t>
  </si>
  <si>
    <t xml:space="preserve">NZ</t>
  </si>
  <si>
    <t xml:space="preserve">554</t>
  </si>
  <si>
    <t xml:space="preserve">https://api.worldbank.org/v2/country/NZL/indicator/SM.POP.TOTL?format=json&amp;date=2010:2022</t>
  </si>
  <si>
    <t xml:space="preserve">UN DESA International Migrant Stock, mid-year estimate. UN DESA publishes only 1990/1995/2000/2005/2010/2015/2020 - 5-year-interval estimate, NOT an annual national figure. Stats NZ publishes overseas-born counts only in census years (2013, 2018, 2023).</t>
  </si>
  <si>
    <t xml:space="preserve">Immigration New Zealand (MBIE), 'OVERSTAYERS' factsheet, October 2018, released under the Official Information Act and published on FYI.org.nz</t>
  </si>
  <si>
    <t xml:space="preserve">https://fyi.org.nz/request/29926/response/118942/attach/4/Appendix%20A%20Immigration%20New%20Zealand%20Overstayers%20Factsheet%202017.pdf</t>
  </si>
  <si>
    <t xml:space="preserve">estimated overstayer population (people unlawfully in New Zealand), reference date October 2010. Register-derived estimate from the INZ overstayer estimate series; INZ notes the methodology was revised for the December 2017 estimate, so figures up to October 2014 / January 2016 are on the older basis. The same table also reports 15,760 for April 2010; the later 2010 estimate is used here.</t>
  </si>
  <si>
    <t xml:space="preserve">estimated overstayer population (people unlawfully in New Zealand), reference date May 2011. Register-derived estimate from the INZ overstayer estimate series; INZ notes the methodology was revised for the December 2017 estimate, so figures up to October 2014 / January 2016 are on the older basis.</t>
  </si>
  <si>
    <t xml:space="preserve">estimated overstayer population (people unlawfully in New Zealand), reference date August 2012. Register-derived estimate from the INZ overstayer estimate series; INZ notes the methodology was revised for the December 2017 estimate, so figures up to October 2014 / January 2016 are on the older basis.</t>
  </si>
  <si>
    <t xml:space="preserve">https://sdmx.oecd.org/public/rest/data/OECD.ELS.IMD,DSD_MIG_F@DF_MIG_POPF,1.0/NZL.W.A.B14._T._Z._Z.PS?startPeriod=2010&amp;endPeriod=2022&amp;format=jsondata&amp;dimensionAtObservation=AllDimensions</t>
  </si>
  <si>
    <t xml:space="preserve">Overseas-born usually resident population from the New Zealand Census of Population and Dwellings (census years only), as compiled by OECD IMD.</t>
  </si>
  <si>
    <t xml:space="preserve">estimated overstayer population (people unlawfully in New Zealand), reference date September 2013. Register-derived estimate from the INZ overstayer estimate series; INZ notes the methodology was revised for the December 2017 estimate, so figures up to October 2014 / January 2016 are on the older basis.</t>
  </si>
  <si>
    <t xml:space="preserve">estimated overstayer population (people unlawfully in New Zealand), reference date October 2014. Register-derived estimate from the INZ overstayer estimate series; INZ notes the methodology was revised for the December 2017 estimate, so figures up to October 2014 / January 2016 are on the older basis.</t>
  </si>
  <si>
    <t xml:space="preserve">estimated overstayer population (people unlawfully in New Zealand), reference date December 2016. Register-derived estimate from the INZ overstayer estimate series; INZ notes the methodology was revised for the December 2017 estimate, so figures up to October 2014 / January 2016 are on the older basis. The same table also reports 10,848 for January 2016; the December 2016 estimate is used here.</t>
  </si>
  <si>
    <t xml:space="preserve">Immigration New Zealand, New estimate of people who have overstayed their visa (5 September 2025)</t>
  </si>
  <si>
    <t xml:space="preserve">https://immigration.govt.nz/assets/inz/documents/visa-paks/5-September-2025-New-estimate-of-people-who-have-overstayed-their-visa.pdf</t>
  </si>
  <si>
    <t xml:space="preserve">Reference year 2017. Register-derived estimate of the overstayer population, published as 'approximately 14,000'; INZ states it is not directly comparable with its later (2025) estimate because the methodology changed.</t>
  </si>
  <si>
    <t xml:space="preserve">Norway</t>
  </si>
  <si>
    <t xml:space="preserve">NOR</t>
  </si>
  <si>
    <t xml:space="preserve">NO</t>
  </si>
  <si>
    <t xml:space="preserve">578</t>
  </si>
  <si>
    <t xml:space="preserve">https://ec.europa.eu/eurostat/api/dissemination/statistics/1.0/data/migr_pop3ctb?format=JSON&amp;lang=EN&amp;geo=NO&amp;age=TOTAL&amp;sex=T&amp;unit=NR&amp;c_birth=FOR&amp;sinceTimePeriod=2010&amp;untilTimePeriod=2022</t>
  </si>
  <si>
    <t xml:space="preserve">https://ec.europa.eu/eurostat/api/dissemination/statistics/1.0/data/migr_pop1ctz?format=JSON&amp;lang=EN&amp;geo=NO&amp;age=TOTAL&amp;sex=T&amp;unit=NR&amp;citizen=FOR_STLS&amp;sinceTimePeriod=2010&amp;untilTimePeriod=2022</t>
  </si>
  <si>
    <t xml:space="preserve">Philippines</t>
  </si>
  <si>
    <t xml:space="preserve">PHL</t>
  </si>
  <si>
    <t xml:space="preserve">PH</t>
  </si>
  <si>
    <t xml:space="preserve">608</t>
  </si>
  <si>
    <t xml:space="preserve">National Statistics Office (Philippines) - 2010 Census of Population and Housing (reported by SunStar)</t>
  </si>
  <si>
    <t xml:space="preserve">https://www.sunstar.com.ph/bacolod/nearly-200000-foreigners-living-in-philippines-census</t>
  </si>
  <si>
    <t xml:space="preserve">Census count, reference date 1 May 2010; foreign citizens in the household population; top nationalities USA 29959, China 28750, Japan 11583, India 8963; figure reported from an NSO news release, the original PSA/NSO web page was not reachable</t>
  </si>
  <si>
    <t xml:space="preserve">Philippine Statistics Authority - Foreign Citizens in the Country (2020 Census of Population and Housing)</t>
  </si>
  <si>
    <t xml:space="preserve">https://psa.gov.ph/content/foreign-citizens-country-2020-census-population-and-housing</t>
  </si>
  <si>
    <t xml:space="preserve">Census count, reference date 1 May 2020; foreign citizens in the household population of 108667043 (0.1 per cent); top nationalities China 22494, India 18959, USA 6306; the Philippines is primarily a sending country</t>
  </si>
  <si>
    <t xml:space="preserve">Poland</t>
  </si>
  <si>
    <t xml:space="preserve">POL</t>
  </si>
  <si>
    <t xml:space="preserve">PL</t>
  </si>
  <si>
    <t xml:space="preserve">616</t>
  </si>
  <si>
    <t xml:space="preserve">https://ec.europa.eu/eurostat/api/dissemination/statistics/1.0/data/migr_pop3ctb?format=JSON&amp;lang=EN&amp;geo=PL&amp;age=TOTAL&amp;sex=T&amp;unit=NR&amp;c_birth=FOR&amp;sinceTimePeriod=2010&amp;untilTimePeriod=2022</t>
  </si>
  <si>
    <t xml:space="preserve">https://ec.europa.eu/eurostat/api/dissemination/statistics/1.0/data/migr_pop1ctz?format=JSON&amp;lang=EN&amp;geo=PL&amp;age=TOTAL&amp;sex=T&amp;unit=NR&amp;citizen=FOR_STLS&amp;sinceTimePeriod=2010&amp;untilTimePeriod=2022</t>
  </si>
  <si>
    <t xml:space="preserve">Portugal</t>
  </si>
  <si>
    <t xml:space="preserve">PRT</t>
  </si>
  <si>
    <t xml:space="preserve">PT</t>
  </si>
  <si>
    <t xml:space="preserve">620</t>
  </si>
  <si>
    <t xml:space="preserve">https://ec.europa.eu/eurostat/api/dissemination/statistics/1.0/data/migr_pop3ctb?format=JSON&amp;lang=EN&amp;geo=PT&amp;age=TOTAL&amp;sex=T&amp;unit=NR&amp;c_birth=FOR&amp;sinceTimePeriod=2010&amp;untilTimePeriod=2022</t>
  </si>
  <si>
    <t xml:space="preserve">https://ec.europa.eu/eurostat/api/dissemination/statistics/1.0/data/migr_pop1ctz?format=JSON&amp;lang=EN&amp;geo=PT&amp;age=TOTAL&amp;sex=T&amp;unit=NR&amp;citizen=FOR_STLS&amp;sinceTimePeriod=2010&amp;untilTimePeriod=2022</t>
  </si>
  <si>
    <t xml:space="preserve">Russia</t>
  </si>
  <si>
    <t xml:space="preserve">RUS</t>
  </si>
  <si>
    <t xml:space="preserve">RU</t>
  </si>
  <si>
    <t xml:space="preserve">643</t>
  </si>
  <si>
    <t xml:space="preserve">UN estimate (not annual); mid-year benchmark year only; largely reflects persons born in other former-USSR republics; retrieved from World Bank mirror of UN DESA International Migrant Stock, accessed 2026-08</t>
  </si>
  <si>
    <t xml:space="preserve">UN estimate (not annual); mid-year benchmark year only; largely reflects persons born in other former-USSR republics; excludes most temporary labour migrants; retrieved from World Bank mirror of UN DESA International Migrant Stock, accessed 2026-08</t>
  </si>
  <si>
    <t xml:space="preserve">Russian Ministry of Internal Affairs (MVD) data, reported by The Moscow Times, 16 April 2021</t>
  </si>
  <si>
    <t xml:space="preserve">https://www.themoscowtimes.com/2021/04/16/russia-tells-illegal-migrants-from-post-soviet-countries-to-leave-by-june-15-a73623</t>
  </si>
  <si>
    <t xml:space="preserve">ADMINISTRATIVE COUNT, not a modelled stock and not an enforcement flow: MVD register of nationals of post-Soviet/CIS states residing in Russia without valid documentation, as at late 2020. LOWER BOUND: source states 'more than 1.2 million'; recorded here as 1,200,000. Covers CIS nationals only (Uzbekistan 332,000; Tajikistan 247,000; Ukraine 152,000; Azerbaijan 120,000; Kyrgyzstan 115,000; Armenia 61,000; Moldova 56,000; Kazakhstan 49,000) and therefore excludes non-CIS irregular migrants. No published method statement accompanies the figure.</t>
  </si>
  <si>
    <t xml:space="preserve">Slovak Republic</t>
  </si>
  <si>
    <t xml:space="preserve">SVK</t>
  </si>
  <si>
    <t xml:space="preserve">SK</t>
  </si>
  <si>
    <t xml:space="preserve">703</t>
  </si>
  <si>
    <t xml:space="preserve">https://ec.europa.eu/eurostat/api/dissemination/statistics/1.0/data/migr_pop3ctb?format=JSON&amp;lang=EN&amp;geo=SK&amp;age=TOTAL&amp;sex=T&amp;unit=NR&amp;c_birth=FOR&amp;sinceTimePeriod=2010&amp;untilTimePeriod=2022</t>
  </si>
  <si>
    <t xml:space="preserve">https://ec.europa.eu/eurostat/api/dissemination/statistics/1.0/data/migr_pop1ctz?format=JSON&amp;lang=EN&amp;geo=SK&amp;age=TOTAL&amp;sex=T&amp;unit=NR&amp;citizen=FOR_STLS&amp;sinceTimePeriod=2010&amp;untilTimePeriod=2022</t>
  </si>
  <si>
    <t xml:space="preserve">Slovenia</t>
  </si>
  <si>
    <t xml:space="preserve">SVN</t>
  </si>
  <si>
    <t xml:space="preserve">SI</t>
  </si>
  <si>
    <t xml:space="preserve">705</t>
  </si>
  <si>
    <t xml:space="preserve">https://ec.europa.eu/eurostat/api/dissemination/statistics/1.0/data/migr_pop3ctb?format=JSON&amp;lang=EN&amp;geo=SI&amp;age=TOTAL&amp;sex=T&amp;unit=NR&amp;c_birth=FOR&amp;sinceTimePeriod=2010&amp;untilTimePeriod=2022</t>
  </si>
  <si>
    <t xml:space="preserve">https://ec.europa.eu/eurostat/api/dissemination/statistics/1.0/data/migr_pop1ctz?format=JSON&amp;lang=EN&amp;geo=SI&amp;age=TOTAL&amp;sex=T&amp;unit=NR&amp;citizen=FOR_STLS&amp;sinceTimePeriod=2010&amp;untilTimePeriod=2022</t>
  </si>
  <si>
    <t xml:space="preserve">South Africa</t>
  </si>
  <si>
    <t xml:space="preserve">ZAF</t>
  </si>
  <si>
    <t xml:space="preserve">ZA</t>
  </si>
  <si>
    <t xml:space="preserve">710</t>
  </si>
  <si>
    <t xml:space="preserve">1 October (census)</t>
  </si>
  <si>
    <t xml:space="preserve">Statistics South Africa - Census 2011 (as tabulated in the Census 2022 Statistical Release P0301.4)</t>
  </si>
  <si>
    <t xml:space="preserve">https://census.statssa.gov.za/assets/documents/2022/P03014_Census_2022_Statistical_Release.pdf</t>
  </si>
  <si>
    <t xml:space="preserve">Census count, reference date 9-31 Oct 2011; persons born outside South Africa; comparable series in the same table: Census 1996 = 835216, Census 2001 = 1025076</t>
  </si>
  <si>
    <t xml:space="preserve">UN estimate (not annual); mid-year benchmark year only; markedly higher than the Stats SA census counts for adjacent years; retrieved from World Bank mirror of UN DESA International Migrant Stock, accessed 2026-08</t>
  </si>
  <si>
    <t xml:space="preserve">Statistics South Africa - Community Survey 2016 (presented to the UN Expert Forum on International Migration Statistics 2023)</t>
  </si>
  <si>
    <t xml:space="preserve">https://unstats.un.org/unsd/demographic-social/migrationstat-forum-2023/presentations/E.3/4.Itani-StatsSA.pdf</t>
  </si>
  <si>
    <t xml:space="preserve">Large-scale household survey (not a census); persons born outside South Africa; Stats SA itself flags the 2011-2016 decline as anomalous, so treat with caution</t>
  </si>
  <si>
    <t xml:space="preserve">Statistics South Africa - Census 2022 Statistical Release P0301.4</t>
  </si>
  <si>
    <t xml:space="preserve">Census count, reference night 2-3 Feb 2022 (nearest census to 2021); persons born outside South Africa, just above 3 per cent of the total population; a separate Stats SA Income and Expenditure Survey 2022/23 put the foreign-born population higher at about 3.1 million</t>
  </si>
  <si>
    <t xml:space="preserve">Spain</t>
  </si>
  <si>
    <t xml:space="preserve">ESP</t>
  </si>
  <si>
    <t xml:space="preserve">ES</t>
  </si>
  <si>
    <t xml:space="preserve">724</t>
  </si>
  <si>
    <t xml:space="preserve">https://ec.europa.eu/eurostat/api/dissemination/statistics/1.0/data/migr_pop3ctb?format=JSON&amp;lang=EN&amp;geo=ES&amp;age=TOTAL&amp;sex=T&amp;unit=NR&amp;c_birth=FOR&amp;sinceTimePeriod=2010&amp;untilTimePeriod=2022</t>
  </si>
  <si>
    <t xml:space="preserve">https://ec.europa.eu/eurostat/api/dissemination/statistics/1.0/data/migr_pop1ctz?format=JSON&amp;lang=EN&amp;geo=ES&amp;age=TOTAL&amp;sex=T&amp;unit=NR&amp;citizen=FOR_STLS&amp;sinceTimePeriod=2010&amp;untilTimePeriod=2022</t>
  </si>
  <si>
    <t xml:space="preserve">Funcas (2024), Estimacion de la poblacion en situacion irregular en Espana, Cuadro 1, Estimacion 2</t>
  </si>
  <si>
    <t xml:space="preserve">https://www.funcas.es/wp-content/uploads/2024/05/2405-NCS.pdf</t>
  </si>
  <si>
    <t xml:space="preserve">Modelled resident stock: padron-residual estimate, non-EU/non-EFTA/non-UK nationals. Reference date 1 January 2017. Estimacion 2 counts only nationality groups with positive padron-minus-permits differences; Funcas presents it as the more precise variant. Estimacion 1 for 2017 is negative (-41,391) and is therefore not recorded as a stock. Printed value in Cuadro 1.</t>
  </si>
  <si>
    <t xml:space="preserve">Modelled resident stock: padron-residual estimate, non-EU/non-EFTA/non-UK nationals. Reference date 1 January 2018. Estimacion 2 counts only nationality groups with positive differences. Printed value in Cuadro 1.</t>
  </si>
  <si>
    <t xml:space="preserve">Modelled resident stock: padron-residual estimate, non-EU/non-EFTA/non-UK nationals. Reference date 1 January 2019. Estimacion 2 counts only nationality groups with positive differences. Printed value in Cuadro 1.</t>
  </si>
  <si>
    <t xml:space="preserve">Modelled resident stock: padron-residual estimate, non-EU/non-EFTA/non-UK nationals. Reference date 1 January 2020. Estimacion 2 counts only nationality groups with positive differences. Printed value in Cuadro 1.</t>
  </si>
  <si>
    <t xml:space="preserve">Modelled resident stock: padron-residual estimate, non-EU/non-EFTA/non-UK nationals. Reference date 1 January 2021. Estimacion 2 counts only nationality groups with positive differences; Funcas presents it as the more precise variant. Estimacion 1 for the same date is 446,557. Printed value in Cuadro 1.</t>
  </si>
  <si>
    <t xml:space="preserve">Modelled resident stock: padron-residual estimate, non-EU/non-EFTA/non-UK nationals. Reference date 1 January 2022. Estimacion 2 counts only nationality groups with positive differences. This is the value the Funcas text describes as 'unas 480.000 personas a finales de 2021'. Printed value in Cuadro 1.</t>
  </si>
  <si>
    <t xml:space="preserve">Suriname</t>
  </si>
  <si>
    <t xml:space="preserve">SUR</t>
  </si>
  <si>
    <t xml:space="preserve">SR</t>
  </si>
  <si>
    <t xml:space="preserve">740</t>
  </si>
  <si>
    <t xml:space="preserve">General Bureau of Statistics Suriname (ABS) - Census 8 (2012) Volume 1 Demographic and Social Characteristics and Migration</t>
  </si>
  <si>
    <t xml:space="preserve">https://statistics-suriname.org/wp-content/uploads/2019/05/Publicatie-Census-8-Volume-1-Demografische-en-Sociale-Karakteristieken-en-Migratie.pdf</t>
  </si>
  <si>
    <t xml:space="preserve">Census count, reference date 13 Aug 2012 (de jure population 541638); persons born abroad = 6.5 per cent of the population (Table I); the 2012 census is the most recent published Suriname census, no 2022/2023 census results are available</t>
  </si>
  <si>
    <t xml:space="preserve">Census count, reference date 13 Aug 2012; persons with a non-Surinamese nationality (Table H2): Dutch 10248, Guyanese 8278, Brazilian 5027, Chinese 3758, French 3575, other 2167, nationality unknown 3340 - the published total therefore includes 3340 persons of unknown nationality</t>
  </si>
  <si>
    <t xml:space="preserve">Sweden</t>
  </si>
  <si>
    <t xml:space="preserve">SWE</t>
  </si>
  <si>
    <t xml:space="preserve">SE</t>
  </si>
  <si>
    <t xml:space="preserve">752</t>
  </si>
  <si>
    <t xml:space="preserve">https://ec.europa.eu/eurostat/api/dissemination/statistics/1.0/data/migr_pop3ctb?format=JSON&amp;lang=EN&amp;geo=SE&amp;age=TOTAL&amp;sex=T&amp;unit=NR&amp;c_birth=FOR&amp;sinceTimePeriod=2010&amp;untilTimePeriod=2022</t>
  </si>
  <si>
    <t xml:space="preserve">https://ec.europa.eu/eurostat/api/dissemination/statistics/1.0/data/migr_pop1ctz?format=JSON&amp;lang=EN&amp;geo=SE&amp;age=TOTAL&amp;sex=T&amp;unit=NR&amp;citizen=FOR_STLS&amp;sinceTimePeriod=2010&amp;untilTimePeriod=2022</t>
  </si>
  <si>
    <t xml:space="preserve">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</si>
  <si>
    <t xml:space="preserve">Switzerland</t>
  </si>
  <si>
    <t xml:space="preserve">CHE</t>
  </si>
  <si>
    <t xml:space="preserve">CH</t>
  </si>
  <si>
    <t xml:space="preserve">756</t>
  </si>
  <si>
    <t xml:space="preserve">https://ec.europa.eu/eurostat/api/dissemination/statistics/1.0/data/migr_pop1ctz?format=JSON&amp;lang=EN&amp;geo=CH&amp;age=TOTAL&amp;sex=T&amp;unit=NR&amp;citizen=FOR_STLS&amp;sinceTimePeriod=2010&amp;untilTimePeriod=2022</t>
  </si>
  <si>
    <t xml:space="preserve">https://ec.europa.eu/eurostat/api/dissemination/statistics/1.0/data/migr_pop3ctb?format=JSON&amp;lang=EN&amp;geo=CH&amp;age=TOTAL&amp;sex=T&amp;unit=NR&amp;c_birth=FOR&amp;sinceTimePeriod=2010&amp;untilTimePeriod=2022</t>
  </si>
  <si>
    <t xml:space="preserve">stock at 1 Jan; c_birth=FOR (born in a foreign country); Eurostat series for Switzerland starts in 2011</t>
  </si>
  <si>
    <t xml:space="preserve">Morlok, Oswald, Meier, Efionayi-Mader, Ruedin, Bader, Wanner (2015), Sans-Papiers in der Schweiz 2015, State Secretariat for Migration (SEM)</t>
  </si>
  <si>
    <t xml:space="preserve">https://www.sem.admin.ch/dam/sem/de/data/internationales/illegale-migration/sans_papiers/ber-sanspapiers-2015-d.pdf</t>
  </si>
  <si>
    <t xml:space="preserve">Expert-interview / Delphi estimate for 12 cantons extrapolated by regression to the remaining 15 cantons, cross-checked against ZEMIS, AHV and vital-statistics data; point estimate 76000, plausible range 50000-99000. Covers third-country (non-EU/EFTA) nationals only.</t>
  </si>
  <si>
    <t xml:space="preserve">Taiwan</t>
  </si>
  <si>
    <t xml:space="preserve">TWN</t>
  </si>
  <si>
    <t xml:space="preserve">TW</t>
  </si>
  <si>
    <t xml:space="preserve">158</t>
  </si>
  <si>
    <r>
      <rPr>
        <sz val="10"/>
        <rFont val="Noto Sans CJK SC"/>
        <family val="2"/>
      </rPr>
      <t xml:space="preserve">內政部統計處 內政統計年報 </t>
    </r>
    <r>
      <rPr>
        <sz val="10"/>
        <rFont val="Arial"/>
        <family val="0"/>
        <charset val="1"/>
      </rPr>
      <t xml:space="preserve">108</t>
    </r>
    <r>
      <rPr>
        <sz val="10"/>
        <rFont val="Noto Sans CJK SC"/>
        <family val="2"/>
      </rPr>
      <t xml:space="preserve">年版 </t>
    </r>
    <r>
      <rPr>
        <sz val="10"/>
        <rFont val="Arial"/>
        <family val="0"/>
        <charset val="1"/>
      </rPr>
      <t xml:space="preserve">(MOI Dept. of Statistics, Statistical Yearbook of Interior, 2019 ed.)</t>
    </r>
  </si>
  <si>
    <t xml:space="preserve">https://ws.moi.gov.tw/Download.ashx?u=LzAwMS9VcGxvYWQvNDAwL3JlbGZpbGUvMC8xMzMzNy9jNDg1YjU2OC1lNWU2LTRkYTItYWIwZS1lMTJlNmVmZjBkZTIucGRm&amp;n=MTA45bm05YWn5pS%2f57Wx6KiI5bm05aCx6Zu75a2Q5pu4LnBkZg%3d%3d&amp;icon=.pdf</t>
  </si>
  <si>
    <r>
      <rPr>
        <sz val="10"/>
        <rFont val="Arial"/>
        <family val="0"/>
        <charset val="1"/>
      </rPr>
      <t xml:space="preserve">Ministry of Labor, Republic of China (Taiwan), Monthly Bulletin of Labour Statistics, Table 12-7 Status of the Missing Foreign Workers by Nationality (</t>
    </r>
    <r>
      <rPr>
        <sz val="10"/>
        <rFont val="Noto Sans CJK SC"/>
        <family val="2"/>
      </rPr>
      <t xml:space="preserve">表 </t>
    </r>
    <r>
      <rPr>
        <sz val="10"/>
        <rFont val="Arial"/>
        <family val="0"/>
        <charset val="1"/>
      </rPr>
      <t xml:space="preserve">12-7 </t>
    </r>
    <r>
      <rPr>
        <sz val="10"/>
        <rFont val="Noto Sans CJK SC"/>
        <family val="2"/>
      </rPr>
      <t xml:space="preserve">失聯移工概況—按國籍分</t>
    </r>
    <r>
      <rPr>
        <sz val="10"/>
        <rFont val="Arial"/>
        <family val="0"/>
        <charset val="1"/>
      </rPr>
      <t xml:space="preserve">)</t>
    </r>
  </si>
  <si>
    <t xml:space="preserve">https://statdb.mol.gov.tw/html/mon/212070.pdf</t>
  </si>
  <si>
    <r>
      <rPr>
        <sz val="10"/>
        <rFont val="Arial"/>
        <family val="0"/>
        <charset val="1"/>
      </rPr>
      <t xml:space="preserve">absconded / missing migrant workers (</t>
    </r>
    <r>
      <rPr>
        <sz val="10"/>
        <rFont val="Noto Sans CJK SC"/>
        <family val="2"/>
      </rPr>
      <t xml:space="preserve">失聯移工</t>
    </r>
    <r>
      <rPr>
        <sz val="10"/>
        <rFont val="Arial"/>
        <family val="0"/>
        <charset val="1"/>
      </rPr>
      <t xml:space="preserve">), stock at END OF YEAR 2011. Counts migrant workers whose employment permit has lapsed and who have not been located. This is the Ministry of Labor absconded-worker measure, a DIFFERENT series from the National Immigration Agency </t>
    </r>
    <r>
      <rPr>
        <sz val="10"/>
        <rFont val="Noto Sans CJK SC"/>
        <family val="2"/>
      </rPr>
      <t xml:space="preserve">逾期停留</t>
    </r>
    <r>
      <rPr>
        <sz val="10"/>
        <rFont val="Arial"/>
        <family val="0"/>
        <charset val="1"/>
      </rPr>
      <t xml:space="preserve">/</t>
    </r>
    <r>
      <rPr>
        <sz val="10"/>
        <rFont val="Noto Sans CJK SC"/>
        <family val="2"/>
      </rPr>
      <t xml:space="preserve">逾期居留 </t>
    </r>
    <r>
      <rPr>
        <sz val="10"/>
        <rFont val="Arial"/>
        <family val="0"/>
        <charset val="1"/>
      </rPr>
      <t xml:space="preserve">(overstaying visit / overstaying residence) counts used for TWN 2014-2018; the two are not additive and not directly comparable.</t>
    </r>
  </si>
  <si>
    <r>
      <rPr>
        <sz val="10"/>
        <rFont val="Arial"/>
        <family val="0"/>
        <charset val="1"/>
      </rPr>
      <t xml:space="preserve">Taiwan Ministry of the Interior, Department of Statistics (</t>
    </r>
    <r>
      <rPr>
        <sz val="10"/>
        <rFont val="Noto Sans CJK SC"/>
        <family val="2"/>
      </rPr>
      <t xml:space="preserve">內政統計通報</t>
    </r>
    <r>
      <rPr>
        <sz val="10"/>
        <rFont val="Arial"/>
        <family val="0"/>
        <charset val="1"/>
      </rPr>
      <t xml:space="preserve">), foreign residents </t>
    </r>
    <r>
      <rPr>
        <sz val="10"/>
        <rFont val="Noto Sans CJK SC"/>
        <family val="2"/>
      </rPr>
      <t xml:space="preserve">外僑居留人數</t>
    </r>
  </si>
  <si>
    <t xml:space="preserve">https://ws.moi.gov.tw/Download.ashx?u=LzAwMS9VcGxvYWQvNDAwL3JlbGZpbGUvMC8xNjA3NS8yZTk5ODk4OC05MTI4LTQ3Y2MtYTUwZi0yZjIwNzkzODk4ZDUucGRm&amp;n=Mi7lpJbnsY3kurrlo6sucGRm&amp;icon=.pdf</t>
  </si>
  <si>
    <r>
      <rPr>
        <sz val="10"/>
        <rFont val="Arial"/>
        <family val="0"/>
        <charset val="1"/>
      </rPr>
      <t xml:space="preserve">Foreign residents holding a valid resident certificate (</t>
    </r>
    <r>
      <rPr>
        <sz val="10"/>
        <rFont val="Noto Sans CJK SC"/>
        <family val="2"/>
      </rPr>
      <t xml:space="preserve">外僑居留人數</t>
    </r>
    <r>
      <rPr>
        <sz val="10"/>
        <rFont val="Arial"/>
        <family val="0"/>
        <charset val="1"/>
      </rPr>
      <t xml:space="preserve">), year-end 31 December. INCLUDES migrant workers (</t>
    </r>
    <r>
      <rPr>
        <sz val="10"/>
        <rFont val="Noto Sans CJK SC"/>
        <family val="2"/>
      </rPr>
      <t xml:space="preserve">移工</t>
    </r>
    <r>
      <rPr>
        <sz val="10"/>
        <rFont val="Arial"/>
        <family val="0"/>
        <charset val="1"/>
      </rPr>
      <t xml:space="preserve">), who are roughly 75-84% of the total. EXCLUDES people from Mainland China, Hong Kong and Macau (including Mainland Chinese spouses </t>
    </r>
    <r>
      <rPr>
        <sz val="10"/>
        <rFont val="Noto Sans CJK SC"/>
        <family val="2"/>
      </rPr>
      <t xml:space="preserve">陸配</t>
    </r>
    <r>
      <rPr>
        <sz val="10"/>
        <rFont val="Arial"/>
        <family val="0"/>
        <charset val="1"/>
      </rPr>
      <t xml:space="preserve">), who are counted separately. Series on this basis begins in 2012; 2010 and 2011 are not available on a comparable basis.</t>
    </r>
  </si>
  <si>
    <r>
      <rPr>
        <sz val="10"/>
        <rFont val="Arial"/>
        <family val="0"/>
        <charset val="1"/>
      </rPr>
      <t xml:space="preserve">absconded / missing migrant workers (</t>
    </r>
    <r>
      <rPr>
        <sz val="10"/>
        <rFont val="Noto Sans CJK SC"/>
        <family val="2"/>
      </rPr>
      <t xml:space="preserve">失聯移工</t>
    </r>
    <r>
      <rPr>
        <sz val="10"/>
        <rFont val="Arial"/>
        <family val="0"/>
        <charset val="1"/>
      </rPr>
      <t xml:space="preserve">), stock at END OF YEAR 2012. Counts migrant workers whose employment permit has lapsed and who have not been located. This is the Ministry of Labor absconded-worker measure, a DIFFERENT series from the National Immigration Agency </t>
    </r>
    <r>
      <rPr>
        <sz val="10"/>
        <rFont val="Noto Sans CJK SC"/>
        <family val="2"/>
      </rPr>
      <t xml:space="preserve">逾期停留</t>
    </r>
    <r>
      <rPr>
        <sz val="10"/>
        <rFont val="Arial"/>
        <family val="0"/>
        <charset val="1"/>
      </rPr>
      <t xml:space="preserve">/</t>
    </r>
    <r>
      <rPr>
        <sz val="10"/>
        <rFont val="Noto Sans CJK SC"/>
        <family val="2"/>
      </rPr>
      <t xml:space="preserve">逾期居留 </t>
    </r>
    <r>
      <rPr>
        <sz val="10"/>
        <rFont val="Arial"/>
        <family val="0"/>
        <charset val="1"/>
      </rPr>
      <t xml:space="preserve">(overstaying visit / overstaying residence) counts used for TWN 2014-2018; the two are not additive and not directly comparable.</t>
    </r>
  </si>
  <si>
    <r>
      <rPr>
        <sz val="10"/>
        <rFont val="Arial"/>
        <family val="0"/>
        <charset val="1"/>
      </rPr>
      <t xml:space="preserve">absconded / missing migrant workers (</t>
    </r>
    <r>
      <rPr>
        <sz val="10"/>
        <rFont val="Noto Sans CJK SC"/>
        <family val="2"/>
      </rPr>
      <t xml:space="preserve">失聯移工</t>
    </r>
    <r>
      <rPr>
        <sz val="10"/>
        <rFont val="Arial"/>
        <family val="0"/>
        <charset val="1"/>
      </rPr>
      <t xml:space="preserve">), stock at END OF YEAR 2013. Counts migrant workers whose employment permit has lapsed and who have not been located. This is the Ministry of Labor absconded-worker measure, a DIFFERENT series from the National Immigration Agency </t>
    </r>
    <r>
      <rPr>
        <sz val="10"/>
        <rFont val="Noto Sans CJK SC"/>
        <family val="2"/>
      </rPr>
      <t xml:space="preserve">逾期停留</t>
    </r>
    <r>
      <rPr>
        <sz val="10"/>
        <rFont val="Arial"/>
        <family val="0"/>
        <charset val="1"/>
      </rPr>
      <t xml:space="preserve">/</t>
    </r>
    <r>
      <rPr>
        <sz val="10"/>
        <rFont val="Noto Sans CJK SC"/>
        <family val="2"/>
      </rPr>
      <t xml:space="preserve">逾期居留 </t>
    </r>
    <r>
      <rPr>
        <sz val="10"/>
        <rFont val="Arial"/>
        <family val="0"/>
        <charset val="1"/>
      </rPr>
      <t xml:space="preserve">(overstaying visit / overstaying residence) counts used for TWN 2014-2018; the two are not additive and not directly comparable.</t>
    </r>
  </si>
  <si>
    <r>
      <rPr>
        <sz val="10"/>
        <rFont val="Arial"/>
        <family val="0"/>
        <charset val="1"/>
      </rPr>
      <t xml:space="preserve">National Immigration Agency (</t>
    </r>
    <r>
      <rPr>
        <sz val="10"/>
        <rFont val="Noto Sans CJK SC"/>
        <family val="2"/>
      </rPr>
      <t xml:space="preserve">內政部移民署</t>
    </r>
    <r>
      <rPr>
        <sz val="10"/>
        <rFont val="Arial"/>
        <family val="0"/>
        <charset val="1"/>
      </rPr>
      <t xml:space="preserve">), reported by the Legislative Yuan Budget Center</t>
    </r>
  </si>
  <si>
    <t xml:space="preserve">https://www.ly.gov.tw/Pages/Detail.aspx?nodeid=33580&amp;pid=188916</t>
  </si>
  <si>
    <r>
      <rPr>
        <sz val="10"/>
        <rFont val="Arial"/>
        <family val="0"/>
        <charset val="1"/>
      </rPr>
      <t xml:space="preserve">Reference date 31 December 2014. Administrative register count of overstaying foreign nationals: 49265 overstaying residence (</t>
    </r>
    <r>
      <rPr>
        <sz val="10"/>
        <rFont val="Noto Sans CJK SC"/>
        <family val="2"/>
      </rPr>
      <t xml:space="preserve">逾期居留</t>
    </r>
    <r>
      <rPr>
        <sz val="10"/>
        <rFont val="Arial"/>
        <family val="0"/>
        <charset val="1"/>
      </rPr>
      <t xml:space="preserve">) plus 19733 overstaying visit (</t>
    </r>
    <r>
      <rPr>
        <sz val="10"/>
        <rFont val="Noto Sans CJK SC"/>
        <family val="2"/>
      </rPr>
      <t xml:space="preserve">逾期停留</t>
    </r>
    <r>
      <rPr>
        <sz val="10"/>
        <rFont val="Arial"/>
        <family val="0"/>
        <charset val="1"/>
      </rPr>
      <t xml:space="preserve">). Source is a Legislative Yuan Budget Center report (Oct 2019) reproducing NIA figures.</t>
    </r>
  </si>
  <si>
    <r>
      <rPr>
        <sz val="10"/>
        <rFont val="Arial"/>
        <family val="0"/>
        <charset val="1"/>
      </rPr>
      <t xml:space="preserve">Reference date 31 December 2015. Administrative register count of overstaying foreign nationals: 56557 overstaying residence (</t>
    </r>
    <r>
      <rPr>
        <sz val="10"/>
        <rFont val="Noto Sans CJK SC"/>
        <family val="2"/>
      </rPr>
      <t xml:space="preserve">逾期居留</t>
    </r>
    <r>
      <rPr>
        <sz val="10"/>
        <rFont val="Arial"/>
        <family val="0"/>
        <charset val="1"/>
      </rPr>
      <t xml:space="preserve">) plus 20865 overstaying visit (</t>
    </r>
    <r>
      <rPr>
        <sz val="10"/>
        <rFont val="Noto Sans CJK SC"/>
        <family val="2"/>
      </rPr>
      <t xml:space="preserve">逾期停留</t>
    </r>
    <r>
      <rPr>
        <sz val="10"/>
        <rFont val="Arial"/>
        <family val="0"/>
        <charset val="1"/>
      </rPr>
      <t xml:space="preserve">). Source is a Legislative Yuan Budget Center report (Oct 2019) reproducing NIA figures.</t>
    </r>
  </si>
  <si>
    <r>
      <rPr>
        <sz val="10"/>
        <rFont val="Arial"/>
        <family val="0"/>
        <charset val="1"/>
      </rPr>
      <t xml:space="preserve">Reference date 31 December 2016. Administrative register count of overstaying foreign nationals: 58700 overstaying residence (</t>
    </r>
    <r>
      <rPr>
        <sz val="10"/>
        <rFont val="Noto Sans CJK SC"/>
        <family val="2"/>
      </rPr>
      <t xml:space="preserve">逾期居留</t>
    </r>
    <r>
      <rPr>
        <sz val="10"/>
        <rFont val="Arial"/>
        <family val="0"/>
        <charset val="1"/>
      </rPr>
      <t xml:space="preserve">) plus 20692 overstaying visit (</t>
    </r>
    <r>
      <rPr>
        <sz val="10"/>
        <rFont val="Noto Sans CJK SC"/>
        <family val="2"/>
      </rPr>
      <t xml:space="preserve">逾期停留</t>
    </r>
    <r>
      <rPr>
        <sz val="10"/>
        <rFont val="Arial"/>
        <family val="0"/>
        <charset val="1"/>
      </rPr>
      <t xml:space="preserve">). Source is a Legislative Yuan Budget Center report (Oct 2019) reproducing NIA figures.</t>
    </r>
  </si>
  <si>
    <r>
      <rPr>
        <sz val="10"/>
        <rFont val="Noto Sans CJK SC"/>
        <family val="2"/>
      </rPr>
      <t xml:space="preserve">內政部統計處 內政統計月報 </t>
    </r>
    <r>
      <rPr>
        <sz val="10"/>
        <rFont val="Arial"/>
        <family val="0"/>
        <charset val="1"/>
      </rPr>
      <t xml:space="preserve">115</t>
    </r>
    <r>
      <rPr>
        <sz val="10"/>
        <rFont val="Noto Sans CJK SC"/>
        <family val="2"/>
      </rPr>
      <t xml:space="preserve">年</t>
    </r>
    <r>
      <rPr>
        <sz val="10"/>
        <rFont val="Arial"/>
        <family val="0"/>
        <charset val="1"/>
      </rPr>
      <t xml:space="preserve">5</t>
    </r>
    <r>
      <rPr>
        <sz val="10"/>
        <rFont val="Noto Sans CJK SC"/>
        <family val="2"/>
      </rPr>
      <t xml:space="preserve">月 </t>
    </r>
    <r>
      <rPr>
        <sz val="10"/>
        <rFont val="Arial"/>
        <family val="0"/>
        <charset val="1"/>
      </rPr>
      <t xml:space="preserve">(MOI Dept. of Statistics, Monthly Bulletin of Interior Statistics, May 2026)</t>
    </r>
  </si>
  <si>
    <t xml:space="preserve">https://ws.moi.gov.tw/Download.ashx?u=LzAwMS9VcGxvYWQvNDAwL3JlbGZpbGUvMC8yMzQ1NC85M2FlNzY2MC0xMDEwLTQxNGQtOGQ4NC00NjM3ZDE2ZjY4ZTcucGRm&amp;n=MTE1MDUucGRm</t>
  </si>
  <si>
    <r>
      <rPr>
        <sz val="10"/>
        <rFont val="Arial"/>
        <family val="0"/>
        <charset val="1"/>
      </rPr>
      <t xml:space="preserve">Reference date 31 December 2017. Administrative register count of overstaying foreign nationals: 56675 overstaying residence (</t>
    </r>
    <r>
      <rPr>
        <sz val="10"/>
        <rFont val="Noto Sans CJK SC"/>
        <family val="2"/>
      </rPr>
      <t xml:space="preserve">逾期居留</t>
    </r>
    <r>
      <rPr>
        <sz val="10"/>
        <rFont val="Arial"/>
        <family val="0"/>
        <charset val="1"/>
      </rPr>
      <t xml:space="preserve">) plus 23234 overstaying visit (</t>
    </r>
    <r>
      <rPr>
        <sz val="10"/>
        <rFont val="Noto Sans CJK SC"/>
        <family val="2"/>
      </rPr>
      <t xml:space="preserve">逾期停留</t>
    </r>
    <r>
      <rPr>
        <sz val="10"/>
        <rFont val="Arial"/>
        <family val="0"/>
        <charset val="1"/>
      </rPr>
      <t xml:space="preserve">). Source is a Legislative Yuan Budget Center report (Oct 2019) reproducing NIA figures.</t>
    </r>
  </si>
  <si>
    <r>
      <rPr>
        <sz val="10"/>
        <rFont val="Arial"/>
        <family val="0"/>
        <charset val="1"/>
      </rPr>
      <t xml:space="preserve">Reference date 31 December 2018. Administrative register count of overstaying foreign nationals: 54681 overstaying residence (</t>
    </r>
    <r>
      <rPr>
        <sz val="10"/>
        <rFont val="Noto Sans CJK SC"/>
        <family val="2"/>
      </rPr>
      <t xml:space="preserve">逾期居留</t>
    </r>
    <r>
      <rPr>
        <sz val="10"/>
        <rFont val="Arial"/>
        <family val="0"/>
        <charset val="1"/>
      </rPr>
      <t xml:space="preserve">) plus 35284 overstaying visit (</t>
    </r>
    <r>
      <rPr>
        <sz val="10"/>
        <rFont val="Noto Sans CJK SC"/>
        <family val="2"/>
      </rPr>
      <t xml:space="preserve">逾期停留</t>
    </r>
    <r>
      <rPr>
        <sz val="10"/>
        <rFont val="Arial"/>
        <family val="0"/>
        <charset val="1"/>
      </rPr>
      <t xml:space="preserve">). Source is a Legislative Yuan Budget Center report (Oct 2019) reproducing NIA figures.</t>
    </r>
  </si>
  <si>
    <t xml:space="preserve">31 July</t>
  </si>
  <si>
    <r>
      <rPr>
        <sz val="10"/>
        <rFont val="Arial"/>
        <family val="0"/>
        <charset val="1"/>
      </rPr>
      <t xml:space="preserve">National Immigration Agency / Ministry of Labor (</t>
    </r>
    <r>
      <rPr>
        <sz val="10"/>
        <rFont val="Noto Sans CJK SC"/>
        <family val="2"/>
      </rPr>
      <t xml:space="preserve">失聯移工</t>
    </r>
    <r>
      <rPr>
        <sz val="10"/>
        <rFont val="Arial"/>
        <family val="0"/>
        <charset val="1"/>
      </rPr>
      <t xml:space="preserve">), reported by the Legislative Yuan Budget Center</t>
    </r>
  </si>
  <si>
    <r>
      <rPr>
        <sz val="10"/>
        <rFont val="Arial"/>
        <family val="0"/>
        <charset val="1"/>
      </rPr>
      <t xml:space="preserve">Reference date 31 July 2019 (not year-end). Administrative count of absconded/missing migrant workers (</t>
    </r>
    <r>
      <rPr>
        <sz val="10"/>
        <rFont val="Noto Sans CJK SC"/>
        <family val="2"/>
      </rPr>
      <t xml:space="preserve">失聯移工</t>
    </r>
    <r>
      <rPr>
        <sz val="10"/>
        <rFont val="Arial"/>
        <family val="0"/>
        <charset val="1"/>
      </rPr>
      <t xml:space="preserve">) not yet located - a DIFFERENT series from the </t>
    </r>
    <r>
      <rPr>
        <sz val="10"/>
        <rFont val="Noto Sans CJK SC"/>
        <family val="2"/>
      </rPr>
      <t xml:space="preserve">逾期停留</t>
    </r>
    <r>
      <rPr>
        <sz val="10"/>
        <rFont val="Arial"/>
        <family val="0"/>
        <charset val="1"/>
      </rPr>
      <t xml:space="preserve">/</t>
    </r>
    <r>
      <rPr>
        <sz val="10"/>
        <rFont val="Noto Sans CJK SC"/>
        <family val="2"/>
      </rPr>
      <t xml:space="preserve">居留 </t>
    </r>
    <r>
      <rPr>
        <sz val="10"/>
        <rFont val="Arial"/>
        <family val="0"/>
        <charset val="1"/>
      </rPr>
      <t xml:space="preserve">overstayer counts above and not additive with them.</t>
    </r>
  </si>
  <si>
    <r>
      <rPr>
        <sz val="10"/>
        <rFont val="Arial"/>
        <family val="0"/>
        <charset val="1"/>
      </rPr>
      <t xml:space="preserve">absconded / missing migrant workers (</t>
    </r>
    <r>
      <rPr>
        <sz val="10"/>
        <rFont val="Noto Sans CJK SC"/>
        <family val="2"/>
      </rPr>
      <t xml:space="preserve">失聯移工</t>
    </r>
    <r>
      <rPr>
        <sz val="10"/>
        <rFont val="Arial"/>
        <family val="0"/>
        <charset val="1"/>
      </rPr>
      <t xml:space="preserve">), stock at END OF YEAR 2020. Counts migrant workers whose employment permit has lapsed and who have not been located. This is the Ministry of Labor absconded-worker measure, a DIFFERENT series from the National Immigration Agency </t>
    </r>
    <r>
      <rPr>
        <sz val="10"/>
        <rFont val="Noto Sans CJK SC"/>
        <family val="2"/>
      </rPr>
      <t xml:space="preserve">逾期停留</t>
    </r>
    <r>
      <rPr>
        <sz val="10"/>
        <rFont val="Arial"/>
        <family val="0"/>
        <charset val="1"/>
      </rPr>
      <t xml:space="preserve">/</t>
    </r>
    <r>
      <rPr>
        <sz val="10"/>
        <rFont val="Noto Sans CJK SC"/>
        <family val="2"/>
      </rPr>
      <t xml:space="preserve">逾期居留 </t>
    </r>
    <r>
      <rPr>
        <sz val="10"/>
        <rFont val="Arial"/>
        <family val="0"/>
        <charset val="1"/>
      </rPr>
      <t xml:space="preserve">(overstaying visit / overstaying residence) counts used for TWN 2014-2018; the two are not additive and not directly comparable.</t>
    </r>
  </si>
  <si>
    <r>
      <rPr>
        <sz val="10"/>
        <rFont val="Arial"/>
        <family val="0"/>
        <charset val="1"/>
      </rPr>
      <t xml:space="preserve">absconded / missing migrant workers (</t>
    </r>
    <r>
      <rPr>
        <sz val="10"/>
        <rFont val="Noto Sans CJK SC"/>
        <family val="2"/>
      </rPr>
      <t xml:space="preserve">失聯移工</t>
    </r>
    <r>
      <rPr>
        <sz val="10"/>
        <rFont val="Arial"/>
        <family val="0"/>
        <charset val="1"/>
      </rPr>
      <t xml:space="preserve">), stock at END OF YEAR 2021. Counts migrant workers whose employment permit has lapsed and who have not been located. This is the Ministry of Labor absconded-worker measure, a DIFFERENT series from the National Immigration Agency </t>
    </r>
    <r>
      <rPr>
        <sz val="10"/>
        <rFont val="Noto Sans CJK SC"/>
        <family val="2"/>
      </rPr>
      <t xml:space="preserve">逾期停留</t>
    </r>
    <r>
      <rPr>
        <sz val="10"/>
        <rFont val="Arial"/>
        <family val="0"/>
        <charset val="1"/>
      </rPr>
      <t xml:space="preserve">/</t>
    </r>
    <r>
      <rPr>
        <sz val="10"/>
        <rFont val="Noto Sans CJK SC"/>
        <family val="2"/>
      </rPr>
      <t xml:space="preserve">逾期居留 </t>
    </r>
    <r>
      <rPr>
        <sz val="10"/>
        <rFont val="Arial"/>
        <family val="0"/>
        <charset val="1"/>
      </rPr>
      <t xml:space="preserve">(overstaying visit / overstaying residence) counts used for TWN 2014-2018; the two are not additive and not directly comparable.</t>
    </r>
  </si>
  <si>
    <t xml:space="preserve">https://ws.moi.gov.tw/Download.ashx?u=LzAwMS9VcGxvYWQvNDAwL3JlbGZpbGUvMC8yMTkxNi9jYmRkNDNlYy0wOGU0LTRjMzMtOTBjMy05MGYyOGEyZjE3NDIucGRm&amp;n=MTE05bm056ysMTbpgLHlhafmlL%2FntbHoqIjpgJrloLFf5aSW5YOR566h55CGLnBkZg%3D%3D&amp;icon=.pdf</t>
  </si>
  <si>
    <r>
      <rPr>
        <sz val="10"/>
        <rFont val="Arial"/>
        <family val="0"/>
        <charset val="1"/>
      </rPr>
      <t xml:space="preserve">absconded / missing migrant workers (</t>
    </r>
    <r>
      <rPr>
        <sz val="10"/>
        <rFont val="Noto Sans CJK SC"/>
        <family val="2"/>
      </rPr>
      <t xml:space="preserve">失聯移工</t>
    </r>
    <r>
      <rPr>
        <sz val="10"/>
        <rFont val="Arial"/>
        <family val="0"/>
        <charset val="1"/>
      </rPr>
      <t xml:space="preserve">), stock at END OF YEAR 2022. Counts migrant workers whose employment permit has lapsed and who have not been located. This is the Ministry of Labor absconded-worker measure, a DIFFERENT series from the National Immigration Agency </t>
    </r>
    <r>
      <rPr>
        <sz val="10"/>
        <rFont val="Noto Sans CJK SC"/>
        <family val="2"/>
      </rPr>
      <t xml:space="preserve">逾期停留</t>
    </r>
    <r>
      <rPr>
        <sz val="10"/>
        <rFont val="Arial"/>
        <family val="0"/>
        <charset val="1"/>
      </rPr>
      <t xml:space="preserve">/</t>
    </r>
    <r>
      <rPr>
        <sz val="10"/>
        <rFont val="Noto Sans CJK SC"/>
        <family val="2"/>
      </rPr>
      <t xml:space="preserve">逾期居留 </t>
    </r>
    <r>
      <rPr>
        <sz val="10"/>
        <rFont val="Arial"/>
        <family val="0"/>
        <charset val="1"/>
      </rPr>
      <t xml:space="preserve">(overstaying visit / overstaying residence) counts used for TWN 2014-2018; the two are not additive and not directly comparable.</t>
    </r>
  </si>
  <si>
    <t xml:space="preserve">Thailand</t>
  </si>
  <si>
    <t xml:space="preserve">THA</t>
  </si>
  <si>
    <t xml:space="preserve">TH</t>
  </si>
  <si>
    <t xml:space="preserve">764</t>
  </si>
  <si>
    <t xml:space="preserve">IOM / United Nations Thailand - Thailand Migration Report 2019 (Table 1.1 Estimated non-Thai population in Thailand)</t>
  </si>
  <si>
    <t xml:space="preserve">https://thailand.un.org/en/download/13750/50831</t>
  </si>
  <si>
    <t xml:space="preserve">Expert estimate compiled from Ministry of Labour / Department of Employment registration and immigration records, as of November 2018 (nearest available benchmark to 2021, no comparable in-range 2021 figure published); comprises low-skilled migrant workers 3897598 (MOU work permits 850302, permits registered in Thailand 2214298, seasonal 21561, irregular 811437), professional/skilled 112834, temporary stay 150707, special-law workers 49403, tertiary students 31571, ethnic minorities and hill tribes 66483, stateless persons 486440, refugees and asylum seekers 103425; the last two groups are not foreign nationals in the strict sense, so this over-states the resident foreign-citizen stock</t>
  </si>
  <si>
    <t xml:space="preserve">Turkey</t>
  </si>
  <si>
    <t xml:space="preserve">TUR</t>
  </si>
  <si>
    <t xml:space="preserve">TR</t>
  </si>
  <si>
    <t xml:space="preserve">792</t>
  </si>
  <si>
    <t xml:space="preserve">https://sdmx.oecd.org/public/rest/data/OECD.ELS.IMD,DSD_MIG@DF_MIG,1.0/TUR.W.A.B15._T._Z._Z.PS?startPeriod=2010&amp;endPeriod=2022&amp;format=jsondata&amp;dimensionAtObservation=AllDimensions</t>
  </si>
  <si>
    <t xml:space="preserve">Foreign nationals registered in the Address Based Population Registration System (ABPRS/ADNKS), TurkStat, as compiled by OECD IMD. Reference date 31 December. EXCLUDES Syrians under temporary protection, who are registered separately (approx. 3.6 million in 2021).</t>
  </si>
  <si>
    <t xml:space="preserve">Presidency of Migration Management / Goc Idaresi Baskanligi (GIB) figures reported by Demiroren Haber Ajansi (DHA)</t>
  </si>
  <si>
    <t xml:space="preserve">https://www.dha.com.tr/gundem/guzel-yasam-icin-hedef-ulke-turkiyede-20-yilda-2-6-milyon-duzensiz-gocmen-yakalandi-2478884</t>
  </si>
  <si>
    <t xml:space="preserve">ENFORCEMENT/TRANSIT FLOW, not a stock: number of irregular migrants apprehended during calendar year 2010. Administrative apprehension count published by DGMM/PMM. Syrians under temporary protection are excluded from this series. goc.gov.tr publishes the series only as images; value read from DHA reporting quoting GIB verbatim ('en az yakalandigi yil 32 bin 667 ile 2010 oldu').</t>
  </si>
  <si>
    <t xml:space="preserve">https://sdmx.oecd.org/public/rest/data/OECD.ELS.IMD,DSD_MIG_F@DF_MIG_POPF,1.0/TUR.W.A.B14._T._Z._Z.PS?startPeriod=2010&amp;endPeriod=2022&amp;format=jsondata&amp;dimensionAtObservation=AllDimensions</t>
  </si>
  <si>
    <t xml:space="preserve">Foreign-born population, OECD IMD series sourced from TurkStat. Unlike the foreign-national (B15) series, this INCLUDES Syrians under temporary protection, which explains the much larger level.</t>
  </si>
  <si>
    <t xml:space="preserve">ENFORCEMENT/TRANSIT FLOW, not a stock: irregular migrants apprehended during calendar year 2014. Administrative apprehension count published by DGMM/PMM. Syrians under temporary protection excluded. Verbatim: '2014te 58 bin 647 duzensiz gocmen yakalanirken'.</t>
  </si>
  <si>
    <t xml:space="preserve">ENFORCEMENT/TRANSIT FLOW, not a stock: irregular migrants apprehended during calendar year 2015. Administrative apprehension count published by DGMM/PMM. Syrians under temporary protection excluded.</t>
  </si>
  <si>
    <t xml:space="preserve">ENFORCEMENT/TRANSIT FLOW, not a stock: irregular migrants apprehended during calendar year 2018. Administrative apprehension count published by DGMM/PMM. Syrians under temporary protection excluded.</t>
  </si>
  <si>
    <t xml:space="preserve">ENFORCEMENT/TRANSIT FLOW, not a stock: irregular migrants apprehended during calendar year 2019 (peak year on record). Administrative apprehension count published by DGMM/PMM. Syrians under temporary protection excluded. Independently corroborated at 454,662 by AIDA/ECRE country report on Turkiye citing PMM.</t>
  </si>
  <si>
    <t xml:space="preserve">ENFORCEMENT/TRANSIT FLOW, not a stock: irregular migrants apprehended during calendar year 2020 (COVID-19 border closures). Administrative apprehension count published by DGMM/PMM. Syrians under temporary protection excluded.</t>
  </si>
  <si>
    <t xml:space="preserve">Presidency of Migration Management / Goc Idaresi Baskanligi (GIB) data tabulated in Turkiye'nin Duzensiz Gocle Mucadele Stratejisine Iliskin Bir Degerlendirme (DergiPark)</t>
  </si>
  <si>
    <t xml:space="preserve">https://dergipark.org.tr/tr/download/article-file/3843070</t>
  </si>
  <si>
    <t xml:space="preserve">ENFORCEMENT/TRANSIT FLOW, not a stock: irregular migrants apprehended during calendar year 2021. Administrative apprehension count published by DGMM/PMM (cited as GIB 2024h). Syrians under temporary protection excluded. Same value also appears in the AYBU-GPM Turkiye Goc ve Insan Hareketlilikleri Yillik Raporu 2021. The adjacent values in this source for 2019, 2020, 2022 and 2023 match the DGMM figures exactly, which anchors the 2021 reading.</t>
  </si>
  <si>
    <t xml:space="preserve">ENFORCEMENT/TRANSIT FLOW, not a stock: irregular migrants apprehended during calendar year 2022. Administrative apprehension count published by DGMM/PMM. Syrians under temporary protection excluded. Verbatim: '2022de 285 bin 27'.</t>
  </si>
  <si>
    <t xml:space="preserve">United Kingdom</t>
  </si>
  <si>
    <t xml:space="preserve">GBR</t>
  </si>
  <si>
    <t xml:space="preserve">GB</t>
  </si>
  <si>
    <t xml:space="preserve">826</t>
  </si>
  <si>
    <t xml:space="preserve">https://ec.europa.eu/eurostat/api/dissemination/statistics/1.0/data/migr_pop3ctb?format=JSON&amp;lang=EN&amp;geo=UK&amp;age=TOTAL&amp;sex=T&amp;unit=NR&amp;c_birth=FOR&amp;sinceTimePeriod=2010&amp;untilTimePeriod=2022</t>
  </si>
  <si>
    <t xml:space="preserve">stock at 1 Jan; c_birth=FOR (born in a foreign country); Eurostat UK series ends at 1 Jan 2019</t>
  </si>
  <si>
    <t xml:space="preserve">https://ec.europa.eu/eurostat/api/dissemination/statistics/1.0/data/migr_pop1ctz?format=JSON&amp;lang=EN&amp;geo=UK&amp;age=TOTAL&amp;sex=T&amp;unit=NR&amp;citizen=FOR_STLS&amp;sinceTimePeriod=2010&amp;untilTimePeriod=2022</t>
  </si>
  <si>
    <t xml:space="preserve">stock at 1 Jan; citizen=FOR_STLS (foreign citizens incl. stateless); Eurostat UK series ends at 1 Jan 2019</t>
  </si>
  <si>
    <t xml:space="preserve">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</si>
  <si>
    <t xml:space="preserve">Pew Research Center (2019), Europe's Unauthorized Immigrant Population Peaks in 2016, Then Levels Off - Appendix E corrected estimates</t>
  </si>
  <si>
    <t xml:space="preserve">https://www.pewresearch.org/global/2019/11/13/eu-unauthorized-immigrants-appendix-e-updated-unauthorized-immigrant-population-estimates-for-europe-and-the-united-kingdom-2014-2017/</t>
  </si>
  <si>
    <t xml:space="preserve">Pew residual method, EXCLUDING asylum seekers awaiting a decision; published range 700000-900000, value is the midpoint. This corrected figure supersedes the original report estimate of 800000-1200000, which wrongly treated holders of indefinite leave to remain as unauthorized. Corrected series for 2014-2016 was not machine-readable and is therefore omitted.</t>
  </si>
  <si>
    <t xml:space="preserve">Year ending June</t>
  </si>
  <si>
    <t xml:space="preserve">ONS, Population of the UK by country of birth and nationality</t>
  </si>
  <si>
    <t xml:space="preserve">https://www.ons.gov.uk/peoplepopulationandcommunity/populationandmigration/internationalmigration/bulletins/ukpopulationbycountryofbirthandnationality/yearendingjune2020</t>
  </si>
  <si>
    <t xml:space="preserve">estimate for year ending June 2020 (Annual Population Survey), NOT stock at 1 Jan; non-UK-born population; published rounded to the nearest 0.1 million, so value is exact only to +/-50000; series discontinued after June 2021; not comparable with the Eurostat 1 Jan series</t>
  </si>
  <si>
    <t xml:space="preserve">estimate for year ending June 2020 (Annual Population Survey), NOT stock at 1 Jan; non-British national population; published rounded to the nearest 0.1 million, so value is exact only to +/-50000; series discontinued after June 2021; not comparable with the Eurostat 1 Jan series</t>
  </si>
  <si>
    <t xml:space="preserve">https://www.ons.gov.uk/peoplepopulationandcommunity/populationandmigration/internationalmigration/bulletins/ukpopulationbycountryofbirthandnationality/yearendingjune2021</t>
  </si>
  <si>
    <t xml:space="preserve">estimate for year ending June 2021 (Annual Population Survey), NOT stock at 1 Jan; non-UK-born population; published rounded to the nearest 0.1 million, so value is exact only to +/-50000; series discontinued after June 2021; not comparable with the Eurostat 1 Jan series</t>
  </si>
  <si>
    <t xml:space="preserve">estimate for year ending June 2021 (Annual Population Survey), NOT stock at 1 Jan; non-British national population; published rounded to the nearest 0.1 million, so value is exact only to +/-50000; series discontinued after June 2021; not comparable with the Eurostat 1 Jan series</t>
  </si>
  <si>
    <t xml:space="preserve">United States</t>
  </si>
  <si>
    <t xml:space="preserve">USA</t>
  </si>
  <si>
    <t xml:space="preserve">US</t>
  </si>
  <si>
    <t xml:space="preserve">840</t>
  </si>
  <si>
    <t xml:space="preserve">https://sdmx.oecd.org/public/rest/data/OECD.ELS.IMD,DSD_MIG_F@DF_MIG_POPF,1.0/USA.W.A.B14._T._Z._Z.PS?startPeriod=2010&amp;endPeriod=2022&amp;format=jsondata&amp;dimensionAtObservation=AllDimensions</t>
  </si>
  <si>
    <t xml:space="preserve">Foreign-born resident population, Census Bureau American Community Survey 1-year estimates, as compiled by OECD IMD. The 2020 value derives from the ACS 2020 experimental estimates because the standard 2020 1-year release was not published.</t>
  </si>
  <si>
    <t xml:space="preserve">https://sdmx.oecd.org/public/rest/data/OECD.ELS.IMD,DSD_MIG@DF_MIG,1.0/USA.W.A.B15._T._Z._Z.PS?startPeriod=2010&amp;endPeriod=2022&amp;format=jsondata&amp;dimensionAtObservation=AllDimensions</t>
  </si>
  <si>
    <t xml:space="preserve">Non-citizen (foreign national) resident population from the Census Bureau American Community Survey, as compiled by OECD IMD. OECD publishes some values with decimals; rounded to the nearest whole person here.</t>
  </si>
  <si>
    <t xml:space="preserve">DHS Office of Homeland Security Statistics, Estimates of the Unauthorized Immigrant Population Residing in the United States: January 2015-January 2018, Table A2-1</t>
  </si>
  <si>
    <t xml:space="preserve">https://ohss.dhs.gov/sites/default/files/2023-12/unauthorized_immigrant_population_estimates_2015_-_2018.pdf</t>
  </si>
  <si>
    <t xml:space="preserve">Modelled resident stock (ACS residual method), reference date 1 January 2010. AMBIGUITY FLAG: Table A2-1 prints TWO values for 2010 (10,790,000 and 11,590,000) reflecting a revision to align with the 2010 Census. 11,590,000 is recorded here because it is continuous with the 2011-2018 series; 10,790,000 is retained as an alternative row. Verify against the PDF before publication. Value read independently by two extractions.</t>
  </si>
  <si>
    <t xml:space="preserve">Modelled resident stock (ACS residual method), reference date 1 January 2011. Read directly from Table A2-1 and independently confirmed by a second extraction. CORRECTION: an earlier pass recorded 11,600,000 from a rounded chart; that value was wrong.</t>
  </si>
  <si>
    <t xml:space="preserve">Modelled resident stock (ACS residual method), reference date 1 January 2012. Read directly from Table A2-1; confirmed by two independent extractions.</t>
  </si>
  <si>
    <t xml:space="preserve">Modelled resident stock (ACS residual method), reference date 1 January 2013. Read directly from Table A2-1; confirmed by two independent extractions.</t>
  </si>
  <si>
    <t xml:space="preserve">Modelled resident stock (ACS residual method), reference date 1 January 2014. Read directly from Table A2-1; confirmed by two independent extractions.</t>
  </si>
  <si>
    <t xml:space="preserve">Modelled resident stock (ACS residual method), reference date 1 January 2015. AMBIGUITY FLAG: Table A2-1 prints TWO values for 2015 (11,960,000 and 11,440,000) reflecting a methodology update. 11,440,000 is recorded as the report's current-methodology figure; 11,960,000 is retained as an alternative row. Verify against the PDF before publication.</t>
  </si>
  <si>
    <t xml:space="preserve">Modelled resident stock (ACS residual method), reference date 1 January 2016. Read directly from Table A2-1; confirmed by two independent extractions.</t>
  </si>
  <si>
    <t xml:space="preserve">Modelled resident stock (ACS residual method), reference date 1 January 2017. Read directly from Table A2-1; confirmed by two independent extractions.</t>
  </si>
  <si>
    <t xml:space="preserve">Modelled resident stock (ACS residual method), reference date 1 January 2018. Read directly from Table A2-1; confirmed by two independent extractions. NOTE: the later DHS report (Baker &amp; Warren 2024) revises January 2018 to 11,570,000; that revision is in the Long sheet.</t>
  </si>
  <si>
    <t xml:space="preserve">DHS Office of Homeland Security Statistics (Baker &amp; Warren 2024), Estimates of the Unauthorized Immigrant Population Residing in the United States: January 2018-January 2022, as reproduced in Choices Magazine (AAEA)</t>
  </si>
  <si>
    <t xml:space="preserve">https://www.choicesmagazine.org/UserFiles/file/cmsarticle_991.pdf</t>
  </si>
  <si>
    <t xml:space="preserve">Modelled resident stock (ACS-based residual method). Reference date 1 January 2019. The ohss.dhs.gov PDF returns HTTP 403; value read from Table 3 of the AAEA Choices Magazine article, which reproduces the DHS/OHSS table with full attribution to Baker and Warren (2024).</t>
  </si>
  <si>
    <t xml:space="preserve">Modelled resident stock (ACS-based residual method). Reference date 1 January 2020. The ohss.dhs.gov PDF returns HTTP 403; value read from Table 3 of the AAEA Choices Magazine article, which reproduces the DHS/OHSS table with full attribution. DHS published NO January 2021 estimate because the 2020 ACS was unusable for this purpose.</t>
  </si>
  <si>
    <t xml:space="preserve">Pew Research Center, Q&amp;A: How Pew Research Center estimates the number of unauthorized immigrants living in the U.S. (22 August 2025)</t>
  </si>
  <si>
    <t xml:space="preserve">https://www.pewresearch.org/short-reads/2025/08/22/qa-how-pew-research-center-estimates-the-number-of-unauthorized-immigrants-living-in-the-us/</t>
  </si>
  <si>
    <t xml:space="preserve">Modelled resident stock (augmented residual method, ACS-based). Reference year 2021. 2025 revised vintage; source states the population 'grew from an estimated 10.5 million to 14 million' between 2021 and 2023.</t>
  </si>
  <si>
    <t xml:space="preserve">Modelled resident stock (ACS-based residual method). Reference date 1 January 2022. Read from Table 3 of the AAEA Choices Magazine article reproducing the DHS/OHSS table. Independently corroborated at 10.99 million by the Social Security Bulletin (SSA, v85n2) and by US House Judiciary testimony (HHRG-119-JU10-Wstate-RodriguezJ).</t>
  </si>
  <si>
    <t xml:space="preserve">variable</t>
  </si>
  <si>
    <t xml:space="preserve">value</t>
  </si>
  <si>
    <t xml:space="preserve">value_pct_pop</t>
  </si>
  <si>
    <t xml:space="preserve">estimate_rank_in_cell</t>
  </si>
  <si>
    <t xml:space="preserve">source_name</t>
  </si>
  <si>
    <t xml:space="preserve">source_url</t>
  </si>
  <si>
    <t xml:space="preserve">notes</t>
  </si>
  <si>
    <t xml:space="preserve">PANEL PRIMARY</t>
  </si>
  <si>
    <t xml:space="preserve">alternative 1</t>
  </si>
  <si>
    <t xml:space="preserve">Reference date 31 December 2018. Modelled stock estimate of foreign residents in irregular migratory status, built from census plus administrative records. This is the 2022-methodology series; INE revised 2018-2020 sharply upward in the 2023 methodology (recorded as separate rows).</t>
  </si>
  <si>
    <t xml:space="preserve">Reference date 31 December 2019. Modelled stock estimate of foreign residents in irregular migratory status, built from census plus administrative records. This is the 2022-methodology series; INE revised 2018-2020 sharply upward in the 2023 methodology (recorded as separate rows).</t>
  </si>
  <si>
    <t xml:space="preserve">Reference date 31 December 2020. Modelled stock estimate of foreign residents in irregular migratory status, built from census plus administrative records. This is the 2022-methodology series; INE revised 2018-2020 sharply upward in the 2023 methodology (recorded as separate rows).</t>
  </si>
  <si>
    <t xml:space="preserve">Instituto Nacional de Estadisticas (INE) de Chile, press release 29 December 2023</t>
  </si>
  <si>
    <t xml:space="preserve">https://www.ine.gob.cl/sala-de-prensa/prensa/general/noticia/2023/12/29/poblaci%C3%B3n-extranjera-residente-en-chile-super%C3%B3-los-1-6-millones-de-personas-en-2022-con-un-6-6-de-ellas-en-situaci%C3%B3n-irregular</t>
  </si>
  <si>
    <t xml:space="preserve">Reference date 31 December 2022. Modelled stock estimate: 6.6% of a total foreign population of 1,625,074. Differs slightly from the 109,846 in the 2023 Sintesis (different publication vintage).</t>
  </si>
  <si>
    <t xml:space="preserve">Vogel, Dita (2015), Update report Germany: Estimated number of irregular foreign residents in Germany (Database on Irregular Migration), cited in bpb country profile</t>
  </si>
  <si>
    <t xml:space="preserve">https://www.bpb.de/themen/migration-integration/regionalprofile/deutschland/256275/irregulaere-migration-in-deutschland/</t>
  </si>
  <si>
    <t xml:space="preserve">Multiplier method based on police crime statistics (Polizeiliche Kriminalstatistik); published range 180000-520000, value is the midpoint. NOTE: this is a second, independent estimate for DEU 2014 alongside the Pew row - do not sum. Author regards 2015-2016 as not estimable.</t>
  </si>
  <si>
    <t xml:space="preserve">Funcas (2024), Estimacion de la poblacion en situacion irregular en Espana, Cuadro 1, Estimacion 1</t>
  </si>
  <si>
    <t xml:space="preserve">Modelled resident stock: padron-residual estimate (official population figures minus regular residence permits/assimilable status), non-EU/non-EFTA/non-UK nationals. Reference date 1 January 2018 ('Cifras a 1 de enero de cada ano'). Estimacion 1 sums all continent differences including negative ones. Printed value in Cuadro 1, not read from a chart.</t>
  </si>
  <si>
    <t xml:space="preserve">Fundacion porCausa (2020), Una fotografia de la inmigracion irregular en Espana</t>
  </si>
  <si>
    <t xml:space="preserve">https://porcausa.org/wp-content/uploads/2020/07/RetratodelairregularidadporCausa.pdf</t>
  </si>
  <si>
    <t xml:space="preserve">Residual method: municipal register (Padron Municipal, which records foreigners irrespective of status) minus valid residence authorisations, cross-checked against Labour Force Survey (EPA) versus Social Security affiliation; published range 390000-470000 at end-2019, value is the midpoint.</t>
  </si>
  <si>
    <t xml:space="preserve">alternative 2</t>
  </si>
  <si>
    <t xml:space="preserve">Modelled resident stock: padron-residual estimate, non-EU/non-EFTA/non-UK nationals. Reference date 1 January 2019. Estimacion 1 (all differences, including negative). Printed value in Cuadro 1.</t>
  </si>
  <si>
    <t xml:space="preserve">Modelled resident stock: padron-residual estimate, non-EU/non-EFTA/non-UK nationals. Reference date 1 January 2020. Estimacion 1 (all differences, including negative). Printed value in Cuadro 1.</t>
  </si>
  <si>
    <t xml:space="preserve">Modelled resident stock: padron-residual estimate, non-EU/non-EFTA/non-UK nationals. Reference date 1 January 2021. Estimacion 1 (all differences, including negative); Estimacion 2 for the same date is 517,149. Both are printed values in Cuadro 1, resolving the earlier chart-reading ambiguity: the '480.000 a finales de 2021' quoted in the body text corresponds to Estimacion 2 at 1 January 2022 (482,139), NOT to the 2021 column.</t>
  </si>
  <si>
    <t xml:space="preserve">Modelled resident stock: padron-residual estimate, non-EU/non-EFTA/non-UK nationals. Reference date 1 January 2022. Estimacion 1 (all differences, including negative). Printed value in Cuadro 1.</t>
  </si>
  <si>
    <t xml:space="preserve">Reference date 31 March 2022. Administrative register count of foreign workers without valid status (עובדים זרים ללא היתר). Separate PIBA category; not additive with the infiltrator or tourist-overstayer rows without double-counting checks.</t>
  </si>
  <si>
    <t xml:space="preserve">Pew residual method (population/labour-force data minus lawfully resident foreign-born), estimate INCLUDES asylum seekers awaiting a decision; published range 300000-600000, value is the midpoint of the published range. Pew reports only rounded 100k bounds.</t>
  </si>
  <si>
    <t xml:space="preserve">Pew residual method (population/labour-force data minus lawfully resident foreign-born), estimate INCLUDES asylum seekers awaiting a decision; published range 400000-600000, value is the midpoint of the published range. Pew reports only rounded 100k bounds.</t>
  </si>
  <si>
    <t xml:space="preserve">Pew residual method (population/labour-force data minus lawfully resident foreign-born), estimate INCLUDES asylum seekers awaiting a decision; published range 500000-700000, value is the midpoint of the published range. Pew reports only rounded 100k bounds.</t>
  </si>
  <si>
    <t xml:space="preserve">Ministry of Justice Immigration Bureau, Honpo ni okeru fuho zanryusha su ni tsuite (Heisei 26-nen 1-gatsu 1-nichi genzai), mirrored by Nisshinkyo</t>
  </si>
  <si>
    <t xml:space="preserve">https://www.nisshinkyo.org/news/pdf/G-26-2.pdf</t>
  </si>
  <si>
    <r>
      <rPr>
        <sz val="10"/>
        <rFont val="Arial"/>
        <family val="0"/>
        <charset val="1"/>
      </rPr>
      <t xml:space="preserve">overstayers (</t>
    </r>
    <r>
      <rPr>
        <sz val="10"/>
        <rFont val="Noto Sans CJK SC"/>
        <family val="2"/>
      </rPr>
      <t xml:space="preserve">不法残留者</t>
    </r>
    <r>
      <rPr>
        <sz val="10"/>
        <rFont val="Arial"/>
        <family val="0"/>
        <charset val="1"/>
      </rPr>
      <t xml:space="preserve">) as of 1 January 2014. Source sentence read verbatim: '</t>
    </r>
    <r>
      <rPr>
        <sz val="10"/>
        <rFont val="Noto Sans CJK SC"/>
        <family val="2"/>
      </rPr>
      <t xml:space="preserve">平成</t>
    </r>
    <r>
      <rPr>
        <sz val="10"/>
        <rFont val="Arial"/>
        <family val="0"/>
        <charset val="1"/>
      </rPr>
      <t xml:space="preserve">26</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t>
    </r>
    <r>
      <rPr>
        <sz val="10"/>
        <rFont val="Noto Sans CJK SC"/>
        <family val="2"/>
      </rPr>
      <t xml:space="preserve">日現在の本邦における不法残留者数は，</t>
    </r>
    <r>
      <rPr>
        <sz val="10"/>
        <rFont val="Arial"/>
        <family val="0"/>
        <charset val="1"/>
      </rPr>
      <t xml:space="preserve">5</t>
    </r>
    <r>
      <rPr>
        <sz val="10"/>
        <rFont val="Noto Sans CJK SC"/>
        <family val="2"/>
      </rPr>
      <t xml:space="preserve">万</t>
    </r>
    <r>
      <rPr>
        <sz val="10"/>
        <rFont val="Arial"/>
        <family val="0"/>
        <charset val="1"/>
      </rPr>
      <t xml:space="preserve">9</t>
    </r>
    <r>
      <rPr>
        <sz val="10"/>
        <rFont val="Noto Sans CJK SC"/>
        <family val="2"/>
      </rPr>
      <t xml:space="preserve">，</t>
    </r>
    <r>
      <rPr>
        <sz val="10"/>
        <rFont val="Arial"/>
        <family val="0"/>
        <charset val="1"/>
      </rPr>
      <t xml:space="preserve">061</t>
    </r>
    <r>
      <rPr>
        <sz val="10"/>
        <rFont val="Noto Sans CJK SC"/>
        <family val="2"/>
      </rPr>
      <t xml:space="preserve">人</t>
    </r>
    <r>
      <rPr>
        <sz val="10"/>
        <rFont val="Arial"/>
        <family val="0"/>
        <charset val="1"/>
      </rPr>
      <t xml:space="preserve">'. CAVEAT: the PDF itself returned 404 to the fetcher, so the figure was read from the indexed document text; independently corroborated as the labelled series minimum (59,061) in the ISA chart </t>
    </r>
    <r>
      <rPr>
        <sz val="10"/>
        <rFont val="Noto Sans CJK SC"/>
        <family val="2"/>
      </rPr>
      <t xml:space="preserve">【第１図】不法残留者数の推移</t>
    </r>
    <r>
      <rPr>
        <sz val="10"/>
        <rFont val="Arial"/>
        <family val="0"/>
        <charset val="1"/>
      </rPr>
      <t xml:space="preserve">, https://www.moj.go.jp/isa/content/001415150.pdf</t>
    </r>
  </si>
  <si>
    <t xml:space="preserve">Immigration Services Agency of Japan, Honpo ni okeru fuho zanryusha su ni tsuite (Reiwa 3-nen 1-gatsu 1-nichi genzai), Table 1 (Dai-1-hyo)</t>
  </si>
  <si>
    <r>
      <rPr>
        <sz val="10"/>
        <rFont val="Arial"/>
        <family val="0"/>
        <charset val="1"/>
      </rPr>
      <t xml:space="preserve">overstayers (fuho zanryusha, </t>
    </r>
    <r>
      <rPr>
        <sz val="10"/>
        <rFont val="Noto Sans CJK SC"/>
        <family val="2"/>
      </rPr>
      <t xml:space="preserve">不法残留者</t>
    </r>
    <r>
      <rPr>
        <sz val="10"/>
        <rFont val="Arial"/>
        <family val="0"/>
        <charset val="1"/>
      </rPr>
      <t xml:space="preserve">) as of 1 January 2017. Administrative register count. Read from the year columns of </t>
    </r>
    <r>
      <rPr>
        <sz val="10"/>
        <rFont val="Noto Sans CJK SC"/>
        <family val="2"/>
      </rPr>
      <t xml:space="preserve">【第１表】国籍・地域別 性別 不法残留者数の推移 </t>
    </r>
    <r>
      <rPr>
        <sz val="10"/>
        <rFont val="Arial"/>
        <family val="0"/>
        <charset val="1"/>
      </rPr>
      <t xml:space="preserve">in the official ISA statistical annex to the 1 January 2021 press release, which tabulates 1 January 2017-2021.</t>
    </r>
  </si>
  <si>
    <r>
      <rPr>
        <sz val="10"/>
        <rFont val="Arial"/>
        <family val="0"/>
        <charset val="1"/>
      </rPr>
      <t xml:space="preserve">overstayers (fuho zanryusha, </t>
    </r>
    <r>
      <rPr>
        <sz val="10"/>
        <rFont val="Noto Sans CJK SC"/>
        <family val="2"/>
      </rPr>
      <t xml:space="preserve">不法残留者</t>
    </r>
    <r>
      <rPr>
        <sz val="10"/>
        <rFont val="Arial"/>
        <family val="0"/>
        <charset val="1"/>
      </rPr>
      <t xml:space="preserve">) as of 1 January 2018. Administrative register count. Read from the year columns of </t>
    </r>
    <r>
      <rPr>
        <sz val="10"/>
        <rFont val="Noto Sans CJK SC"/>
        <family val="2"/>
      </rPr>
      <t xml:space="preserve">【第１表】国籍・地域別 性別 不法残留者数の推移 </t>
    </r>
    <r>
      <rPr>
        <sz val="10"/>
        <rFont val="Arial"/>
        <family val="0"/>
        <charset val="1"/>
      </rPr>
      <t xml:space="preserve">in the official ISA statistical annex to the 1 January 2021 press release, which tabulates 1 January 2017-2021.</t>
    </r>
  </si>
  <si>
    <r>
      <rPr>
        <sz val="10"/>
        <rFont val="Arial"/>
        <family val="0"/>
        <charset val="1"/>
      </rPr>
      <t xml:space="preserve">overstayers (fuho zanryusha, </t>
    </r>
    <r>
      <rPr>
        <sz val="10"/>
        <rFont val="Noto Sans CJK SC"/>
        <family val="2"/>
      </rPr>
      <t xml:space="preserve">不法残留者</t>
    </r>
    <r>
      <rPr>
        <sz val="10"/>
        <rFont val="Arial"/>
        <family val="0"/>
        <charset val="1"/>
      </rPr>
      <t xml:space="preserve">) as of 1 January 2019. Administrative register count. Read from the year columns of </t>
    </r>
    <r>
      <rPr>
        <sz val="10"/>
        <rFont val="Noto Sans CJK SC"/>
        <family val="2"/>
      </rPr>
      <t xml:space="preserve">【第１表】国籍・地域別 性別 不法残留者数の推移 </t>
    </r>
    <r>
      <rPr>
        <sz val="10"/>
        <rFont val="Arial"/>
        <family val="0"/>
        <charset val="1"/>
      </rPr>
      <t xml:space="preserve">in the official ISA statistical annex to the 1 January 2021 press release, which tabulates 1 January 2017-2021.</t>
    </r>
  </si>
  <si>
    <r>
      <rPr>
        <sz val="10"/>
        <rFont val="Arial"/>
        <family val="0"/>
        <charset val="1"/>
      </rPr>
      <t xml:space="preserve">Immigration Services Agency of Japan, Overstayers as of 1 January (</t>
    </r>
    <r>
      <rPr>
        <sz val="10"/>
        <rFont val="Noto Sans CJK SC"/>
        <family val="2"/>
      </rPr>
      <t xml:space="preserve">本邦における不法残留者数について</t>
    </r>
    <r>
      <rPr>
        <sz val="10"/>
        <rFont val="Arial"/>
        <family val="0"/>
        <charset val="1"/>
      </rPr>
      <t xml:space="preserve">)</t>
    </r>
  </si>
  <si>
    <t xml:space="preserve">https://www.moj.go.jp/isa/publications/press/13_00013.html</t>
  </si>
  <si>
    <r>
      <rPr>
        <sz val="10"/>
        <rFont val="Arial"/>
        <family val="0"/>
        <charset val="1"/>
      </rPr>
      <t xml:space="preserve">Reference date 1 January 2020. Administrative register count of persons remaining beyond authorised period of stay (</t>
    </r>
    <r>
      <rPr>
        <sz val="10"/>
        <rFont val="Noto Sans CJK SC"/>
        <family val="2"/>
      </rPr>
      <t xml:space="preserve">不法残留者</t>
    </r>
    <r>
      <rPr>
        <sz val="10"/>
        <rFont val="Arial"/>
        <family val="0"/>
        <charset val="1"/>
      </rPr>
      <t xml:space="preserve">). Prior-year comparison figure in the 1 January 2021 release.</t>
    </r>
  </si>
  <si>
    <r>
      <rPr>
        <sz val="10"/>
        <rFont val="Arial"/>
        <family val="0"/>
        <charset val="1"/>
      </rPr>
      <t xml:space="preserve">Reference date 1 January 2021. Administrative register count of overstayers (</t>
    </r>
    <r>
      <rPr>
        <sz val="10"/>
        <rFont val="Noto Sans CJK SC"/>
        <family val="2"/>
      </rPr>
      <t xml:space="preserve">不法残留者</t>
    </r>
    <r>
      <rPr>
        <sz val="10"/>
        <rFont val="Arial"/>
        <family val="0"/>
        <charset val="1"/>
      </rPr>
      <t xml:space="preserve">). Of whom 49,496 male and 33,372 female.</t>
    </r>
  </si>
  <si>
    <t xml:space="preserve">https://www.moj.go.jp/isa/publications/press/13_00003.html</t>
  </si>
  <si>
    <r>
      <rPr>
        <sz val="10"/>
        <rFont val="Arial"/>
        <family val="0"/>
        <charset val="1"/>
      </rPr>
      <t xml:space="preserve">Reference date 1 January 2022. Administrative register count of overstayers (</t>
    </r>
    <r>
      <rPr>
        <sz val="10"/>
        <rFont val="Noto Sans CJK SC"/>
        <family val="2"/>
      </rPr>
      <t xml:space="preserve">不法残留者</t>
    </r>
    <r>
      <rPr>
        <sz val="10"/>
        <rFont val="Arial"/>
        <family val="0"/>
        <charset val="1"/>
      </rPr>
      <t xml:space="preserve">); down 19.4% on 1 January 2021. Cross-checked against ISA table 001403958.pdf.</t>
    </r>
  </si>
  <si>
    <r>
      <rPr>
        <sz val="10"/>
        <rFont val="Arial"/>
        <family val="0"/>
        <charset val="1"/>
      </rPr>
      <t xml:space="preserve">absconded / missing migrant workers (</t>
    </r>
    <r>
      <rPr>
        <sz val="10"/>
        <rFont val="Noto Sans CJK SC"/>
        <family val="2"/>
      </rPr>
      <t xml:space="preserve">失聯移工</t>
    </r>
    <r>
      <rPr>
        <sz val="10"/>
        <rFont val="Arial"/>
        <family val="0"/>
        <charset val="1"/>
      </rPr>
      <t xml:space="preserve">), stock at END OF YEAR 2019. Counts migrant workers whose employment permit has lapsed and who have not been located. This is the Ministry of Labor absconded-worker measure, a DIFFERENT series from the National Immigration Agency </t>
    </r>
    <r>
      <rPr>
        <sz val="10"/>
        <rFont val="Noto Sans CJK SC"/>
        <family val="2"/>
      </rPr>
      <t xml:space="preserve">逾期停留</t>
    </r>
    <r>
      <rPr>
        <sz val="10"/>
        <rFont val="Arial"/>
        <family val="0"/>
        <charset val="1"/>
      </rPr>
      <t xml:space="preserve">/</t>
    </r>
    <r>
      <rPr>
        <sz val="10"/>
        <rFont val="Noto Sans CJK SC"/>
        <family val="2"/>
      </rPr>
      <t xml:space="preserve">逾期居留 </t>
    </r>
    <r>
      <rPr>
        <sz val="10"/>
        <rFont val="Arial"/>
        <family val="0"/>
        <charset val="1"/>
      </rPr>
      <t xml:space="preserve">(overstaying visit / overstaying residence) counts used for TWN 2014-2018; the two are not additive and not directly comparable.</t>
    </r>
  </si>
  <si>
    <t xml:space="preserve">Pew Hispanic Center, Unauthorized Immigrant Population: National and State Trends, 2010</t>
  </si>
  <si>
    <t xml:space="preserve">https://www.pewresearch.org/race-and-ethnicity/2011/02/01/unauthorized-immigrant-population-brnational-and-state-trends-2010/</t>
  </si>
  <si>
    <t xml:space="preserve">Reference date March 2010. Modelled stock estimate (augmented residual method, CPS-based). Published 1 February 2011.</t>
  </si>
  <si>
    <t xml:space="preserve">DHS Office of Homeland Security Statistics, Estimates of the Unauthorized Immigrant Population Residing in the United States: January 2015-January 2018, Table A2-1 (pre-revision entry)</t>
  </si>
  <si>
    <t xml:space="preserve">ALTERNATIVE ENTRY for 1 January 2010. Table A2-1 prints two 2010 values; this is the lower one, understood to precede the revision aligning estimates with the 2010 Census. Not continuous with 2011-2018.</t>
  </si>
  <si>
    <t xml:space="preserve">Migration Policy Institute, Unauthorized Immigrants in the United States: Stable Numbers, Changing Origins</t>
  </si>
  <si>
    <t xml:space="preserve">https://www.migrationpolicy.org/sites/default/files/publications/mpi-unauthorized-immigrants-stablenumbers-changingorigins_final.pdf</t>
  </si>
  <si>
    <t xml:space="preserve">Modelled stock estimate from pooled 2010-2012 ACS; MPI publishes it as a single 2010-2012 figure. Assigned here to 2011 as the midpoint of the pooling window - not a published 2011-specific value.</t>
  </si>
  <si>
    <t xml:space="preserve">DHS Office of Homeland Security Statistics, Estimates of the Unauthorized Immigrant Population Residing in the United States: January 2015-January 2018, Table A2-1 (pre-update entry)</t>
  </si>
  <si>
    <t xml:space="preserve">ALTERNATIVE ENTRY for 1 January 2015. Table A2-1 prints two 2015 values; this is the higher one, understood to precede the methodology update applied to 2016-2018.</t>
  </si>
  <si>
    <t xml:space="preserve">Pew Research Center, Unauthorized immigrant population trends</t>
  </si>
  <si>
    <t xml:space="preserve">https://www.pewresearch.org/race-and-ethnicity/feature/unauthorized-trends/</t>
  </si>
  <si>
    <t xml:space="preserve">Reference year 2017. Modelled stock estimate (residual method). Pre-2025 vintage.</t>
  </si>
  <si>
    <t xml:space="preserve">Reference year 2018. Modelled stock estimate from pooled 2014-2018 ACS and 2008 SIPP, weighted to 2018.</t>
  </si>
  <si>
    <t xml:space="preserve">Migration Policy Institute (with Jennifer Van Hook, Penn State), Diverse Flows Drive Increase in U.S. Unauthorized Immigrant Population (July 2024)</t>
  </si>
  <si>
    <t xml:space="preserve">https://www.migrationpolicy.org/commentary/diverse-flows-drive-increase-us-unauthorized-immigrant-population</t>
  </si>
  <si>
    <t xml:space="preserve">Modelled resident stock (ACS/SIPP-based residual method). Reference year 2019. MPI publishes no independent 2020 estimate: the 2020 value in its series was interpolated as the average of 2019 and 2021 because of low-quality pandemic ACS data, so 2020 is deliberately omitted here.</t>
  </si>
  <si>
    <t xml:space="preserve">Center for Migration Studies of New York (Robert Warren), After a Decade of Decline, the US Undocumented Population Increased by 650,000 in 2022, Journal on Migration and Human Security</t>
  </si>
  <si>
    <t xml:space="preserve">https://journals.sagepub.com/doi/10.1177/23315024241226624</t>
  </si>
  <si>
    <t xml:space="preserve">Modelled resident stock (ACS-based residual method with undercount adjustment). Reference date 1 July 2019. DOI 10.1177/23315024241226624. Same value also published in Warren (2021), JMHS, DOI 10.1177/2331502421993746.</t>
  </si>
  <si>
    <t xml:space="preserve">Modelled resident stock (ACS-based residual method with undercount adjustment). Reference date 1 July 2020. DOI 10.1177/23315024241226624.</t>
  </si>
  <si>
    <t xml:space="preserve">Center for Migration Studies of New York (Robert Warren), US Undocumented Population Increased to 11.7 Million in July 2023</t>
  </si>
  <si>
    <t xml:space="preserve">https://cmsny.org/us-undocumented-population-increased-in-july-2023-warren-090624/</t>
  </si>
  <si>
    <t xml:space="preserve">Reference year 2020. Modelled residual stock estimate from ACS. Figure stated in prose as '10 million' (rounded); treat as approximate.</t>
  </si>
  <si>
    <t xml:space="preserve">Modelled resident stock (ACS/SIPP-based residual method). Reference year 2021.</t>
  </si>
  <si>
    <t xml:space="preserve">Pew Research Center, What we know about unauthorized immigrants living in the U.S. (July 2024)</t>
  </si>
  <si>
    <t xml:space="preserve">https://www.pewresearch.org/short-reads/2024/07/22/what-we-know-about-unauthorized-immigrants-living-in-the-us/</t>
  </si>
  <si>
    <t xml:space="preserve">Reference year 2021. Modelled stock estimate (residual method). 2024 vintage; superseded by Pew's August 2025 revision, which was not recorded here because the revised 2021/2022 values could not be read unambiguously from the source.</t>
  </si>
  <si>
    <t xml:space="preserve">alternative 3</t>
  </si>
  <si>
    <t xml:space="preserve">Modelled resident stock (ACS-based residual method with undercount adjustment). Reference date 1 July 2021. DOI 10.1177/23315024241226624.</t>
  </si>
  <si>
    <t xml:space="preserve">Modelled resident stock (augmented residual method, ACS-based). Reference year 2022. 2025 revised vintage; source states verbatim: 'we revised our estimate of the unauthorized immigrant population for 2022 upward, from 11.0 million to 11.8 million.' Revision follows the Census Bureau's December 2024 population-estimate update and reweighting of the 2022 and 2023 ACS.</t>
  </si>
  <si>
    <t xml:space="preserve">Modelled resident stock (ACS/SIPP-based residual method). Reference year 2022.</t>
  </si>
  <si>
    <t xml:space="preserve">Reference year 2022. Modelled stock estimate (residual method). 2024 vintage; Pew revised its series upward in August 2025.</t>
  </si>
  <si>
    <t xml:space="preserve">alternative 4</t>
  </si>
  <si>
    <t xml:space="preserve">Modelled resident stock (ACS-based residual method with undercount adjustment). Reference date 1 July 2022. DOI 10.1177/23315024241226624.</t>
  </si>
  <si>
    <t xml:space="preserve">used_in_panel</t>
  </si>
  <si>
    <t xml:space="preserve">collection_file</t>
  </si>
  <si>
    <t xml:space="preserve">yes</t>
  </si>
  <si>
    <t xml:space="preserve">noneu_stock.csv</t>
  </si>
  <si>
    <t xml:space="preserve">irregular_row_fill.csv</t>
  </si>
  <si>
    <t xml:space="preserve">irregular_row.csv</t>
  </si>
  <si>
    <t xml:space="preserve">Total resident population, mid-year estimate. Retrieved via World Bank API, August 2026.</t>
  </si>
  <si>
    <t xml:space="preserve">worldbank_api</t>
  </si>
  <si>
    <t xml:space="preserve">eu_stock.csv</t>
  </si>
  <si>
    <t xml:space="preserve">irregular_eu.csv</t>
  </si>
  <si>
    <t xml:space="preserve">no</t>
  </si>
  <si>
    <t xml:space="preserve">nonoecd_stock.csv</t>
  </si>
  <si>
    <t xml:space="preserve">irregular_row_fill2.csv</t>
  </si>
  <si>
    <t xml:space="preserve">gapfill_twn_jpn.csv</t>
  </si>
  <si>
    <t xml:space="preserve">foreign_workers</t>
  </si>
  <si>
    <r>
      <rPr>
        <sz val="10"/>
        <rFont val="Arial"/>
        <family val="0"/>
        <charset val="1"/>
      </rPr>
      <t xml:space="preserve">Ministry of Labor (</t>
    </r>
    <r>
      <rPr>
        <sz val="10"/>
        <rFont val="Noto Sans CJK SC"/>
        <family val="2"/>
      </rPr>
      <t xml:space="preserve">勞動部</t>
    </r>
    <r>
      <rPr>
        <sz val="10"/>
        <rFont val="Arial"/>
        <family val="0"/>
        <charset val="1"/>
      </rPr>
      <t xml:space="preserve">) Labour Statistics Database, monthly statistics Table 12-2 "Foreign Workers in Taiwan by Work Responsibilities"</t>
    </r>
  </si>
  <si>
    <t xml:space="preserve">https://statdb.mol.gov.tw/html/mon/c12020.pdf</t>
  </si>
  <si>
    <r>
      <rPr>
        <sz val="10"/>
        <rFont val="Arial"/>
        <family val="0"/>
        <charset val="1"/>
      </rPr>
      <t xml:space="preserve">Stock at year-end 31 Dec 2011 (row labelled "End of 2011" = </t>
    </r>
    <r>
      <rPr>
        <sz val="10"/>
        <rFont val="Noto Sans CJK SC"/>
        <family val="2"/>
      </rPr>
      <t xml:space="preserve">民國</t>
    </r>
    <r>
      <rPr>
        <sz val="10"/>
        <rFont val="Arial"/>
        <family val="0"/>
        <charset val="1"/>
      </rPr>
      <t xml:space="preserve">100</t>
    </r>
    <r>
      <rPr>
        <sz val="10"/>
        <rFont val="Noto Sans CJK SC"/>
        <family val="2"/>
      </rPr>
      <t xml:space="preserve">年底</t>
    </r>
    <r>
      <rPr>
        <sz val="10"/>
        <rFont val="Arial"/>
        <family val="0"/>
        <charset val="1"/>
      </rPr>
      <t xml:space="preserve">). SUBSET, NOT THE TOTAL: migrant workers (</t>
    </r>
    <r>
      <rPr>
        <sz val="10"/>
        <rFont val="Noto Sans CJK SC"/>
        <family val="2"/>
      </rPr>
      <t xml:space="preserve">移工</t>
    </r>
    <r>
      <rPr>
        <sz val="10"/>
        <rFont val="Arial"/>
        <family val="0"/>
        <charset val="1"/>
      </rPr>
      <t xml:space="preserve">) holding a valid employment permit in productive industries plus social welfare (</t>
    </r>
    <r>
      <rPr>
        <sz val="10"/>
        <rFont val="Noto Sans CJK SC"/>
        <family val="2"/>
      </rPr>
      <t xml:space="preserve">產業及社福外籍勞工</t>
    </r>
    <r>
      <rPr>
        <sz val="10"/>
        <rFont val="Arial"/>
        <family val="0"/>
        <charset val="1"/>
      </rPr>
      <t xml:space="preserve">/</t>
    </r>
    <r>
      <rPr>
        <sz val="10"/>
        <rFont val="Noto Sans CJK SC"/>
        <family val="2"/>
      </rPr>
      <t xml:space="preserve">移工</t>
    </r>
    <r>
      <rPr>
        <sz val="10"/>
        <rFont val="Arial"/>
        <family val="0"/>
        <charset val="1"/>
      </rPr>
      <t xml:space="preserve">) only; excludes professionals, students, spouses and other foreign residents. Read from a primary published table (PDF). Cross-checked against the same database's Table 12-3 "Foreign Workers in Taiwan by Nationality" (https://statdb.mol.gov.tw/html/mon/c12030.pdf), whose End-of-2011 row gives the identical 425660 and decomposes exactly: industry 227806 (27329+59824+70695+69955+3) plus social welfare 197854 (148080+23017+1068+25688+1) = 425660. Both tables start at End of 2011, so 2010 is not available from this source.</t>
    </r>
  </si>
  <si>
    <t xml:space="preserve">gapfill_priority.csv</t>
  </si>
  <si>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99. Published rounded to thousands as 23,162 thousand persons in the </t>
    </r>
    <r>
      <rPr>
        <sz val="10"/>
        <rFont val="Noto Sans CJK SC"/>
        <family val="2"/>
      </rPr>
      <t xml:space="preserve">重要內政統計指標 </t>
    </r>
    <r>
      <rPr>
        <sz val="10"/>
        <rFont val="Arial"/>
        <family val="0"/>
        <charset val="1"/>
      </rPr>
      <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</si>
  <si>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100. Published rounded to thousands as 23,225 thousand persons in the </t>
    </r>
    <r>
      <rPr>
        <sz val="10"/>
        <rFont val="Noto Sans CJK SC"/>
        <family val="2"/>
      </rPr>
      <t xml:space="preserve">重要內政統計指標 </t>
    </r>
    <r>
      <rPr>
        <sz val="10"/>
        <rFont val="Arial"/>
        <family val="0"/>
        <charset val="1"/>
      </rPr>
      <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</si>
  <si>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101. Published rounded to thousands as 23,316 thousand persons in the </t>
    </r>
    <r>
      <rPr>
        <sz val="10"/>
        <rFont val="Noto Sans CJK SC"/>
        <family val="2"/>
      </rPr>
      <t xml:space="preserve">重要內政統計指標 </t>
    </r>
    <r>
      <rPr>
        <sz val="10"/>
        <rFont val="Arial"/>
        <family val="0"/>
        <charset val="1"/>
      </rPr>
      <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</si>
  <si>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102. Published rounded to thousands as 23,374 thousand persons in the </t>
    </r>
    <r>
      <rPr>
        <sz val="10"/>
        <rFont val="Noto Sans CJK SC"/>
        <family val="2"/>
      </rPr>
      <t xml:space="preserve">重要內政統計指標 </t>
    </r>
    <r>
      <rPr>
        <sz val="10"/>
        <rFont val="Arial"/>
        <family val="0"/>
        <charset val="1"/>
      </rPr>
      <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</si>
  <si>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103. Published rounded to thousands as 23,434 thousand persons in the </t>
    </r>
    <r>
      <rPr>
        <sz val="10"/>
        <rFont val="Noto Sans CJK SC"/>
        <family val="2"/>
      </rPr>
      <t xml:space="preserve">重要內政統計指標 </t>
    </r>
    <r>
      <rPr>
        <sz val="10"/>
        <rFont val="Arial"/>
        <family val="0"/>
        <charset val="1"/>
      </rPr>
      <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</si>
  <si>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104. Published rounded to thousands as 23,492 thousand persons in the </t>
    </r>
    <r>
      <rPr>
        <sz val="10"/>
        <rFont val="Noto Sans CJK SC"/>
        <family val="2"/>
      </rPr>
      <t xml:space="preserve">重要內政統計指標 </t>
    </r>
    <r>
      <rPr>
        <sz val="10"/>
        <rFont val="Arial"/>
        <family val="0"/>
        <charset val="1"/>
      </rPr>
      <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</si>
  <si>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105. Published rounded to thousands as 23,540 thousand persons in the </t>
    </r>
    <r>
      <rPr>
        <sz val="10"/>
        <rFont val="Noto Sans CJK SC"/>
        <family val="2"/>
      </rPr>
      <t xml:space="preserve">重要內政統計指標 </t>
    </r>
    <r>
      <rPr>
        <sz val="10"/>
        <rFont val="Arial"/>
        <family val="0"/>
        <charset val="1"/>
      </rPr>
      <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</si>
  <si>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106. Exact figure as printed (not rounded). Cross-checked: rounds to the same thousands value published in DGBAS Statistical Yearbook of the ROC 2024 Table 3 'General situation of population' (end of year)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</si>
  <si>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107. Exact figure as printed (not rounded). Cross-checked: rounds to the same thousands value published in DGBAS Statistical Yearbook of the ROC 2024 Table 3 'General situation of population' (end of year)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</si>
  <si>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108. Exact figure as printed (not rounded). Cross-checked: rounds to the same thousands value published in DGBAS Statistical Yearbook of the ROC 2024 Table 3 'General situation of population' (end of year)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</si>
  <si>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109. Exact figure as printed (not rounded). Cross-checked: rounds to the same thousands value published in DGBAS Statistical Yearbook of the ROC 2024 Table 3 'General situation of population' (end of year)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</si>
  <si>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110. Exact figure as printed (not rounded). Cross-checked: rounds to the same thousands value published in DGBAS Statistical Yearbook of the ROC 2024 Table 3 'General situation of population' (end of year) (https://ws.dgbas.gov.tw/001/Upload/464/relfile/10924/232173/y003.pdf).</t>
    </r>
  </si>
  <si>
    <r>
      <rPr>
        <sz val="10"/>
        <rFont val="Arial"/>
        <family val="0"/>
        <charset val="1"/>
      </rPr>
      <t xml:space="preserve">Year-end (31 Dec) registered household population (</t>
    </r>
    <r>
      <rPr>
        <sz val="10"/>
        <rFont val="Noto Sans CJK SC"/>
        <family val="2"/>
      </rPr>
      <t xml:space="preserve">年底戶籍登記人口</t>
    </r>
    <r>
      <rPr>
        <sz val="10"/>
        <rFont val="Arial"/>
        <family val="0"/>
        <charset val="1"/>
      </rPr>
      <t xml:space="preserve">), ROC year 111. Exact figure as printed (not rounded). Cross-checked: rounds to the same thousands value published in DGBAS Statistical Yearbook of the ROC 2024 Table 3 'General situation of population' (end of year) (https://ws.dgbas.gov.tw/001/Upload/464/relfile/10924/232173/y003.pdf).</t>
    </r>
  </si>
  <si>
    <t xml:space="preserve">dhs_correction.csv</t>
  </si>
  <si>
    <t xml:space="preserve">in_ISSP_wave1</t>
  </si>
  <si>
    <t xml:space="preserve">in_ISSP_wave2</t>
  </si>
  <si>
    <t xml:space="preserve">in_both_waves</t>
  </si>
  <si>
    <t xml:space="preserve">source_cell_wave1</t>
  </si>
  <si>
    <t xml:space="preserve">source_cell_wave2</t>
  </si>
  <si>
    <t xml:space="preserve">B3</t>
  </si>
  <si>
    <t xml:space="preserve">J3</t>
  </si>
  <si>
    <t xml:space="preserve">J4</t>
  </si>
  <si>
    <t xml:space="preserve">B4</t>
  </si>
  <si>
    <t xml:space="preserve">B5</t>
  </si>
  <si>
    <t xml:space="preserve">B6</t>
  </si>
  <si>
    <t xml:space="preserve">B7</t>
  </si>
  <si>
    <t xml:space="preserve">J5</t>
  </si>
  <si>
    <t xml:space="preserve">B9</t>
  </si>
  <si>
    <t xml:space="preserve">J7</t>
  </si>
  <si>
    <t xml:space="preserve">B10</t>
  </si>
  <si>
    <t xml:space="preserve">J8</t>
  </si>
  <si>
    <t xml:space="preserve">B11</t>
  </si>
  <si>
    <t xml:space="preserve">J9</t>
  </si>
  <si>
    <t xml:space="preserve">B12</t>
  </si>
  <si>
    <t xml:space="preserve">J10</t>
  </si>
  <si>
    <t xml:space="preserve">B13</t>
  </si>
  <si>
    <t xml:space="preserve">J11</t>
  </si>
  <si>
    <t xml:space="preserve">B14</t>
  </si>
  <si>
    <t xml:space="preserve">J12</t>
  </si>
  <si>
    <t xml:space="preserve">J13</t>
  </si>
  <si>
    <t xml:space="preserve">J14</t>
  </si>
  <si>
    <t xml:space="preserve">J15</t>
  </si>
  <si>
    <t xml:space="preserve">B15</t>
  </si>
  <si>
    <t xml:space="preserve">J16</t>
  </si>
  <si>
    <t xml:space="preserve">B16</t>
  </si>
  <si>
    <t xml:space="preserve">J17</t>
  </si>
  <si>
    <t xml:space="preserve">B17</t>
  </si>
  <si>
    <t xml:space="preserve">J18</t>
  </si>
  <si>
    <t xml:space="preserve">B18</t>
  </si>
  <si>
    <t xml:space="preserve">B19</t>
  </si>
  <si>
    <t xml:space="preserve">J19</t>
  </si>
  <si>
    <t xml:space="preserve">B20</t>
  </si>
  <si>
    <t xml:space="preserve">J20</t>
  </si>
  <si>
    <t xml:space="preserve">J21</t>
  </si>
  <si>
    <t xml:space="preserve">B21</t>
  </si>
  <si>
    <t xml:space="preserve">J22</t>
  </si>
  <si>
    <t xml:space="preserve">B22</t>
  </si>
  <si>
    <t xml:space="preserve">J23</t>
  </si>
  <si>
    <t xml:space="preserve">B23</t>
  </si>
  <si>
    <t xml:space="preserve">J24</t>
  </si>
  <si>
    <t xml:space="preserve">B24</t>
  </si>
  <si>
    <t xml:space="preserve">B25</t>
  </si>
  <si>
    <t xml:space="preserve">J25</t>
  </si>
  <si>
    <t xml:space="preserve">B26</t>
  </si>
  <si>
    <t xml:space="preserve">J26</t>
  </si>
  <si>
    <t xml:space="preserve">B27</t>
  </si>
  <si>
    <t xml:space="preserve">J27</t>
  </si>
  <si>
    <t xml:space="preserve">B28</t>
  </si>
  <si>
    <t xml:space="preserve">J28</t>
  </si>
  <si>
    <t xml:space="preserve">B29</t>
  </si>
  <si>
    <t xml:space="preserve">J29</t>
  </si>
  <si>
    <t xml:space="preserve">B30</t>
  </si>
  <si>
    <t xml:space="preserve">B31</t>
  </si>
  <si>
    <t xml:space="preserve">J30</t>
  </si>
  <si>
    <t xml:space="preserve">B8</t>
  </si>
  <si>
    <t xml:space="preserve">J6</t>
  </si>
  <si>
    <t xml:space="preserve">J31</t>
  </si>
  <si>
    <t xml:space="preserve">B32</t>
  </si>
  <si>
    <t xml:space="preserve">B33</t>
  </si>
  <si>
    <t xml:space="preserve">B34</t>
  </si>
  <si>
    <t xml:space="preserve">J32</t>
  </si>
  <si>
    <t xml:space="preserve">40 unique countries: 32 in wave 1 (column B), 30 in wave 2 (column J), 22 in both.</t>
  </si>
  <si>
    <r>
      <rPr>
        <i val="true"/>
        <sz val="9"/>
        <color rgb="FF555555"/>
        <rFont val="Arial"/>
        <family val="0"/>
        <charset val="1"/>
      </rPr>
      <t xml:space="preserve">Source: ISPSS 2</t>
    </r>
    <r>
      <rPr>
        <i val="true"/>
        <sz val="9"/>
        <color rgb="FF555555"/>
        <rFont val="Noto Sans CJK SC"/>
        <family val="2"/>
      </rPr>
      <t xml:space="preserve">波次 國家比對</t>
    </r>
    <r>
      <rPr>
        <i val="true"/>
        <sz val="9"/>
        <color rgb="FF555555"/>
        <rFont val="Arial"/>
        <family val="0"/>
        <charset val="1"/>
      </rPr>
      <t xml:space="preserve">.xlsx, columns B and J.</t>
    </r>
  </si>
  <si>
    <t xml:space="preserve">has_2011_core</t>
  </si>
  <si>
    <t xml:space="preserve">has_2021_core</t>
  </si>
  <si>
    <t xml:space="preserve">13/13</t>
  </si>
  <si>
    <t xml:space="preserve">-</t>
  </si>
  <si>
    <t xml:space="preserve">3/13</t>
  </si>
  <si>
    <t xml:space="preserve">2/3</t>
  </si>
  <si>
    <t xml:space="preserve">1/13</t>
  </si>
  <si>
    <t xml:space="preserve">3/3</t>
  </si>
  <si>
    <t xml:space="preserve">12/13</t>
  </si>
  <si>
    <t xml:space="preserve">11/13</t>
  </si>
  <si>
    <t xml:space="preserve">6/13</t>
  </si>
  <si>
    <t xml:space="preserve">5/13</t>
  </si>
  <si>
    <t xml:space="preserve">2/13</t>
  </si>
  <si>
    <t xml:space="preserve">1/3</t>
  </si>
  <si>
    <t xml:space="preserve">10/13</t>
  </si>
  <si>
    <t xml:space="preserve">4/13</t>
  </si>
  <si>
    <t xml:space="preserve">9/13</t>
  </si>
  <si>
    <t xml:space="preserve">8/13</t>
  </si>
  <si>
    <t xml:space="preserve">7/13</t>
  </si>
  <si>
    <t xml:space="preserve">Cell values are the count of years 2010-2022 with a figure. "has_2011/2021_core" counts how many of population, foreign_born and foreign_nationals are present in that year.</t>
  </si>
  <si>
    <t xml:space="preserve">value_2011</t>
  </si>
  <si>
    <t xml:space="preserve">source_2011</t>
  </si>
  <si>
    <t xml:space="preserve">nearest_year_to_2011</t>
  </si>
  <si>
    <t xml:space="preserve">nearest_value_to_2011</t>
  </si>
  <si>
    <t xml:space="preserve">value_2021</t>
  </si>
  <si>
    <t xml:space="preserve">source_2021</t>
  </si>
  <si>
    <t xml:space="preserve">nearest_year_to_2021</t>
  </si>
  <si>
    <t xml:space="preserve">nearest_value_to_2021</t>
  </si>
  <si>
    <t xml:space="preserve">Amber columns are NOT the target year. They show the nearest year with data, so you can see how far the closest observation sits from 2011/2021. Nothing here is interpolated.</t>
  </si>
</sst>
</file>

<file path=xl/styles.xml><?xml version="1.0" encoding="utf-8"?>
<styleSheet xmlns="http://schemas.openxmlformats.org/spreadsheetml/2006/main">
  <numFmts count="4">
    <numFmt numFmtId="164" formatCode="General"/>
    <numFmt numFmtId="165" formatCode="#,##0"/>
    <numFmt numFmtId="166" formatCode="0.00%"/>
    <numFmt numFmtId="167" formatCode="0.0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1"/>
      <name val="Arial"/>
      <family val="0"/>
      <charset val="1"/>
    </font>
    <font>
      <b val="true"/>
      <sz val="10"/>
      <name val="Arial"/>
      <family val="0"/>
      <charset val="1"/>
    </font>
    <font>
      <sz val="10"/>
      <name val="Arial"/>
      <family val="0"/>
      <charset val="1"/>
    </font>
    <font>
      <b val="true"/>
      <sz val="10"/>
      <color rgb="FFFFFFFF"/>
      <name val="Arial"/>
      <family val="0"/>
      <charset val="1"/>
    </font>
    <font>
      <sz val="10"/>
      <name val="Noto Sans CJK SC"/>
      <family val="2"/>
    </font>
    <font>
      <i val="true"/>
      <sz val="9"/>
      <color rgb="FF555555"/>
      <name val="Noto Sans CJK SC"/>
      <family val="2"/>
    </font>
  </fonts>
  <fills count="9">
    <fill>
      <patternFill patternType="none"/>
    </fill>
    <fill>
      <patternFill patternType="gray125"/>
    </fill>
    <fill>
      <patternFill patternType="solid">
        <fgColor rgb="FF1F3864"/>
        <bgColor rgb="FF333333"/>
      </patternFill>
    </fill>
    <fill>
      <patternFill patternType="solid">
        <fgColor rgb="FFEDF3FB"/>
        <bgColor rgb="FFF2F2F2"/>
      </patternFill>
    </fill>
    <fill>
      <patternFill patternType="solid">
        <fgColor rgb="FFC6EFCE"/>
        <bgColor rgb="FFEDF3FB"/>
      </patternFill>
    </fill>
    <fill>
      <patternFill patternType="solid">
        <fgColor rgb="FFF2F2F2"/>
        <bgColor rgb="FFEDF3FB"/>
      </patternFill>
    </fill>
    <fill>
      <patternFill patternType="solid">
        <fgColor rgb="FFFFEB9C"/>
        <bgColor rgb="FFFFF2CC"/>
      </patternFill>
    </fill>
    <fill>
      <patternFill patternType="solid">
        <fgColor rgb="FFFFC7CE"/>
        <bgColor rgb="FFFFEB9C"/>
      </patternFill>
    </fill>
    <fill>
      <patternFill patternType="solid">
        <fgColor rgb="FFFFF2CC"/>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5" fontId="8" fillId="3" borderId="0" xfId="0" applyFont="true" applyBorder="false" applyAlignment="true" applyProtection="false">
      <alignment horizontal="general" vertical="top" textRotation="0" wrapText="false" indent="0" shrinkToFit="false"/>
      <protection locked="true" hidden="false"/>
    </xf>
    <xf numFmtId="167" fontId="8" fillId="3"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4" fontId="10" fillId="3"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8" fillId="5" borderId="0" xfId="0" applyFont="true" applyBorder="false" applyAlignment="true" applyProtection="false">
      <alignment horizontal="center" vertical="bottom" textRotation="0" wrapText="false" indent="0" shrinkToFit="false"/>
      <protection locked="true" hidden="false"/>
    </xf>
    <xf numFmtId="164" fontId="8" fillId="6" borderId="0" xfId="0" applyFont="true" applyBorder="false" applyAlignment="true" applyProtection="false">
      <alignment horizontal="center" vertical="bottom" textRotation="0" wrapText="false" indent="0" shrinkToFit="false"/>
      <protection locked="true" hidden="false"/>
    </xf>
    <xf numFmtId="164" fontId="8" fillId="7" borderId="0" xfId="0" applyFont="true" applyBorder="false" applyAlignment="true" applyProtection="false">
      <alignment horizontal="center" vertical="bottom" textRotation="0" wrapText="false" indent="0" shrinkToFit="false"/>
      <protection locked="true" hidden="false"/>
    </xf>
    <xf numFmtId="164" fontId="8" fillId="8" borderId="0" xfId="0" applyFont="true" applyBorder="false" applyAlignment="true" applyProtection="false">
      <alignment horizontal="general" vertical="top" textRotation="0" wrapText="false" indent="0" shrinkToFit="false"/>
      <protection locked="true" hidden="false"/>
    </xf>
    <xf numFmtId="165" fontId="8" fillId="8"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DF3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60"/>
    <col collapsed="false" customWidth="true" hidden="false" outlineLevel="0" max="4" min="4" style="0" width="6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c r="B5" s="5" t="s">
        <v>4</v>
      </c>
    </row>
    <row r="6" customFormat="false" ht="35.05" hidden="false" customHeight="false" outlineLevel="0" collapsed="false">
      <c r="A6" s="4" t="s">
        <v>5</v>
      </c>
      <c r="B6" s="5" t="s">
        <v>6</v>
      </c>
    </row>
    <row r="7" customFormat="false" ht="23.85" hidden="false" customHeight="false" outlineLevel="0" collapsed="false">
      <c r="A7" s="4" t="s">
        <v>7</v>
      </c>
      <c r="B7" s="5" t="s">
        <v>8</v>
      </c>
    </row>
    <row r="8" customFormat="false" ht="23.85" hidden="false" customHeight="false" outlineLevel="0" collapsed="false">
      <c r="A8" s="4" t="s">
        <v>9</v>
      </c>
      <c r="B8" s="5" t="s">
        <v>10</v>
      </c>
    </row>
    <row r="9" customFormat="false" ht="15" hidden="false" customHeight="false" outlineLevel="0" collapsed="false">
      <c r="A9" s="4" t="s">
        <v>11</v>
      </c>
      <c r="B9" s="5" t="s">
        <v>12</v>
      </c>
    </row>
    <row r="11" customFormat="false" ht="15" hidden="false" customHeight="false" outlineLevel="0" collapsed="false">
      <c r="A11" s="3" t="s">
        <v>13</v>
      </c>
    </row>
    <row r="12" customFormat="false" ht="15" hidden="false" customHeight="false" outlineLevel="0" collapsed="false">
      <c r="A12" s="6" t="s">
        <v>14</v>
      </c>
      <c r="B12" s="6" t="s">
        <v>15</v>
      </c>
      <c r="C12" s="6" t="s">
        <v>16</v>
      </c>
      <c r="D12" s="6" t="s">
        <v>17</v>
      </c>
    </row>
    <row r="13" customFormat="false" ht="57.75" hidden="false" customHeight="true" outlineLevel="0" collapsed="false">
      <c r="A13" s="4" t="s">
        <v>18</v>
      </c>
      <c r="B13" s="5" t="s">
        <v>19</v>
      </c>
      <c r="C13" s="5" t="s">
        <v>20</v>
      </c>
      <c r="D13" s="5" t="s">
        <v>21</v>
      </c>
    </row>
    <row r="14" customFormat="false" ht="57.75" hidden="false" customHeight="true" outlineLevel="0" collapsed="false">
      <c r="A14" s="4" t="s">
        <v>22</v>
      </c>
      <c r="B14" s="5" t="s">
        <v>23</v>
      </c>
      <c r="C14" s="5" t="s">
        <v>24</v>
      </c>
      <c r="D14" s="5" t="s">
        <v>25</v>
      </c>
    </row>
    <row r="15" customFormat="false" ht="57.75" hidden="false" customHeight="true" outlineLevel="0" collapsed="false">
      <c r="A15" s="4" t="s">
        <v>26</v>
      </c>
      <c r="B15" s="5" t="s">
        <v>27</v>
      </c>
      <c r="C15" s="5" t="s">
        <v>28</v>
      </c>
      <c r="D15" s="5" t="s">
        <v>29</v>
      </c>
    </row>
    <row r="16" customFormat="false" ht="57.75" hidden="false" customHeight="true" outlineLevel="0" collapsed="false">
      <c r="A16" s="4" t="s">
        <v>30</v>
      </c>
      <c r="B16" s="5" t="s">
        <v>31</v>
      </c>
      <c r="C16" s="5" t="s">
        <v>32</v>
      </c>
      <c r="D16" s="5" t="s">
        <v>33</v>
      </c>
    </row>
    <row r="17" customFormat="false" ht="57.75" hidden="false" customHeight="true" outlineLevel="0" collapsed="false">
      <c r="A17" s="4" t="s">
        <v>34</v>
      </c>
      <c r="B17" s="5" t="s">
        <v>35</v>
      </c>
      <c r="C17" s="5" t="s">
        <v>36</v>
      </c>
      <c r="D17" s="5" t="s">
        <v>37</v>
      </c>
    </row>
    <row r="18" customFormat="false" ht="57.75" hidden="false" customHeight="true" outlineLevel="0" collapsed="false">
      <c r="A18" s="4" t="s">
        <v>38</v>
      </c>
      <c r="B18" s="5" t="s">
        <v>39</v>
      </c>
      <c r="C18" s="5" t="s">
        <v>40</v>
      </c>
      <c r="D18" s="5" t="s">
        <v>41</v>
      </c>
    </row>
    <row r="20" customFormat="false" ht="15" hidden="false" customHeight="false" outlineLevel="0" collapsed="false">
      <c r="A20" s="3" t="s">
        <v>42</v>
      </c>
    </row>
    <row r="21" customFormat="false" ht="30" hidden="false" customHeight="true" outlineLevel="0" collapsed="false">
      <c r="A21" s="7" t="s">
        <v>43</v>
      </c>
      <c r="B21" s="7"/>
      <c r="C21" s="7"/>
      <c r="D21" s="7"/>
    </row>
    <row r="22" customFormat="false" ht="30" hidden="false" customHeight="true" outlineLevel="0" collapsed="false">
      <c r="A22" s="7" t="s">
        <v>44</v>
      </c>
      <c r="B22" s="7"/>
      <c r="C22" s="7"/>
      <c r="D22" s="7"/>
    </row>
    <row r="23" customFormat="false" ht="30" hidden="false" customHeight="true" outlineLevel="0" collapsed="false">
      <c r="A23" s="7" t="s">
        <v>45</v>
      </c>
      <c r="B23" s="7"/>
      <c r="C23" s="7"/>
      <c r="D23" s="7"/>
    </row>
    <row r="25" customFormat="false" ht="15" hidden="false" customHeight="false" outlineLevel="0" collapsed="false">
      <c r="A25" s="3" t="s">
        <v>46</v>
      </c>
    </row>
    <row r="26" customFormat="false" ht="30" hidden="false" customHeight="true" outlineLevel="0" collapsed="false">
      <c r="A26" s="7" t="s">
        <v>47</v>
      </c>
      <c r="B26" s="7"/>
      <c r="C26" s="7"/>
      <c r="D26" s="7"/>
    </row>
    <row r="27" customFormat="false" ht="30" hidden="false" customHeight="true" outlineLevel="0" collapsed="false">
      <c r="A27" s="7" t="s">
        <v>48</v>
      </c>
      <c r="B27" s="7"/>
      <c r="C27" s="7"/>
      <c r="D27" s="7"/>
    </row>
    <row r="28" customFormat="false" ht="30" hidden="false" customHeight="true" outlineLevel="0" collapsed="false">
      <c r="A28" s="7" t="s">
        <v>49</v>
      </c>
      <c r="B28" s="7"/>
      <c r="C28" s="7"/>
      <c r="D28" s="7"/>
    </row>
    <row r="29" customFormat="false" ht="30" hidden="false" customHeight="true" outlineLevel="0" collapsed="false">
      <c r="A29" s="7" t="s">
        <v>50</v>
      </c>
      <c r="B29" s="7"/>
      <c r="C29" s="7"/>
      <c r="D29" s="7"/>
    </row>
    <row r="30" customFormat="false" ht="30" hidden="false" customHeight="true" outlineLevel="0" collapsed="false">
      <c r="A30" s="7" t="s">
        <v>51</v>
      </c>
      <c r="B30" s="7"/>
      <c r="C30" s="7"/>
      <c r="D30" s="7"/>
    </row>
    <row r="31" customFormat="false" ht="30" hidden="false" customHeight="true" outlineLevel="0" collapsed="false">
      <c r="A31" s="7" t="s">
        <v>52</v>
      </c>
      <c r="B31" s="7"/>
      <c r="C31" s="7"/>
      <c r="D31" s="7"/>
    </row>
    <row r="32" customFormat="false" ht="30" hidden="false" customHeight="true" outlineLevel="0" collapsed="false">
      <c r="A32" s="7" t="s">
        <v>53</v>
      </c>
      <c r="B32" s="7"/>
      <c r="C32" s="7"/>
      <c r="D32" s="7"/>
    </row>
    <row r="33" customFormat="false" ht="30" hidden="false" customHeight="true" outlineLevel="0" collapsed="false">
      <c r="A33" s="7" t="s">
        <v>54</v>
      </c>
      <c r="B33" s="7"/>
      <c r="C33" s="7"/>
      <c r="D33" s="7"/>
    </row>
    <row r="34" customFormat="false" ht="30" hidden="false" customHeight="true" outlineLevel="0" collapsed="false">
      <c r="A34" s="7" t="s">
        <v>55</v>
      </c>
      <c r="B34" s="7"/>
      <c r="C34" s="7"/>
      <c r="D34" s="7"/>
    </row>
    <row r="35" customFormat="false" ht="30" hidden="false" customHeight="true" outlineLevel="0" collapsed="false">
      <c r="A35" s="7" t="s">
        <v>56</v>
      </c>
      <c r="B35" s="7"/>
      <c r="C35" s="7"/>
      <c r="D35" s="7"/>
    </row>
    <row r="36" customFormat="false" ht="30" hidden="false" customHeight="true" outlineLevel="0" collapsed="false">
      <c r="A36" s="7" t="s">
        <v>57</v>
      </c>
      <c r="B36" s="7"/>
      <c r="C36" s="7"/>
      <c r="D36" s="7"/>
    </row>
    <row r="37" customFormat="false" ht="30" hidden="false" customHeight="true" outlineLevel="0" collapsed="false">
      <c r="A37" s="7" t="s">
        <v>58</v>
      </c>
      <c r="B37" s="7"/>
      <c r="C37" s="7"/>
      <c r="D37" s="7"/>
    </row>
    <row r="38" customFormat="false" ht="30" hidden="false" customHeight="true" outlineLevel="0" collapsed="false">
      <c r="A38" s="7" t="s">
        <v>59</v>
      </c>
      <c r="B38" s="7"/>
      <c r="C38" s="7"/>
      <c r="D38" s="7"/>
    </row>
    <row r="39" customFormat="false" ht="30" hidden="false" customHeight="true" outlineLevel="0" collapsed="false">
      <c r="A39" s="7" t="s">
        <v>60</v>
      </c>
      <c r="B39" s="7"/>
      <c r="C39" s="7"/>
      <c r="D39" s="7"/>
    </row>
  </sheetData>
  <mergeCells count="17">
    <mergeCell ref="A21:D21"/>
    <mergeCell ref="A22:D22"/>
    <mergeCell ref="A23:D23"/>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5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3" min="3" style="0" width="6"/>
    <col collapsed="false" customWidth="true" hidden="false" outlineLevel="0" max="6" min="4" style="0" width="9"/>
    <col collapsed="false" customWidth="true" hidden="false" outlineLevel="0" max="7" min="7" style="0" width="7"/>
    <col collapsed="false" customWidth="true" hidden="false" outlineLevel="0" max="8" min="8" style="0" width="14"/>
    <col collapsed="false" customWidth="true" hidden="false" outlineLevel="0" max="9" min="9" style="0" width="44"/>
    <col collapsed="false" customWidth="true" hidden="false" outlineLevel="0" max="10" min="10" style="0" width="40"/>
    <col collapsed="false" customWidth="true" hidden="false" outlineLevel="0" max="11" min="11" style="0" width="13"/>
    <col collapsed="false" customWidth="true" hidden="false" outlineLevel="0" max="12" min="12" style="0" width="12"/>
    <col collapsed="false" customWidth="true" hidden="false" outlineLevel="0" max="13" min="13" style="0" width="15"/>
    <col collapsed="false" customWidth="true" hidden="false" outlineLevel="0" max="14" min="14" style="0" width="44"/>
    <col collapsed="false" customWidth="true" hidden="false" outlineLevel="0" max="15" min="15" style="0" width="40"/>
    <col collapsed="false" customWidth="true" hidden="false" outlineLevel="0" max="16" min="16" style="0" width="52"/>
    <col collapsed="false" customWidth="true" hidden="false" outlineLevel="0" max="17" min="17" style="0" width="14"/>
    <col collapsed="false" customWidth="true" hidden="false" outlineLevel="0" max="18" min="18" style="0" width="13"/>
    <col collapsed="false" customWidth="true" hidden="false" outlineLevel="0" max="19" min="19" style="0" width="15"/>
    <col collapsed="false" customWidth="true" hidden="false" outlineLevel="0" max="20" min="20" style="0" width="44"/>
    <col collapsed="false" customWidth="true" hidden="false" outlineLevel="0" max="21" min="21" style="0" width="40"/>
    <col collapsed="false" customWidth="true" hidden="false" outlineLevel="0" max="22" min="22" style="0" width="52"/>
    <col collapsed="false" customWidth="true" hidden="false" outlineLevel="0" max="23" min="23" style="0" width="14"/>
    <col collapsed="false" customWidth="true" hidden="false" outlineLevel="0" max="24" min="24" style="0" width="13"/>
    <col collapsed="false" customWidth="true" hidden="false" outlineLevel="0" max="25" min="25" style="0" width="15"/>
    <col collapsed="false" customWidth="true" hidden="false" outlineLevel="0" max="26" min="26" style="0" width="44"/>
    <col collapsed="false" customWidth="true" hidden="false" outlineLevel="0" max="27" min="27" style="0" width="40"/>
    <col collapsed="false" customWidth="true" hidden="false" outlineLevel="0" max="28" min="28" style="0" width="52"/>
    <col collapsed="false" customWidth="true" hidden="false" outlineLevel="0" max="29" min="29" style="0" width="12"/>
    <col collapsed="false" customWidth="true" hidden="false" outlineLevel="0" max="30" min="30" style="0" width="14"/>
    <col collapsed="false" customWidth="true" hidden="false" outlineLevel="0" max="31" min="31" style="0" width="15"/>
    <col collapsed="false" customWidth="true" hidden="false" outlineLevel="0" max="32" min="32" style="0" width="44"/>
    <col collapsed="false" customWidth="true" hidden="false" outlineLevel="0" max="33" min="33" style="0" width="40"/>
    <col collapsed="false" customWidth="true" hidden="false" outlineLevel="0" max="34" min="34" style="0" width="52"/>
    <col collapsed="false" customWidth="true" hidden="false" outlineLevel="0" max="35" min="35" style="0" width="14"/>
    <col collapsed="false" customWidth="true" hidden="false" outlineLevel="0" max="36" min="36" style="0" width="15"/>
    <col collapsed="false" customWidth="true" hidden="false" outlineLevel="0" max="37" min="37" style="0" width="44"/>
    <col collapsed="false" customWidth="true" hidden="false" outlineLevel="0" max="38" min="38" style="0" width="40"/>
    <col collapsed="false" customWidth="true" hidden="false" outlineLevel="0" max="39" min="39" style="0" width="52"/>
  </cols>
  <sheetData>
    <row r="1" customFormat="false" ht="30" hidden="false" customHeight="true" outlineLevel="0" collapsed="false">
      <c r="A1" s="8" t="s">
        <v>61</v>
      </c>
      <c r="B1" s="8" t="s">
        <v>62</v>
      </c>
      <c r="C1" s="8" t="s">
        <v>63</v>
      </c>
      <c r="D1" s="8" t="s">
        <v>64</v>
      </c>
      <c r="E1" s="8" t="s">
        <v>65</v>
      </c>
      <c r="F1" s="8" t="s">
        <v>66</v>
      </c>
      <c r="G1" s="8" t="s">
        <v>67</v>
      </c>
      <c r="H1" s="8" t="s">
        <v>18</v>
      </c>
      <c r="I1" s="8" t="s">
        <v>68</v>
      </c>
      <c r="J1" s="8" t="s">
        <v>69</v>
      </c>
      <c r="K1" s="8" t="s">
        <v>22</v>
      </c>
      <c r="L1" s="8" t="s">
        <v>70</v>
      </c>
      <c r="M1" s="8" t="s">
        <v>71</v>
      </c>
      <c r="N1" s="8" t="s">
        <v>72</v>
      </c>
      <c r="O1" s="8" t="s">
        <v>73</v>
      </c>
      <c r="P1" s="8" t="s">
        <v>74</v>
      </c>
      <c r="Q1" s="8" t="s">
        <v>26</v>
      </c>
      <c r="R1" s="8" t="s">
        <v>75</v>
      </c>
      <c r="S1" s="8" t="s">
        <v>76</v>
      </c>
      <c r="T1" s="8" t="s">
        <v>77</v>
      </c>
      <c r="U1" s="8" t="s">
        <v>78</v>
      </c>
      <c r="V1" s="8" t="s">
        <v>79</v>
      </c>
      <c r="W1" s="8" t="s">
        <v>30</v>
      </c>
      <c r="X1" s="8" t="s">
        <v>80</v>
      </c>
      <c r="Y1" s="8" t="s">
        <v>81</v>
      </c>
      <c r="Z1" s="8" t="s">
        <v>82</v>
      </c>
      <c r="AA1" s="8" t="s">
        <v>83</v>
      </c>
      <c r="AB1" s="8" t="s">
        <v>84</v>
      </c>
      <c r="AC1" s="8" t="s">
        <v>85</v>
      </c>
      <c r="AD1" s="8" t="s">
        <v>34</v>
      </c>
      <c r="AE1" s="8" t="s">
        <v>86</v>
      </c>
      <c r="AF1" s="8" t="s">
        <v>87</v>
      </c>
      <c r="AG1" s="8" t="s">
        <v>88</v>
      </c>
      <c r="AH1" s="8" t="s">
        <v>89</v>
      </c>
      <c r="AI1" s="8" t="s">
        <v>38</v>
      </c>
      <c r="AJ1" s="8" t="s">
        <v>90</v>
      </c>
      <c r="AK1" s="8" t="s">
        <v>91</v>
      </c>
      <c r="AL1" s="8" t="s">
        <v>92</v>
      </c>
      <c r="AM1" s="8" t="s">
        <v>93</v>
      </c>
    </row>
    <row r="2" customFormat="false" ht="15" hidden="false" customHeight="false" outlineLevel="0" collapsed="false">
      <c r="A2" s="9" t="s">
        <v>94</v>
      </c>
      <c r="B2" s="9" t="s">
        <v>95</v>
      </c>
      <c r="C2" s="9" t="s">
        <v>96</v>
      </c>
      <c r="D2" s="9" t="s">
        <v>97</v>
      </c>
      <c r="E2" s="9" t="n">
        <v>1</v>
      </c>
      <c r="F2" s="9" t="n">
        <v>1</v>
      </c>
      <c r="G2" s="9" t="n">
        <v>2010</v>
      </c>
      <c r="H2" s="10" t="n">
        <v>22031750</v>
      </c>
      <c r="I2" s="11" t="s">
        <v>98</v>
      </c>
      <c r="J2" s="11" t="s">
        <v>99</v>
      </c>
      <c r="K2" s="10" t="n">
        <v>5881360</v>
      </c>
      <c r="L2" s="12" t="n">
        <f aca="false">IF(OR($H2="",K2=""),"",K2/$H2)</f>
        <v>0.266949289094148</v>
      </c>
      <c r="M2" s="9" t="s">
        <v>100</v>
      </c>
      <c r="N2" s="11" t="s">
        <v>101</v>
      </c>
      <c r="O2" s="11" t="s">
        <v>102</v>
      </c>
      <c r="P2" s="11" t="s">
        <v>103</v>
      </c>
      <c r="Q2" s="10"/>
      <c r="R2" s="12"/>
      <c r="S2" s="9"/>
      <c r="T2" s="11"/>
      <c r="U2" s="11"/>
      <c r="V2" s="11"/>
      <c r="W2" s="10"/>
      <c r="X2" s="12"/>
      <c r="Y2" s="9"/>
      <c r="Z2" s="11"/>
      <c r="AA2" s="11"/>
      <c r="AB2" s="11"/>
      <c r="AC2" s="9"/>
      <c r="AD2" s="10" t="n">
        <v>53900</v>
      </c>
      <c r="AE2" s="9" t="s">
        <v>100</v>
      </c>
      <c r="AF2" s="11" t="s">
        <v>104</v>
      </c>
      <c r="AG2" s="11" t="s">
        <v>105</v>
      </c>
      <c r="AH2" s="11" t="s">
        <v>106</v>
      </c>
      <c r="AI2" s="10"/>
      <c r="AJ2" s="9"/>
      <c r="AK2" s="11"/>
      <c r="AL2" s="11"/>
      <c r="AM2" s="11"/>
    </row>
    <row r="3" customFormat="false" ht="15" hidden="false" customHeight="false" outlineLevel="0" collapsed="false">
      <c r="A3" s="9" t="s">
        <v>94</v>
      </c>
      <c r="B3" s="9" t="s">
        <v>95</v>
      </c>
      <c r="C3" s="9" t="s">
        <v>96</v>
      </c>
      <c r="D3" s="9" t="s">
        <v>97</v>
      </c>
      <c r="E3" s="9" t="n">
        <v>1</v>
      </c>
      <c r="F3" s="9" t="n">
        <v>1</v>
      </c>
      <c r="G3" s="9" t="n">
        <v>2011</v>
      </c>
      <c r="H3" s="10" t="n">
        <v>22340024</v>
      </c>
      <c r="I3" s="11" t="s">
        <v>98</v>
      </c>
      <c r="J3" s="11" t="s">
        <v>99</v>
      </c>
      <c r="K3" s="10" t="n">
        <v>6018180</v>
      </c>
      <c r="L3" s="12" t="n">
        <f aca="false">IF(OR($H3="",K3=""),"",K3/$H3)</f>
        <v>0.269390041837019</v>
      </c>
      <c r="M3" s="9" t="s">
        <v>100</v>
      </c>
      <c r="N3" s="11" t="s">
        <v>101</v>
      </c>
      <c r="O3" s="11" t="s">
        <v>102</v>
      </c>
      <c r="P3" s="11" t="s">
        <v>103</v>
      </c>
      <c r="Q3" s="10"/>
      <c r="R3" s="12"/>
      <c r="S3" s="9"/>
      <c r="T3" s="11"/>
      <c r="U3" s="11"/>
      <c r="V3" s="11"/>
      <c r="W3" s="10"/>
      <c r="X3" s="12"/>
      <c r="Y3" s="9"/>
      <c r="Z3" s="11"/>
      <c r="AA3" s="11"/>
      <c r="AB3" s="11"/>
      <c r="AC3" s="9"/>
      <c r="AD3" s="10" t="n">
        <v>58400</v>
      </c>
      <c r="AE3" s="9" t="s">
        <v>100</v>
      </c>
      <c r="AF3" s="11" t="s">
        <v>104</v>
      </c>
      <c r="AG3" s="11" t="s">
        <v>105</v>
      </c>
      <c r="AH3" s="11" t="s">
        <v>107</v>
      </c>
      <c r="AI3" s="10"/>
      <c r="AJ3" s="9"/>
      <c r="AK3" s="11"/>
      <c r="AL3" s="11"/>
      <c r="AM3" s="11"/>
    </row>
    <row r="4" customFormat="false" ht="15" hidden="false" customHeight="false" outlineLevel="0" collapsed="false">
      <c r="A4" s="9" t="s">
        <v>94</v>
      </c>
      <c r="B4" s="9" t="s">
        <v>95</v>
      </c>
      <c r="C4" s="9" t="s">
        <v>96</v>
      </c>
      <c r="D4" s="9" t="s">
        <v>97</v>
      </c>
      <c r="E4" s="9" t="n">
        <v>1</v>
      </c>
      <c r="F4" s="9" t="n">
        <v>1</v>
      </c>
      <c r="G4" s="9" t="n">
        <v>2012</v>
      </c>
      <c r="H4" s="10" t="n">
        <v>22733465</v>
      </c>
      <c r="I4" s="11" t="s">
        <v>98</v>
      </c>
      <c r="J4" s="11" t="s">
        <v>99</v>
      </c>
      <c r="K4" s="10" t="n">
        <v>6214010</v>
      </c>
      <c r="L4" s="12" t="n">
        <f aca="false">IF(OR($H4="",K4=""),"",K4/$H4)</f>
        <v>0.273341965248148</v>
      </c>
      <c r="M4" s="9" t="s">
        <v>100</v>
      </c>
      <c r="N4" s="11" t="s">
        <v>101</v>
      </c>
      <c r="O4" s="11" t="s">
        <v>102</v>
      </c>
      <c r="P4" s="11" t="s">
        <v>103</v>
      </c>
      <c r="Q4" s="10"/>
      <c r="R4" s="12"/>
      <c r="S4" s="9"/>
      <c r="T4" s="11"/>
      <c r="U4" s="11"/>
      <c r="V4" s="11"/>
      <c r="W4" s="10"/>
      <c r="X4" s="12"/>
      <c r="Y4" s="9"/>
      <c r="Z4" s="11"/>
      <c r="AA4" s="11"/>
      <c r="AB4" s="11"/>
      <c r="AC4" s="9"/>
      <c r="AD4" s="10"/>
      <c r="AE4" s="9"/>
      <c r="AF4" s="11"/>
      <c r="AG4" s="11"/>
      <c r="AH4" s="11"/>
      <c r="AI4" s="10"/>
      <c r="AJ4" s="9"/>
      <c r="AK4" s="11"/>
      <c r="AL4" s="11"/>
      <c r="AM4" s="11"/>
    </row>
    <row r="5" customFormat="false" ht="15" hidden="false" customHeight="false" outlineLevel="0" collapsed="false">
      <c r="A5" s="9" t="s">
        <v>94</v>
      </c>
      <c r="B5" s="9" t="s">
        <v>95</v>
      </c>
      <c r="C5" s="9" t="s">
        <v>96</v>
      </c>
      <c r="D5" s="9" t="s">
        <v>97</v>
      </c>
      <c r="E5" s="9" t="n">
        <v>1</v>
      </c>
      <c r="F5" s="9" t="n">
        <v>1</v>
      </c>
      <c r="G5" s="9" t="n">
        <v>2013</v>
      </c>
      <c r="H5" s="10" t="n">
        <v>23128129</v>
      </c>
      <c r="I5" s="11" t="s">
        <v>98</v>
      </c>
      <c r="J5" s="11" t="s">
        <v>99</v>
      </c>
      <c r="K5" s="10" t="n">
        <v>6408740</v>
      </c>
      <c r="L5" s="12" t="n">
        <f aca="false">IF(OR($H5="",K5=""),"",K5/$H5)</f>
        <v>0.277097209203563</v>
      </c>
      <c r="M5" s="9" t="s">
        <v>100</v>
      </c>
      <c r="N5" s="11" t="s">
        <v>101</v>
      </c>
      <c r="O5" s="11" t="s">
        <v>102</v>
      </c>
      <c r="P5" s="11" t="s">
        <v>103</v>
      </c>
      <c r="Q5" s="10"/>
      <c r="R5" s="12"/>
      <c r="S5" s="9"/>
      <c r="T5" s="11"/>
      <c r="U5" s="11"/>
      <c r="V5" s="11"/>
      <c r="W5" s="10"/>
      <c r="X5" s="12"/>
      <c r="Y5" s="9"/>
      <c r="Z5" s="11"/>
      <c r="AA5" s="11"/>
      <c r="AB5" s="11"/>
      <c r="AC5" s="9"/>
      <c r="AD5" s="10"/>
      <c r="AE5" s="9"/>
      <c r="AF5" s="11"/>
      <c r="AG5" s="11"/>
      <c r="AH5" s="11"/>
      <c r="AI5" s="10"/>
      <c r="AJ5" s="9"/>
      <c r="AK5" s="11"/>
      <c r="AL5" s="11"/>
      <c r="AM5" s="11"/>
    </row>
    <row r="6" customFormat="false" ht="15" hidden="false" customHeight="false" outlineLevel="0" collapsed="false">
      <c r="A6" s="9" t="s">
        <v>94</v>
      </c>
      <c r="B6" s="9" t="s">
        <v>95</v>
      </c>
      <c r="C6" s="9" t="s">
        <v>96</v>
      </c>
      <c r="D6" s="9" t="s">
        <v>97</v>
      </c>
      <c r="E6" s="9" t="n">
        <v>1</v>
      </c>
      <c r="F6" s="9" t="n">
        <v>1</v>
      </c>
      <c r="G6" s="9" t="n">
        <v>2014</v>
      </c>
      <c r="H6" s="10" t="n">
        <v>23475686</v>
      </c>
      <c r="I6" s="11" t="s">
        <v>98</v>
      </c>
      <c r="J6" s="11" t="s">
        <v>99</v>
      </c>
      <c r="K6" s="10" t="n">
        <v>6570240</v>
      </c>
      <c r="L6" s="12" t="n">
        <f aca="false">IF(OR($H6="",K6=""),"",K6/$H6)</f>
        <v>0.279874249468152</v>
      </c>
      <c r="M6" s="9" t="s">
        <v>100</v>
      </c>
      <c r="N6" s="11" t="s">
        <v>101</v>
      </c>
      <c r="O6" s="11" t="s">
        <v>102</v>
      </c>
      <c r="P6" s="11" t="s">
        <v>103</v>
      </c>
      <c r="Q6" s="10"/>
      <c r="R6" s="12"/>
      <c r="S6" s="9"/>
      <c r="T6" s="11"/>
      <c r="U6" s="11"/>
      <c r="V6" s="11"/>
      <c r="W6" s="10"/>
      <c r="X6" s="12"/>
      <c r="Y6" s="9"/>
      <c r="Z6" s="11"/>
      <c r="AA6" s="11"/>
      <c r="AB6" s="11"/>
      <c r="AC6" s="9"/>
      <c r="AD6" s="10"/>
      <c r="AE6" s="9"/>
      <c r="AF6" s="11"/>
      <c r="AG6" s="11"/>
      <c r="AH6" s="11"/>
      <c r="AI6" s="10"/>
      <c r="AJ6" s="9"/>
      <c r="AK6" s="11"/>
      <c r="AL6" s="11"/>
      <c r="AM6" s="11"/>
    </row>
    <row r="7" customFormat="false" ht="15" hidden="false" customHeight="false" outlineLevel="0" collapsed="false">
      <c r="A7" s="9" t="s">
        <v>94</v>
      </c>
      <c r="B7" s="9" t="s">
        <v>95</v>
      </c>
      <c r="C7" s="9" t="s">
        <v>96</v>
      </c>
      <c r="D7" s="9" t="s">
        <v>97</v>
      </c>
      <c r="E7" s="9" t="n">
        <v>1</v>
      </c>
      <c r="F7" s="9" t="n">
        <v>1</v>
      </c>
      <c r="G7" s="9" t="n">
        <v>2015</v>
      </c>
      <c r="H7" s="10" t="n">
        <v>23815995</v>
      </c>
      <c r="I7" s="11" t="s">
        <v>98</v>
      </c>
      <c r="J7" s="11" t="s">
        <v>99</v>
      </c>
      <c r="K7" s="10" t="n">
        <v>6729730</v>
      </c>
      <c r="L7" s="12" t="n">
        <f aca="false">IF(OR($H7="",K7=""),"",K7/$H7)</f>
        <v>0.282571859794227</v>
      </c>
      <c r="M7" s="9" t="s">
        <v>100</v>
      </c>
      <c r="N7" s="11" t="s">
        <v>101</v>
      </c>
      <c r="O7" s="11" t="s">
        <v>102</v>
      </c>
      <c r="P7" s="11" t="s">
        <v>103</v>
      </c>
      <c r="Q7" s="10"/>
      <c r="R7" s="12"/>
      <c r="S7" s="9"/>
      <c r="T7" s="11"/>
      <c r="U7" s="11"/>
      <c r="V7" s="11"/>
      <c r="W7" s="10"/>
      <c r="X7" s="12"/>
      <c r="Y7" s="9"/>
      <c r="Z7" s="11"/>
      <c r="AA7" s="11"/>
      <c r="AB7" s="11"/>
      <c r="AC7" s="9"/>
      <c r="AD7" s="10"/>
      <c r="AE7" s="9"/>
      <c r="AF7" s="11"/>
      <c r="AG7" s="11"/>
      <c r="AH7" s="11"/>
      <c r="AI7" s="10"/>
      <c r="AJ7" s="9"/>
      <c r="AK7" s="11"/>
      <c r="AL7" s="11"/>
      <c r="AM7" s="11"/>
    </row>
    <row r="8" customFormat="false" ht="15" hidden="false" customHeight="false" outlineLevel="0" collapsed="false">
      <c r="A8" s="9" t="s">
        <v>94</v>
      </c>
      <c r="B8" s="9" t="s">
        <v>95</v>
      </c>
      <c r="C8" s="9" t="s">
        <v>96</v>
      </c>
      <c r="D8" s="9" t="s">
        <v>97</v>
      </c>
      <c r="E8" s="9" t="n">
        <v>1</v>
      </c>
      <c r="F8" s="9" t="n">
        <v>1</v>
      </c>
      <c r="G8" s="9" t="n">
        <v>2016</v>
      </c>
      <c r="H8" s="10" t="n">
        <v>24190907</v>
      </c>
      <c r="I8" s="11" t="s">
        <v>98</v>
      </c>
      <c r="J8" s="11" t="s">
        <v>99</v>
      </c>
      <c r="K8" s="10" t="n">
        <v>6912110</v>
      </c>
      <c r="L8" s="12" t="n">
        <f aca="false">IF(OR($H8="",K8=""),"",K8/$H8)</f>
        <v>0.285731742096317</v>
      </c>
      <c r="M8" s="9" t="s">
        <v>100</v>
      </c>
      <c r="N8" s="11" t="s">
        <v>101</v>
      </c>
      <c r="O8" s="11" t="s">
        <v>102</v>
      </c>
      <c r="P8" s="11" t="s">
        <v>103</v>
      </c>
      <c r="Q8" s="10"/>
      <c r="R8" s="12"/>
      <c r="S8" s="9"/>
      <c r="T8" s="11"/>
      <c r="U8" s="11"/>
      <c r="V8" s="11"/>
      <c r="W8" s="10"/>
      <c r="X8" s="12"/>
      <c r="Y8" s="9"/>
      <c r="Z8" s="11"/>
      <c r="AA8" s="11"/>
      <c r="AB8" s="11"/>
      <c r="AC8" s="9"/>
      <c r="AD8" s="10" t="n">
        <v>64600</v>
      </c>
      <c r="AE8" s="9" t="s">
        <v>100</v>
      </c>
      <c r="AF8" s="11" t="s">
        <v>108</v>
      </c>
      <c r="AG8" s="11" t="s">
        <v>109</v>
      </c>
      <c r="AH8" s="11" t="s">
        <v>110</v>
      </c>
      <c r="AI8" s="10"/>
      <c r="AJ8" s="9"/>
      <c r="AK8" s="11"/>
      <c r="AL8" s="11"/>
      <c r="AM8" s="11"/>
    </row>
    <row r="9" customFormat="false" ht="15" hidden="false" customHeight="false" outlineLevel="0" collapsed="false">
      <c r="A9" s="9" t="s">
        <v>94</v>
      </c>
      <c r="B9" s="9" t="s">
        <v>95</v>
      </c>
      <c r="C9" s="9" t="s">
        <v>96</v>
      </c>
      <c r="D9" s="9" t="s">
        <v>97</v>
      </c>
      <c r="E9" s="9" t="n">
        <v>1</v>
      </c>
      <c r="F9" s="9" t="n">
        <v>1</v>
      </c>
      <c r="G9" s="9" t="n">
        <v>2017</v>
      </c>
      <c r="H9" s="10" t="n">
        <v>24592588</v>
      </c>
      <c r="I9" s="11" t="s">
        <v>98</v>
      </c>
      <c r="J9" s="11" t="s">
        <v>99</v>
      </c>
      <c r="K9" s="10" t="n">
        <v>7142030</v>
      </c>
      <c r="L9" s="12" t="n">
        <f aca="false">IF(OR($H9="",K9=""),"",K9/$H9)</f>
        <v>0.290413924715853</v>
      </c>
      <c r="M9" s="9" t="s">
        <v>100</v>
      </c>
      <c r="N9" s="11" t="s">
        <v>101</v>
      </c>
      <c r="O9" s="11" t="s">
        <v>102</v>
      </c>
      <c r="P9" s="11" t="s">
        <v>103</v>
      </c>
      <c r="Q9" s="10"/>
      <c r="R9" s="12"/>
      <c r="S9" s="9"/>
      <c r="T9" s="11"/>
      <c r="U9" s="11"/>
      <c r="V9" s="11"/>
      <c r="W9" s="10"/>
      <c r="X9" s="12"/>
      <c r="Y9" s="9"/>
      <c r="Z9" s="11"/>
      <c r="AA9" s="11"/>
      <c r="AB9" s="11"/>
      <c r="AC9" s="9"/>
      <c r="AD9" s="10"/>
      <c r="AE9" s="9"/>
      <c r="AF9" s="11"/>
      <c r="AG9" s="11"/>
      <c r="AH9" s="11"/>
      <c r="AI9" s="10"/>
      <c r="AJ9" s="9"/>
      <c r="AK9" s="11"/>
      <c r="AL9" s="11"/>
      <c r="AM9" s="11"/>
    </row>
    <row r="10" customFormat="false" ht="15" hidden="false" customHeight="false" outlineLevel="0" collapsed="false">
      <c r="A10" s="9" t="s">
        <v>94</v>
      </c>
      <c r="B10" s="9" t="s">
        <v>95</v>
      </c>
      <c r="C10" s="9" t="s">
        <v>96</v>
      </c>
      <c r="D10" s="9" t="s">
        <v>97</v>
      </c>
      <c r="E10" s="9" t="n">
        <v>1</v>
      </c>
      <c r="F10" s="9" t="n">
        <v>1</v>
      </c>
      <c r="G10" s="9" t="n">
        <v>2018</v>
      </c>
      <c r="H10" s="10" t="n">
        <v>24963258</v>
      </c>
      <c r="I10" s="11" t="s">
        <v>98</v>
      </c>
      <c r="J10" s="11" t="s">
        <v>99</v>
      </c>
      <c r="K10" s="10" t="n">
        <v>7346520</v>
      </c>
      <c r="L10" s="12" t="n">
        <f aca="false">IF(OR($H10="",K10=""),"",K10/$H10)</f>
        <v>0.294293317002132</v>
      </c>
      <c r="M10" s="9" t="s">
        <v>100</v>
      </c>
      <c r="N10" s="11" t="s">
        <v>101</v>
      </c>
      <c r="O10" s="11" t="s">
        <v>102</v>
      </c>
      <c r="P10" s="11" t="s">
        <v>103</v>
      </c>
      <c r="Q10" s="10"/>
      <c r="R10" s="12"/>
      <c r="S10" s="9"/>
      <c r="T10" s="11"/>
      <c r="U10" s="11"/>
      <c r="V10" s="11"/>
      <c r="W10" s="10"/>
      <c r="X10" s="12"/>
      <c r="Y10" s="9"/>
      <c r="Z10" s="11"/>
      <c r="AA10" s="11"/>
      <c r="AB10" s="11"/>
      <c r="AC10" s="9"/>
      <c r="AD10" s="10"/>
      <c r="AE10" s="9"/>
      <c r="AF10" s="11"/>
      <c r="AG10" s="11"/>
      <c r="AH10" s="11"/>
      <c r="AI10" s="10"/>
      <c r="AJ10" s="9"/>
      <c r="AK10" s="11"/>
      <c r="AL10" s="11"/>
      <c r="AM10" s="11"/>
    </row>
    <row r="11" customFormat="false" ht="15" hidden="false" customHeight="false" outlineLevel="0" collapsed="false">
      <c r="A11" s="9" t="s">
        <v>94</v>
      </c>
      <c r="B11" s="9" t="s">
        <v>95</v>
      </c>
      <c r="C11" s="9" t="s">
        <v>96</v>
      </c>
      <c r="D11" s="9" t="s">
        <v>97</v>
      </c>
      <c r="E11" s="9" t="n">
        <v>1</v>
      </c>
      <c r="F11" s="9" t="n">
        <v>1</v>
      </c>
      <c r="G11" s="9" t="n">
        <v>2019</v>
      </c>
      <c r="H11" s="10" t="n">
        <v>25334826</v>
      </c>
      <c r="I11" s="11" t="s">
        <v>98</v>
      </c>
      <c r="J11" s="11" t="s">
        <v>99</v>
      </c>
      <c r="K11" s="10" t="n">
        <v>7549660</v>
      </c>
      <c r="L11" s="12" t="n">
        <f aca="false">IF(OR($H11="",K11=""),"",K11/$H11)</f>
        <v>0.297995336537934</v>
      </c>
      <c r="M11" s="9" t="s">
        <v>100</v>
      </c>
      <c r="N11" s="11" t="s">
        <v>101</v>
      </c>
      <c r="O11" s="11" t="s">
        <v>102</v>
      </c>
      <c r="P11" s="11" t="s">
        <v>103</v>
      </c>
      <c r="Q11" s="10"/>
      <c r="R11" s="12"/>
      <c r="S11" s="9"/>
      <c r="T11" s="11"/>
      <c r="U11" s="11"/>
      <c r="V11" s="11"/>
      <c r="W11" s="10"/>
      <c r="X11" s="12"/>
      <c r="Y11" s="9"/>
      <c r="Z11" s="11"/>
      <c r="AA11" s="11"/>
      <c r="AB11" s="11"/>
      <c r="AC11" s="9"/>
      <c r="AD11" s="10"/>
      <c r="AE11" s="9"/>
      <c r="AF11" s="11"/>
      <c r="AG11" s="11"/>
      <c r="AH11" s="11"/>
      <c r="AI11" s="10"/>
      <c r="AJ11" s="9"/>
      <c r="AK11" s="11"/>
      <c r="AL11" s="11"/>
      <c r="AM11" s="11"/>
    </row>
    <row r="12" customFormat="false" ht="15" hidden="false" customHeight="false" outlineLevel="0" collapsed="false">
      <c r="A12" s="9" t="s">
        <v>94</v>
      </c>
      <c r="B12" s="9" t="s">
        <v>95</v>
      </c>
      <c r="C12" s="9" t="s">
        <v>96</v>
      </c>
      <c r="D12" s="9" t="s">
        <v>97</v>
      </c>
      <c r="E12" s="9" t="n">
        <v>1</v>
      </c>
      <c r="F12" s="9" t="n">
        <v>1</v>
      </c>
      <c r="G12" s="9" t="n">
        <v>2020</v>
      </c>
      <c r="H12" s="10" t="n">
        <v>25649248</v>
      </c>
      <c r="I12" s="11" t="s">
        <v>98</v>
      </c>
      <c r="J12" s="11" t="s">
        <v>99</v>
      </c>
      <c r="K12" s="10" t="n">
        <v>7672450</v>
      </c>
      <c r="L12" s="12" t="n">
        <f aca="false">IF(OR($H12="",K12=""),"",K12/$H12)</f>
        <v>0.299129627504089</v>
      </c>
      <c r="M12" s="9" t="s">
        <v>100</v>
      </c>
      <c r="N12" s="11" t="s">
        <v>101</v>
      </c>
      <c r="O12" s="11" t="s">
        <v>102</v>
      </c>
      <c r="P12" s="11" t="s">
        <v>103</v>
      </c>
      <c r="Q12" s="10"/>
      <c r="R12" s="12"/>
      <c r="S12" s="9"/>
      <c r="T12" s="11"/>
      <c r="U12" s="11"/>
      <c r="V12" s="11"/>
      <c r="W12" s="10"/>
      <c r="X12" s="12"/>
      <c r="Y12" s="9"/>
      <c r="Z12" s="11"/>
      <c r="AA12" s="11"/>
      <c r="AB12" s="11"/>
      <c r="AC12" s="9"/>
      <c r="AD12" s="10"/>
      <c r="AE12" s="9"/>
      <c r="AF12" s="11"/>
      <c r="AG12" s="11"/>
      <c r="AH12" s="11"/>
      <c r="AI12" s="10"/>
      <c r="AJ12" s="9"/>
      <c r="AK12" s="11"/>
      <c r="AL12" s="11"/>
      <c r="AM12" s="11"/>
    </row>
    <row r="13" customFormat="false" ht="15" hidden="false" customHeight="false" outlineLevel="0" collapsed="false">
      <c r="A13" s="9" t="s">
        <v>94</v>
      </c>
      <c r="B13" s="9" t="s">
        <v>95</v>
      </c>
      <c r="C13" s="9" t="s">
        <v>96</v>
      </c>
      <c r="D13" s="9" t="s">
        <v>97</v>
      </c>
      <c r="E13" s="9" t="n">
        <v>1</v>
      </c>
      <c r="F13" s="9" t="n">
        <v>1</v>
      </c>
      <c r="G13" s="9" t="n">
        <v>2021</v>
      </c>
      <c r="H13" s="10" t="n">
        <v>25685412</v>
      </c>
      <c r="I13" s="11" t="s">
        <v>98</v>
      </c>
      <c r="J13" s="11" t="s">
        <v>99</v>
      </c>
      <c r="K13" s="10" t="n">
        <v>7525860</v>
      </c>
      <c r="L13" s="12" t="n">
        <f aca="false">IF(OR($H13="",K13=""),"",K13/$H13)</f>
        <v>0.29300133476543</v>
      </c>
      <c r="M13" s="9" t="s">
        <v>100</v>
      </c>
      <c r="N13" s="11" t="s">
        <v>101</v>
      </c>
      <c r="O13" s="11" t="s">
        <v>102</v>
      </c>
      <c r="P13" s="11" t="s">
        <v>103</v>
      </c>
      <c r="Q13" s="10"/>
      <c r="R13" s="12"/>
      <c r="S13" s="9"/>
      <c r="T13" s="11"/>
      <c r="U13" s="11"/>
      <c r="V13" s="11"/>
      <c r="W13" s="10"/>
      <c r="X13" s="12"/>
      <c r="Y13" s="9"/>
      <c r="Z13" s="11"/>
      <c r="AA13" s="11"/>
      <c r="AB13" s="11"/>
      <c r="AC13" s="9"/>
      <c r="AD13" s="10"/>
      <c r="AE13" s="9"/>
      <c r="AF13" s="11"/>
      <c r="AG13" s="11"/>
      <c r="AH13" s="11"/>
      <c r="AI13" s="10"/>
      <c r="AJ13" s="9"/>
      <c r="AK13" s="11"/>
      <c r="AL13" s="11"/>
      <c r="AM13" s="11"/>
    </row>
    <row r="14" customFormat="false" ht="15" hidden="false" customHeight="false" outlineLevel="0" collapsed="false">
      <c r="A14" s="9" t="s">
        <v>94</v>
      </c>
      <c r="B14" s="9" t="s">
        <v>95</v>
      </c>
      <c r="C14" s="9" t="s">
        <v>96</v>
      </c>
      <c r="D14" s="9" t="s">
        <v>97</v>
      </c>
      <c r="E14" s="9" t="n">
        <v>1</v>
      </c>
      <c r="F14" s="9" t="n">
        <v>1</v>
      </c>
      <c r="G14" s="9" t="n">
        <v>2022</v>
      </c>
      <c r="H14" s="10" t="n">
        <v>26018721</v>
      </c>
      <c r="I14" s="11" t="s">
        <v>98</v>
      </c>
      <c r="J14" s="11" t="s">
        <v>99</v>
      </c>
      <c r="K14" s="10" t="n">
        <v>7681720</v>
      </c>
      <c r="L14" s="12" t="n">
        <f aca="false">IF(OR($H14="",K14=""),"",K14/$H14)</f>
        <v>0.29523818638126</v>
      </c>
      <c r="M14" s="9" t="s">
        <v>100</v>
      </c>
      <c r="N14" s="11" t="s">
        <v>101</v>
      </c>
      <c r="O14" s="11" t="s">
        <v>102</v>
      </c>
      <c r="P14" s="11" t="s">
        <v>103</v>
      </c>
      <c r="Q14" s="10"/>
      <c r="R14" s="12"/>
      <c r="S14" s="9"/>
      <c r="T14" s="11"/>
      <c r="U14" s="11"/>
      <c r="V14" s="11"/>
      <c r="W14" s="10"/>
      <c r="X14" s="12"/>
      <c r="Y14" s="9"/>
      <c r="Z14" s="11"/>
      <c r="AA14" s="11"/>
      <c r="AB14" s="11"/>
      <c r="AC14" s="9"/>
      <c r="AD14" s="10"/>
      <c r="AE14" s="9"/>
      <c r="AF14" s="11"/>
      <c r="AG14" s="11"/>
      <c r="AH14" s="11"/>
      <c r="AI14" s="10"/>
      <c r="AJ14" s="9"/>
      <c r="AK14" s="11"/>
      <c r="AL14" s="11"/>
      <c r="AM14" s="11"/>
    </row>
    <row r="15" customFormat="false" ht="15" hidden="false" customHeight="false" outlineLevel="0" collapsed="false">
      <c r="A15" s="9" t="s">
        <v>111</v>
      </c>
      <c r="B15" s="9" t="s">
        <v>112</v>
      </c>
      <c r="C15" s="9" t="s">
        <v>113</v>
      </c>
      <c r="D15" s="9" t="s">
        <v>114</v>
      </c>
      <c r="E15" s="9" t="n">
        <v>0</v>
      </c>
      <c r="F15" s="9" t="n">
        <v>1</v>
      </c>
      <c r="G15" s="9" t="n">
        <v>2010</v>
      </c>
      <c r="H15" s="10" t="n">
        <v>8363404</v>
      </c>
      <c r="I15" s="11" t="s">
        <v>98</v>
      </c>
      <c r="J15" s="11" t="s">
        <v>99</v>
      </c>
      <c r="K15" s="10" t="n">
        <v>1274901</v>
      </c>
      <c r="L15" s="12" t="n">
        <f aca="false">IF(OR($H15="",K15=""),"",K15/$H15)</f>
        <v>0.152438050344094</v>
      </c>
      <c r="M15" s="9" t="s">
        <v>115</v>
      </c>
      <c r="N15" s="11" t="s">
        <v>116</v>
      </c>
      <c r="O15" s="11" t="s">
        <v>117</v>
      </c>
      <c r="P15" s="11" t="s">
        <v>118</v>
      </c>
      <c r="Q15" s="10" t="n">
        <v>879102</v>
      </c>
      <c r="R15" s="12" t="n">
        <f aca="false">IF(OR($H15="",Q15=""),"",Q15/$H15)</f>
        <v>0.105112942050868</v>
      </c>
      <c r="S15" s="9" t="s">
        <v>115</v>
      </c>
      <c r="T15" s="11" t="s">
        <v>119</v>
      </c>
      <c r="U15" s="11" t="s">
        <v>120</v>
      </c>
      <c r="V15" s="11" t="s">
        <v>121</v>
      </c>
      <c r="W15" s="10"/>
      <c r="X15" s="12"/>
      <c r="Y15" s="9"/>
      <c r="Z15" s="11"/>
      <c r="AA15" s="11"/>
      <c r="AB15" s="11"/>
      <c r="AC15" s="9"/>
      <c r="AD15" s="10"/>
      <c r="AE15" s="9"/>
      <c r="AF15" s="11"/>
      <c r="AG15" s="11"/>
      <c r="AH15" s="11"/>
      <c r="AI15" s="10" t="n">
        <v>15220</v>
      </c>
      <c r="AJ15" s="9" t="s">
        <v>122</v>
      </c>
      <c r="AK15" s="11" t="s">
        <v>123</v>
      </c>
      <c r="AL15" s="11" t="s">
        <v>124</v>
      </c>
      <c r="AM15" s="11" t="s">
        <v>125</v>
      </c>
    </row>
    <row r="16" customFormat="false" ht="15" hidden="false" customHeight="false" outlineLevel="0" collapsed="false">
      <c r="A16" s="9" t="s">
        <v>111</v>
      </c>
      <c r="B16" s="9" t="s">
        <v>112</v>
      </c>
      <c r="C16" s="9" t="s">
        <v>113</v>
      </c>
      <c r="D16" s="9" t="s">
        <v>114</v>
      </c>
      <c r="E16" s="9" t="n">
        <v>0</v>
      </c>
      <c r="F16" s="9" t="n">
        <v>1</v>
      </c>
      <c r="G16" s="9" t="n">
        <v>2011</v>
      </c>
      <c r="H16" s="10" t="n">
        <v>8391643</v>
      </c>
      <c r="I16" s="11" t="s">
        <v>98</v>
      </c>
      <c r="J16" s="11" t="s">
        <v>99</v>
      </c>
      <c r="K16" s="10" t="n">
        <v>1294224</v>
      </c>
      <c r="L16" s="12" t="n">
        <f aca="false">IF(OR($H16="",K16=""),"",K16/$H16)</f>
        <v>0.154227723939162</v>
      </c>
      <c r="M16" s="9" t="s">
        <v>115</v>
      </c>
      <c r="N16" s="11" t="s">
        <v>116</v>
      </c>
      <c r="O16" s="11" t="s">
        <v>117</v>
      </c>
      <c r="P16" s="11" t="s">
        <v>118</v>
      </c>
      <c r="Q16" s="10" t="n">
        <v>908591</v>
      </c>
      <c r="R16" s="12" t="n">
        <f aca="false">IF(OR($H16="",Q16=""),"",Q16/$H16)</f>
        <v>0.10827331429614</v>
      </c>
      <c r="S16" s="9" t="s">
        <v>115</v>
      </c>
      <c r="T16" s="11" t="s">
        <v>119</v>
      </c>
      <c r="U16" s="11" t="s">
        <v>120</v>
      </c>
      <c r="V16" s="11" t="s">
        <v>121</v>
      </c>
      <c r="W16" s="10"/>
      <c r="X16" s="12"/>
      <c r="Y16" s="9"/>
      <c r="Z16" s="11"/>
      <c r="AA16" s="11"/>
      <c r="AB16" s="11"/>
      <c r="AC16" s="9"/>
      <c r="AD16" s="10"/>
      <c r="AE16" s="9"/>
      <c r="AF16" s="11"/>
      <c r="AG16" s="11"/>
      <c r="AH16" s="11"/>
      <c r="AI16" s="10" t="n">
        <v>20080</v>
      </c>
      <c r="AJ16" s="9" t="s">
        <v>122</v>
      </c>
      <c r="AK16" s="11" t="s">
        <v>123</v>
      </c>
      <c r="AL16" s="11" t="s">
        <v>124</v>
      </c>
      <c r="AM16" s="11" t="s">
        <v>125</v>
      </c>
    </row>
    <row r="17" customFormat="false" ht="15" hidden="false" customHeight="false" outlineLevel="0" collapsed="false">
      <c r="A17" s="9" t="s">
        <v>111</v>
      </c>
      <c r="B17" s="9" t="s">
        <v>112</v>
      </c>
      <c r="C17" s="9" t="s">
        <v>113</v>
      </c>
      <c r="D17" s="9" t="s">
        <v>114</v>
      </c>
      <c r="E17" s="9" t="n">
        <v>0</v>
      </c>
      <c r="F17" s="9" t="n">
        <v>1</v>
      </c>
      <c r="G17" s="9" t="n">
        <v>2012</v>
      </c>
      <c r="H17" s="10" t="n">
        <v>8429991</v>
      </c>
      <c r="I17" s="11" t="s">
        <v>98</v>
      </c>
      <c r="J17" s="11" t="s">
        <v>99</v>
      </c>
      <c r="K17" s="10" t="n">
        <v>1322656</v>
      </c>
      <c r="L17" s="12" t="n">
        <f aca="false">IF(OR($H17="",K17=""),"",K17/$H17)</f>
        <v>0.1568988626441</v>
      </c>
      <c r="M17" s="9" t="s">
        <v>115</v>
      </c>
      <c r="N17" s="11" t="s">
        <v>116</v>
      </c>
      <c r="O17" s="11" t="s">
        <v>117</v>
      </c>
      <c r="P17" s="11" t="s">
        <v>118</v>
      </c>
      <c r="Q17" s="10" t="n">
        <v>946610</v>
      </c>
      <c r="R17" s="12" t="n">
        <f aca="false">IF(OR($H17="",Q17=""),"",Q17/$H17)</f>
        <v>0.11229074859036</v>
      </c>
      <c r="S17" s="9" t="s">
        <v>115</v>
      </c>
      <c r="T17" s="11" t="s">
        <v>119</v>
      </c>
      <c r="U17" s="11" t="s">
        <v>120</v>
      </c>
      <c r="V17" s="11" t="s">
        <v>121</v>
      </c>
      <c r="W17" s="10"/>
      <c r="X17" s="12"/>
      <c r="Y17" s="9"/>
      <c r="Z17" s="11"/>
      <c r="AA17" s="11"/>
      <c r="AB17" s="11"/>
      <c r="AC17" s="9"/>
      <c r="AD17" s="10"/>
      <c r="AE17" s="9"/>
      <c r="AF17" s="11"/>
      <c r="AG17" s="11"/>
      <c r="AH17" s="11"/>
      <c r="AI17" s="10" t="n">
        <v>23135</v>
      </c>
      <c r="AJ17" s="9" t="s">
        <v>122</v>
      </c>
      <c r="AK17" s="11" t="s">
        <v>123</v>
      </c>
      <c r="AL17" s="11" t="s">
        <v>124</v>
      </c>
      <c r="AM17" s="11" t="s">
        <v>125</v>
      </c>
    </row>
    <row r="18" customFormat="false" ht="15" hidden="false" customHeight="false" outlineLevel="0" collapsed="false">
      <c r="A18" s="9" t="s">
        <v>111</v>
      </c>
      <c r="B18" s="9" t="s">
        <v>112</v>
      </c>
      <c r="C18" s="9" t="s">
        <v>113</v>
      </c>
      <c r="D18" s="9" t="s">
        <v>114</v>
      </c>
      <c r="E18" s="9" t="n">
        <v>0</v>
      </c>
      <c r="F18" s="9" t="n">
        <v>1</v>
      </c>
      <c r="G18" s="9" t="n">
        <v>2013</v>
      </c>
      <c r="H18" s="10" t="n">
        <v>8479823</v>
      </c>
      <c r="I18" s="11" t="s">
        <v>98</v>
      </c>
      <c r="J18" s="11" t="s">
        <v>99</v>
      </c>
      <c r="K18" s="10" t="n">
        <v>1364003</v>
      </c>
      <c r="L18" s="12" t="n">
        <f aca="false">IF(OR($H18="",K18=""),"",K18/$H18)</f>
        <v>0.160852767799517</v>
      </c>
      <c r="M18" s="9" t="s">
        <v>115</v>
      </c>
      <c r="N18" s="11" t="s">
        <v>116</v>
      </c>
      <c r="O18" s="11" t="s">
        <v>117</v>
      </c>
      <c r="P18" s="11" t="s">
        <v>118</v>
      </c>
      <c r="Q18" s="10" t="n">
        <v>999095</v>
      </c>
      <c r="R18" s="12" t="n">
        <f aca="false">IF(OR($H18="",Q18=""),"",Q18/$H18)</f>
        <v>0.117820265823945</v>
      </c>
      <c r="S18" s="9" t="s">
        <v>115</v>
      </c>
      <c r="T18" s="11" t="s">
        <v>119</v>
      </c>
      <c r="U18" s="11" t="s">
        <v>120</v>
      </c>
      <c r="V18" s="11" t="s">
        <v>121</v>
      </c>
      <c r="W18" s="10"/>
      <c r="X18" s="12"/>
      <c r="Y18" s="9"/>
      <c r="Z18" s="11"/>
      <c r="AA18" s="11"/>
      <c r="AB18" s="11"/>
      <c r="AC18" s="9"/>
      <c r="AD18" s="10"/>
      <c r="AE18" s="9"/>
      <c r="AF18" s="11"/>
      <c r="AG18" s="11"/>
      <c r="AH18" s="11"/>
      <c r="AI18" s="10" t="n">
        <v>25960</v>
      </c>
      <c r="AJ18" s="9" t="s">
        <v>122</v>
      </c>
      <c r="AK18" s="11" t="s">
        <v>123</v>
      </c>
      <c r="AL18" s="11" t="s">
        <v>124</v>
      </c>
      <c r="AM18" s="11" t="s">
        <v>125</v>
      </c>
    </row>
    <row r="19" customFormat="false" ht="15" hidden="false" customHeight="false" outlineLevel="0" collapsed="false">
      <c r="A19" s="9" t="s">
        <v>111</v>
      </c>
      <c r="B19" s="9" t="s">
        <v>112</v>
      </c>
      <c r="C19" s="9" t="s">
        <v>113</v>
      </c>
      <c r="D19" s="9" t="s">
        <v>114</v>
      </c>
      <c r="E19" s="9" t="n">
        <v>0</v>
      </c>
      <c r="F19" s="9" t="n">
        <v>1</v>
      </c>
      <c r="G19" s="9" t="n">
        <v>2014</v>
      </c>
      <c r="H19" s="10" t="n">
        <v>8546356</v>
      </c>
      <c r="I19" s="11" t="s">
        <v>98</v>
      </c>
      <c r="J19" s="11" t="s">
        <v>99</v>
      </c>
      <c r="K19" s="10" t="n">
        <v>1414215</v>
      </c>
      <c r="L19" s="12" t="n">
        <f aca="false">IF(OR($H19="",K19=""),"",K19/$H19)</f>
        <v>0.165475788745519</v>
      </c>
      <c r="M19" s="9" t="s">
        <v>115</v>
      </c>
      <c r="N19" s="11" t="s">
        <v>116</v>
      </c>
      <c r="O19" s="11" t="s">
        <v>117</v>
      </c>
      <c r="P19" s="11" t="s">
        <v>118</v>
      </c>
      <c r="Q19" s="10" t="n">
        <v>1060446</v>
      </c>
      <c r="R19" s="12" t="n">
        <f aca="false">IF(OR($H19="",Q19=""),"",Q19/$H19)</f>
        <v>0.124081655386225</v>
      </c>
      <c r="S19" s="9" t="s">
        <v>115</v>
      </c>
      <c r="T19" s="11" t="s">
        <v>119</v>
      </c>
      <c r="U19" s="11" t="s">
        <v>120</v>
      </c>
      <c r="V19" s="11" t="s">
        <v>121</v>
      </c>
      <c r="W19" s="10"/>
      <c r="X19" s="12"/>
      <c r="Y19" s="9"/>
      <c r="Z19" s="11"/>
      <c r="AA19" s="11"/>
      <c r="AB19" s="11"/>
      <c r="AC19" s="9"/>
      <c r="AD19" s="10"/>
      <c r="AE19" s="9"/>
      <c r="AF19" s="11"/>
      <c r="AG19" s="11"/>
      <c r="AH19" s="11"/>
      <c r="AI19" s="10" t="n">
        <v>33055</v>
      </c>
      <c r="AJ19" s="9" t="s">
        <v>122</v>
      </c>
      <c r="AK19" s="11" t="s">
        <v>123</v>
      </c>
      <c r="AL19" s="11" t="s">
        <v>124</v>
      </c>
      <c r="AM19" s="11" t="s">
        <v>125</v>
      </c>
    </row>
    <row r="20" customFormat="false" ht="15" hidden="false" customHeight="false" outlineLevel="0" collapsed="false">
      <c r="A20" s="9" t="s">
        <v>111</v>
      </c>
      <c r="B20" s="9" t="s">
        <v>112</v>
      </c>
      <c r="C20" s="9" t="s">
        <v>113</v>
      </c>
      <c r="D20" s="9" t="s">
        <v>114</v>
      </c>
      <c r="E20" s="9" t="n">
        <v>0</v>
      </c>
      <c r="F20" s="9" t="n">
        <v>1</v>
      </c>
      <c r="G20" s="9" t="n">
        <v>2015</v>
      </c>
      <c r="H20" s="10" t="n">
        <v>8642699</v>
      </c>
      <c r="I20" s="11" t="s">
        <v>98</v>
      </c>
      <c r="J20" s="11" t="s">
        <v>99</v>
      </c>
      <c r="K20" s="10" t="n">
        <v>1483123</v>
      </c>
      <c r="L20" s="12" t="n">
        <f aca="false">IF(OR($H20="",K20=""),"",K20/$H20)</f>
        <v>0.17160414819491</v>
      </c>
      <c r="M20" s="9" t="s">
        <v>115</v>
      </c>
      <c r="N20" s="11" t="s">
        <v>116</v>
      </c>
      <c r="O20" s="11" t="s">
        <v>117</v>
      </c>
      <c r="P20" s="11" t="s">
        <v>118</v>
      </c>
      <c r="Q20" s="10" t="n">
        <v>1139736</v>
      </c>
      <c r="R20" s="12" t="n">
        <f aca="false">IF(OR($H20="",Q20=""),"",Q20/$H20)</f>
        <v>0.131872693935077</v>
      </c>
      <c r="S20" s="9" t="s">
        <v>115</v>
      </c>
      <c r="T20" s="11" t="s">
        <v>119</v>
      </c>
      <c r="U20" s="11" t="s">
        <v>120</v>
      </c>
      <c r="V20" s="11" t="s">
        <v>121</v>
      </c>
      <c r="W20" s="10"/>
      <c r="X20" s="12"/>
      <c r="Y20" s="9"/>
      <c r="Z20" s="11"/>
      <c r="AA20" s="11"/>
      <c r="AB20" s="11"/>
      <c r="AC20" s="9"/>
      <c r="AD20" s="10"/>
      <c r="AE20" s="9"/>
      <c r="AF20" s="11"/>
      <c r="AG20" s="11"/>
      <c r="AH20" s="11"/>
      <c r="AI20" s="10" t="n">
        <v>86220</v>
      </c>
      <c r="AJ20" s="9" t="s">
        <v>122</v>
      </c>
      <c r="AK20" s="11" t="s">
        <v>123</v>
      </c>
      <c r="AL20" s="11" t="s">
        <v>124</v>
      </c>
      <c r="AM20" s="11" t="s">
        <v>125</v>
      </c>
    </row>
    <row r="21" customFormat="false" ht="15" hidden="false" customHeight="false" outlineLevel="0" collapsed="false">
      <c r="A21" s="9" t="s">
        <v>111</v>
      </c>
      <c r="B21" s="9" t="s">
        <v>112</v>
      </c>
      <c r="C21" s="9" t="s">
        <v>113</v>
      </c>
      <c r="D21" s="9" t="s">
        <v>114</v>
      </c>
      <c r="E21" s="9" t="n">
        <v>0</v>
      </c>
      <c r="F21" s="9" t="n">
        <v>1</v>
      </c>
      <c r="G21" s="9" t="n">
        <v>2016</v>
      </c>
      <c r="H21" s="10" t="n">
        <v>8736668</v>
      </c>
      <c r="I21" s="11" t="s">
        <v>98</v>
      </c>
      <c r="J21" s="11" t="s">
        <v>99</v>
      </c>
      <c r="K21" s="10" t="n">
        <v>1588209</v>
      </c>
      <c r="L21" s="12" t="n">
        <f aca="false">IF(OR($H21="",K21=""),"",K21/$H21)</f>
        <v>0.181786580421735</v>
      </c>
      <c r="M21" s="9" t="s">
        <v>115</v>
      </c>
      <c r="N21" s="11" t="s">
        <v>116</v>
      </c>
      <c r="O21" s="11" t="s">
        <v>117</v>
      </c>
      <c r="P21" s="11" t="s">
        <v>118</v>
      </c>
      <c r="Q21" s="10" t="n">
        <v>1260188</v>
      </c>
      <c r="R21" s="12" t="n">
        <f aca="false">IF(OR($H21="",Q21=""),"",Q21/$H21)</f>
        <v>0.144241259940288</v>
      </c>
      <c r="S21" s="9" t="s">
        <v>115</v>
      </c>
      <c r="T21" s="11" t="s">
        <v>119</v>
      </c>
      <c r="U21" s="11" t="s">
        <v>120</v>
      </c>
      <c r="V21" s="11" t="s">
        <v>121</v>
      </c>
      <c r="W21" s="10"/>
      <c r="X21" s="12"/>
      <c r="Y21" s="9"/>
      <c r="Z21" s="11"/>
      <c r="AA21" s="11"/>
      <c r="AB21" s="11"/>
      <c r="AC21" s="9"/>
      <c r="AD21" s="10"/>
      <c r="AE21" s="9"/>
      <c r="AF21" s="11"/>
      <c r="AG21" s="11"/>
      <c r="AH21" s="11"/>
      <c r="AI21" s="10" t="n">
        <v>49810</v>
      </c>
      <c r="AJ21" s="9" t="s">
        <v>122</v>
      </c>
      <c r="AK21" s="11" t="s">
        <v>123</v>
      </c>
      <c r="AL21" s="11" t="s">
        <v>124</v>
      </c>
      <c r="AM21" s="11" t="s">
        <v>125</v>
      </c>
    </row>
    <row r="22" customFormat="false" ht="15" hidden="false" customHeight="false" outlineLevel="0" collapsed="false">
      <c r="A22" s="9" t="s">
        <v>111</v>
      </c>
      <c r="B22" s="9" t="s">
        <v>112</v>
      </c>
      <c r="C22" s="9" t="s">
        <v>113</v>
      </c>
      <c r="D22" s="9" t="s">
        <v>114</v>
      </c>
      <c r="E22" s="9" t="n">
        <v>0</v>
      </c>
      <c r="F22" s="9" t="n">
        <v>1</v>
      </c>
      <c r="G22" s="9" t="n">
        <v>2017</v>
      </c>
      <c r="H22" s="10" t="n">
        <v>8797566</v>
      </c>
      <c r="I22" s="11" t="s">
        <v>98</v>
      </c>
      <c r="J22" s="11" t="s">
        <v>99</v>
      </c>
      <c r="K22" s="10" t="n">
        <v>1649008</v>
      </c>
      <c r="L22" s="12" t="n">
        <f aca="false">IF(OR($H22="",K22=""),"",K22/$H22)</f>
        <v>0.187439116682955</v>
      </c>
      <c r="M22" s="9" t="s">
        <v>115</v>
      </c>
      <c r="N22" s="11" t="s">
        <v>116</v>
      </c>
      <c r="O22" s="11" t="s">
        <v>117</v>
      </c>
      <c r="P22" s="11" t="s">
        <v>118</v>
      </c>
      <c r="Q22" s="10" t="n">
        <v>1333239</v>
      </c>
      <c r="R22" s="12" t="n">
        <f aca="false">IF(OR($H22="",Q22=""),"",Q22/$H22)</f>
        <v>0.151546348160389</v>
      </c>
      <c r="S22" s="9" t="s">
        <v>115</v>
      </c>
      <c r="T22" s="11" t="s">
        <v>119</v>
      </c>
      <c r="U22" s="11" t="s">
        <v>120</v>
      </c>
      <c r="V22" s="11" t="s">
        <v>121</v>
      </c>
      <c r="W22" s="10" t="n">
        <v>150000</v>
      </c>
      <c r="X22" s="12" t="n">
        <f aca="false">IF(OR($H22="",W22=""),"",W22/$H22)</f>
        <v>0.0170501704676043</v>
      </c>
      <c r="Y22" s="9" t="s">
        <v>126</v>
      </c>
      <c r="Z22" s="11" t="s">
        <v>127</v>
      </c>
      <c r="AA22" s="11" t="s">
        <v>128</v>
      </c>
      <c r="AB22" s="11" t="s">
        <v>129</v>
      </c>
      <c r="AC22" s="9" t="n">
        <v>1</v>
      </c>
      <c r="AD22" s="10"/>
      <c r="AE22" s="9"/>
      <c r="AF22" s="11"/>
      <c r="AG22" s="11"/>
      <c r="AH22" s="11"/>
      <c r="AI22" s="10" t="n">
        <v>26660</v>
      </c>
      <c r="AJ22" s="9" t="s">
        <v>122</v>
      </c>
      <c r="AK22" s="11" t="s">
        <v>123</v>
      </c>
      <c r="AL22" s="11" t="s">
        <v>124</v>
      </c>
      <c r="AM22" s="11" t="s">
        <v>125</v>
      </c>
    </row>
    <row r="23" customFormat="false" ht="15" hidden="false" customHeight="false" outlineLevel="0" collapsed="false">
      <c r="A23" s="9" t="s">
        <v>111</v>
      </c>
      <c r="B23" s="9" t="s">
        <v>112</v>
      </c>
      <c r="C23" s="9" t="s">
        <v>113</v>
      </c>
      <c r="D23" s="9" t="s">
        <v>114</v>
      </c>
      <c r="E23" s="9" t="n">
        <v>0</v>
      </c>
      <c r="F23" s="9" t="n">
        <v>1</v>
      </c>
      <c r="G23" s="9" t="n">
        <v>2018</v>
      </c>
      <c r="H23" s="10" t="n">
        <v>8840521</v>
      </c>
      <c r="I23" s="11" t="s">
        <v>98</v>
      </c>
      <c r="J23" s="11" t="s">
        <v>99</v>
      </c>
      <c r="K23" s="10" t="n">
        <v>1690619</v>
      </c>
      <c r="L23" s="12" t="n">
        <f aca="false">IF(OR($H23="",K23=""),"",K23/$H23)</f>
        <v>0.191235222448994</v>
      </c>
      <c r="M23" s="9" t="s">
        <v>115</v>
      </c>
      <c r="N23" s="11" t="s">
        <v>116</v>
      </c>
      <c r="O23" s="11" t="s">
        <v>117</v>
      </c>
      <c r="P23" s="11" t="s">
        <v>118</v>
      </c>
      <c r="Q23" s="10" t="n">
        <v>1385823</v>
      </c>
      <c r="R23" s="12" t="n">
        <f aca="false">IF(OR($H23="",Q23=""),"",Q23/$H23)</f>
        <v>0.156758068896618</v>
      </c>
      <c r="S23" s="9" t="s">
        <v>115</v>
      </c>
      <c r="T23" s="11" t="s">
        <v>119</v>
      </c>
      <c r="U23" s="11" t="s">
        <v>120</v>
      </c>
      <c r="V23" s="11" t="s">
        <v>121</v>
      </c>
      <c r="W23" s="10"/>
      <c r="X23" s="12"/>
      <c r="Y23" s="9"/>
      <c r="Z23" s="11"/>
      <c r="AA23" s="11"/>
      <c r="AB23" s="11"/>
      <c r="AC23" s="9"/>
      <c r="AD23" s="10"/>
      <c r="AE23" s="9"/>
      <c r="AF23" s="11"/>
      <c r="AG23" s="11"/>
      <c r="AH23" s="11"/>
      <c r="AI23" s="10" t="n">
        <v>18840</v>
      </c>
      <c r="AJ23" s="9" t="s">
        <v>122</v>
      </c>
      <c r="AK23" s="11" t="s">
        <v>123</v>
      </c>
      <c r="AL23" s="11" t="s">
        <v>124</v>
      </c>
      <c r="AM23" s="11" t="s">
        <v>125</v>
      </c>
    </row>
    <row r="24" customFormat="false" ht="15" hidden="false" customHeight="false" outlineLevel="0" collapsed="false">
      <c r="A24" s="9" t="s">
        <v>111</v>
      </c>
      <c r="B24" s="9" t="s">
        <v>112</v>
      </c>
      <c r="C24" s="9" t="s">
        <v>113</v>
      </c>
      <c r="D24" s="9" t="s">
        <v>114</v>
      </c>
      <c r="E24" s="9" t="n">
        <v>0</v>
      </c>
      <c r="F24" s="9" t="n">
        <v>1</v>
      </c>
      <c r="G24" s="9" t="n">
        <v>2019</v>
      </c>
      <c r="H24" s="10" t="n">
        <v>8879920</v>
      </c>
      <c r="I24" s="11" t="s">
        <v>98</v>
      </c>
      <c r="J24" s="11" t="s">
        <v>99</v>
      </c>
      <c r="K24" s="10" t="n">
        <v>1722833</v>
      </c>
      <c r="L24" s="12" t="n">
        <f aca="false">IF(OR($H24="",K24=""),"",K24/$H24)</f>
        <v>0.194014473103361</v>
      </c>
      <c r="M24" s="9" t="s">
        <v>115</v>
      </c>
      <c r="N24" s="11" t="s">
        <v>116</v>
      </c>
      <c r="O24" s="11" t="s">
        <v>117</v>
      </c>
      <c r="P24" s="11" t="s">
        <v>118</v>
      </c>
      <c r="Q24" s="10" t="n">
        <v>1427105</v>
      </c>
      <c r="R24" s="12" t="n">
        <f aca="false">IF(OR($H24="",Q24=""),"",Q24/$H24)</f>
        <v>0.160711470373607</v>
      </c>
      <c r="S24" s="9" t="s">
        <v>115</v>
      </c>
      <c r="T24" s="11" t="s">
        <v>119</v>
      </c>
      <c r="U24" s="11" t="s">
        <v>120</v>
      </c>
      <c r="V24" s="11" t="s">
        <v>121</v>
      </c>
      <c r="W24" s="10"/>
      <c r="X24" s="12"/>
      <c r="Y24" s="9"/>
      <c r="Z24" s="11"/>
      <c r="AA24" s="11"/>
      <c r="AB24" s="11"/>
      <c r="AC24" s="9"/>
      <c r="AD24" s="10"/>
      <c r="AE24" s="9"/>
      <c r="AF24" s="11"/>
      <c r="AG24" s="11"/>
      <c r="AH24" s="11"/>
      <c r="AI24" s="10" t="n">
        <v>16090</v>
      </c>
      <c r="AJ24" s="9" t="s">
        <v>122</v>
      </c>
      <c r="AK24" s="11" t="s">
        <v>123</v>
      </c>
      <c r="AL24" s="11" t="s">
        <v>124</v>
      </c>
      <c r="AM24" s="11" t="s">
        <v>125</v>
      </c>
    </row>
    <row r="25" customFormat="false" ht="15" hidden="false" customHeight="false" outlineLevel="0" collapsed="false">
      <c r="A25" s="9" t="s">
        <v>111</v>
      </c>
      <c r="B25" s="9" t="s">
        <v>112</v>
      </c>
      <c r="C25" s="9" t="s">
        <v>113</v>
      </c>
      <c r="D25" s="9" t="s">
        <v>114</v>
      </c>
      <c r="E25" s="9" t="n">
        <v>0</v>
      </c>
      <c r="F25" s="9" t="n">
        <v>1</v>
      </c>
      <c r="G25" s="9" t="n">
        <v>2020</v>
      </c>
      <c r="H25" s="10" t="n">
        <v>8916864</v>
      </c>
      <c r="I25" s="11" t="s">
        <v>98</v>
      </c>
      <c r="J25" s="11" t="s">
        <v>99</v>
      </c>
      <c r="K25" s="10" t="n">
        <v>1760595</v>
      </c>
      <c r="L25" s="12" t="n">
        <f aca="false">IF(OR($H25="",K25=""),"",K25/$H25)</f>
        <v>0.197445536906249</v>
      </c>
      <c r="M25" s="9" t="s">
        <v>115</v>
      </c>
      <c r="N25" s="11" t="s">
        <v>116</v>
      </c>
      <c r="O25" s="11" t="s">
        <v>117</v>
      </c>
      <c r="P25" s="11" t="s">
        <v>118</v>
      </c>
      <c r="Q25" s="10" t="n">
        <v>1473453</v>
      </c>
      <c r="R25" s="12" t="n">
        <f aca="false">IF(OR($H25="",Q25=""),"",Q25/$H25)</f>
        <v>0.165243408444942</v>
      </c>
      <c r="S25" s="9" t="s">
        <v>115</v>
      </c>
      <c r="T25" s="11" t="s">
        <v>119</v>
      </c>
      <c r="U25" s="11" t="s">
        <v>120</v>
      </c>
      <c r="V25" s="11" t="s">
        <v>121</v>
      </c>
      <c r="W25" s="10"/>
      <c r="X25" s="12"/>
      <c r="Y25" s="9"/>
      <c r="Z25" s="11"/>
      <c r="AA25" s="11"/>
      <c r="AB25" s="11"/>
      <c r="AC25" s="9"/>
      <c r="AD25" s="10"/>
      <c r="AE25" s="9"/>
      <c r="AF25" s="11"/>
      <c r="AG25" s="11"/>
      <c r="AH25" s="11"/>
      <c r="AI25" s="10" t="n">
        <v>18715</v>
      </c>
      <c r="AJ25" s="9" t="s">
        <v>122</v>
      </c>
      <c r="AK25" s="11" t="s">
        <v>123</v>
      </c>
      <c r="AL25" s="11" t="s">
        <v>124</v>
      </c>
      <c r="AM25" s="11" t="s">
        <v>125</v>
      </c>
    </row>
    <row r="26" customFormat="false" ht="15" hidden="false" customHeight="false" outlineLevel="0" collapsed="false">
      <c r="A26" s="9" t="s">
        <v>111</v>
      </c>
      <c r="B26" s="9" t="s">
        <v>112</v>
      </c>
      <c r="C26" s="9" t="s">
        <v>113</v>
      </c>
      <c r="D26" s="9" t="s">
        <v>114</v>
      </c>
      <c r="E26" s="9" t="n">
        <v>0</v>
      </c>
      <c r="F26" s="9" t="n">
        <v>1</v>
      </c>
      <c r="G26" s="9" t="n">
        <v>2021</v>
      </c>
      <c r="H26" s="10" t="n">
        <v>8955797</v>
      </c>
      <c r="I26" s="11" t="s">
        <v>98</v>
      </c>
      <c r="J26" s="11" t="s">
        <v>99</v>
      </c>
      <c r="K26" s="10" t="n">
        <v>1792053</v>
      </c>
      <c r="L26" s="12" t="n">
        <f aca="false">IF(OR($H26="",K26=""),"",K26/$H26)</f>
        <v>0.200099778947647</v>
      </c>
      <c r="M26" s="9" t="s">
        <v>115</v>
      </c>
      <c r="N26" s="11" t="s">
        <v>116</v>
      </c>
      <c r="O26" s="11" t="s">
        <v>117</v>
      </c>
      <c r="P26" s="11" t="s">
        <v>118</v>
      </c>
      <c r="Q26" s="10" t="n">
        <v>1517372</v>
      </c>
      <c r="R26" s="12" t="n">
        <f aca="false">IF(OR($H26="",Q26=""),"",Q26/$H26)</f>
        <v>0.169429030157785</v>
      </c>
      <c r="S26" s="9" t="s">
        <v>115</v>
      </c>
      <c r="T26" s="11" t="s">
        <v>119</v>
      </c>
      <c r="U26" s="11" t="s">
        <v>120</v>
      </c>
      <c r="V26" s="11" t="s">
        <v>121</v>
      </c>
      <c r="W26" s="10"/>
      <c r="X26" s="12"/>
      <c r="Y26" s="9"/>
      <c r="Z26" s="11"/>
      <c r="AA26" s="11"/>
      <c r="AB26" s="11"/>
      <c r="AC26" s="9"/>
      <c r="AD26" s="10"/>
      <c r="AE26" s="9"/>
      <c r="AF26" s="11"/>
      <c r="AG26" s="11"/>
      <c r="AH26" s="11"/>
      <c r="AI26" s="10" t="n">
        <v>38410</v>
      </c>
      <c r="AJ26" s="9" t="s">
        <v>122</v>
      </c>
      <c r="AK26" s="11" t="s">
        <v>123</v>
      </c>
      <c r="AL26" s="11" t="s">
        <v>124</v>
      </c>
      <c r="AM26" s="11" t="s">
        <v>125</v>
      </c>
    </row>
    <row r="27" customFormat="false" ht="15" hidden="false" customHeight="false" outlineLevel="0" collapsed="false">
      <c r="A27" s="9" t="s">
        <v>111</v>
      </c>
      <c r="B27" s="9" t="s">
        <v>112</v>
      </c>
      <c r="C27" s="9" t="s">
        <v>113</v>
      </c>
      <c r="D27" s="9" t="s">
        <v>114</v>
      </c>
      <c r="E27" s="9" t="n">
        <v>0</v>
      </c>
      <c r="F27" s="9" t="n">
        <v>1</v>
      </c>
      <c r="G27" s="9" t="n">
        <v>2022</v>
      </c>
      <c r="H27" s="10" t="n">
        <v>9041851</v>
      </c>
      <c r="I27" s="11" t="s">
        <v>98</v>
      </c>
      <c r="J27" s="11" t="s">
        <v>99</v>
      </c>
      <c r="K27" s="10" t="n">
        <v>1834342</v>
      </c>
      <c r="L27" s="12" t="n">
        <f aca="false">IF(OR($H27="",K27=""),"",K27/$H27)</f>
        <v>0.202872398582989</v>
      </c>
      <c r="M27" s="9" t="s">
        <v>115</v>
      </c>
      <c r="N27" s="11" t="s">
        <v>116</v>
      </c>
      <c r="O27" s="11" t="s">
        <v>117</v>
      </c>
      <c r="P27" s="11" t="s">
        <v>118</v>
      </c>
      <c r="Q27" s="10" t="n">
        <v>1572316</v>
      </c>
      <c r="R27" s="12" t="n">
        <f aca="false">IF(OR($H27="",Q27=""),"",Q27/$H27)</f>
        <v>0.173893155284244</v>
      </c>
      <c r="S27" s="9" t="s">
        <v>115</v>
      </c>
      <c r="T27" s="11" t="s">
        <v>119</v>
      </c>
      <c r="U27" s="11" t="s">
        <v>120</v>
      </c>
      <c r="V27" s="11" t="s">
        <v>121</v>
      </c>
      <c r="W27" s="10"/>
      <c r="X27" s="12"/>
      <c r="Y27" s="9"/>
      <c r="Z27" s="11"/>
      <c r="AA27" s="11"/>
      <c r="AB27" s="11"/>
      <c r="AC27" s="9"/>
      <c r="AD27" s="10"/>
      <c r="AE27" s="9"/>
      <c r="AF27" s="11"/>
      <c r="AG27" s="11"/>
      <c r="AH27" s="11"/>
      <c r="AI27" s="10" t="n">
        <v>105545</v>
      </c>
      <c r="AJ27" s="9" t="s">
        <v>122</v>
      </c>
      <c r="AK27" s="11" t="s">
        <v>123</v>
      </c>
      <c r="AL27" s="11" t="s">
        <v>124</v>
      </c>
      <c r="AM27" s="11" t="s">
        <v>125</v>
      </c>
    </row>
    <row r="28" customFormat="false" ht="15" hidden="false" customHeight="false" outlineLevel="0" collapsed="false">
      <c r="A28" s="9" t="s">
        <v>130</v>
      </c>
      <c r="B28" s="9" t="s">
        <v>131</v>
      </c>
      <c r="C28" s="9" t="s">
        <v>132</v>
      </c>
      <c r="D28" s="9" t="s">
        <v>133</v>
      </c>
      <c r="E28" s="9" t="n">
        <v>1</v>
      </c>
      <c r="F28" s="9" t="n">
        <v>0</v>
      </c>
      <c r="G28" s="9" t="n">
        <v>2010</v>
      </c>
      <c r="H28" s="10" t="n">
        <v>10895586</v>
      </c>
      <c r="I28" s="11" t="s">
        <v>98</v>
      </c>
      <c r="J28" s="11" t="s">
        <v>99</v>
      </c>
      <c r="K28" s="10" t="n">
        <v>1503806</v>
      </c>
      <c r="L28" s="12" t="n">
        <f aca="false">IF(OR($H28="",K28=""),"",K28/$H28)</f>
        <v>0.138019744876503</v>
      </c>
      <c r="M28" s="9" t="s">
        <v>115</v>
      </c>
      <c r="N28" s="11" t="s">
        <v>116</v>
      </c>
      <c r="O28" s="11" t="s">
        <v>134</v>
      </c>
      <c r="P28" s="11" t="s">
        <v>118</v>
      </c>
      <c r="Q28" s="10" t="n">
        <v>1052844</v>
      </c>
      <c r="R28" s="12" t="n">
        <f aca="false">IF(OR($H28="",Q28=""),"",Q28/$H28)</f>
        <v>0.096630323508988</v>
      </c>
      <c r="S28" s="9" t="s">
        <v>115</v>
      </c>
      <c r="T28" s="11" t="s">
        <v>119</v>
      </c>
      <c r="U28" s="11" t="s">
        <v>135</v>
      </c>
      <c r="V28" s="11" t="s">
        <v>121</v>
      </c>
      <c r="W28" s="10"/>
      <c r="X28" s="12"/>
      <c r="Y28" s="9"/>
      <c r="Z28" s="11"/>
      <c r="AA28" s="11"/>
      <c r="AB28" s="11"/>
      <c r="AC28" s="9"/>
      <c r="AD28" s="10"/>
      <c r="AE28" s="9"/>
      <c r="AF28" s="11"/>
      <c r="AG28" s="11"/>
      <c r="AH28" s="11"/>
      <c r="AI28" s="10" t="n">
        <v>12115</v>
      </c>
      <c r="AJ28" s="9" t="s">
        <v>122</v>
      </c>
      <c r="AK28" s="11" t="s">
        <v>123</v>
      </c>
      <c r="AL28" s="11" t="s">
        <v>124</v>
      </c>
      <c r="AM28" s="11" t="s">
        <v>125</v>
      </c>
    </row>
    <row r="29" customFormat="false" ht="15" hidden="false" customHeight="false" outlineLevel="0" collapsed="false">
      <c r="A29" s="9" t="s">
        <v>130</v>
      </c>
      <c r="B29" s="9" t="s">
        <v>131</v>
      </c>
      <c r="C29" s="9" t="s">
        <v>132</v>
      </c>
      <c r="D29" s="9" t="s">
        <v>133</v>
      </c>
      <c r="E29" s="9" t="n">
        <v>1</v>
      </c>
      <c r="F29" s="9" t="n">
        <v>0</v>
      </c>
      <c r="G29" s="9" t="n">
        <v>2011</v>
      </c>
      <c r="H29" s="10" t="n">
        <v>11038264</v>
      </c>
      <c r="I29" s="11" t="s">
        <v>98</v>
      </c>
      <c r="J29" s="11" t="s">
        <v>99</v>
      </c>
      <c r="K29" s="10" t="n">
        <v>1628793</v>
      </c>
      <c r="L29" s="12" t="n">
        <f aca="false">IF(OR($H29="",K29=""),"",K29/$H29)</f>
        <v>0.147558800912897</v>
      </c>
      <c r="M29" s="9" t="s">
        <v>115</v>
      </c>
      <c r="N29" s="11" t="s">
        <v>116</v>
      </c>
      <c r="O29" s="11" t="s">
        <v>134</v>
      </c>
      <c r="P29" s="11" t="s">
        <v>118</v>
      </c>
      <c r="Q29" s="10" t="n">
        <v>1162608</v>
      </c>
      <c r="R29" s="12" t="n">
        <f aca="false">IF(OR($H29="",Q29=""),"",Q29/$H29)</f>
        <v>0.105325257667329</v>
      </c>
      <c r="S29" s="9" t="s">
        <v>115</v>
      </c>
      <c r="T29" s="11" t="s">
        <v>119</v>
      </c>
      <c r="U29" s="11" t="s">
        <v>135</v>
      </c>
      <c r="V29" s="11" t="s">
        <v>121</v>
      </c>
      <c r="W29" s="10"/>
      <c r="X29" s="12"/>
      <c r="Y29" s="9"/>
      <c r="Z29" s="11"/>
      <c r="AA29" s="11"/>
      <c r="AB29" s="11"/>
      <c r="AC29" s="9"/>
      <c r="AD29" s="10"/>
      <c r="AE29" s="9"/>
      <c r="AF29" s="11"/>
      <c r="AG29" s="11"/>
      <c r="AH29" s="11"/>
      <c r="AI29" s="10" t="n">
        <v>13550</v>
      </c>
      <c r="AJ29" s="9" t="s">
        <v>122</v>
      </c>
      <c r="AK29" s="11" t="s">
        <v>123</v>
      </c>
      <c r="AL29" s="11" t="s">
        <v>124</v>
      </c>
      <c r="AM29" s="11" t="s">
        <v>125</v>
      </c>
    </row>
    <row r="30" customFormat="false" ht="15" hidden="false" customHeight="false" outlineLevel="0" collapsed="false">
      <c r="A30" s="9" t="s">
        <v>130</v>
      </c>
      <c r="B30" s="9" t="s">
        <v>131</v>
      </c>
      <c r="C30" s="9" t="s">
        <v>132</v>
      </c>
      <c r="D30" s="9" t="s">
        <v>133</v>
      </c>
      <c r="E30" s="9" t="n">
        <v>1</v>
      </c>
      <c r="F30" s="9" t="n">
        <v>0</v>
      </c>
      <c r="G30" s="9" t="n">
        <v>2012</v>
      </c>
      <c r="H30" s="10" t="n">
        <v>11106932</v>
      </c>
      <c r="I30" s="11" t="s">
        <v>98</v>
      </c>
      <c r="J30" s="11" t="s">
        <v>99</v>
      </c>
      <c r="K30" s="10" t="n">
        <v>1677737</v>
      </c>
      <c r="L30" s="12" t="n">
        <f aca="false">IF(OR($H30="",K30=""),"",K30/$H30)</f>
        <v>0.151053144108562</v>
      </c>
      <c r="M30" s="9" t="s">
        <v>115</v>
      </c>
      <c r="N30" s="11" t="s">
        <v>116</v>
      </c>
      <c r="O30" s="11" t="s">
        <v>134</v>
      </c>
      <c r="P30" s="11" t="s">
        <v>118</v>
      </c>
      <c r="Q30" s="10" t="n">
        <v>1197598</v>
      </c>
      <c r="R30" s="12" t="n">
        <f aca="false">IF(OR($H30="",Q30=""),"",Q30/$H30)</f>
        <v>0.107824374903889</v>
      </c>
      <c r="S30" s="9" t="s">
        <v>115</v>
      </c>
      <c r="T30" s="11" t="s">
        <v>119</v>
      </c>
      <c r="U30" s="11" t="s">
        <v>135</v>
      </c>
      <c r="V30" s="11" t="s">
        <v>121</v>
      </c>
      <c r="W30" s="10"/>
      <c r="X30" s="12"/>
      <c r="Y30" s="9"/>
      <c r="Z30" s="11"/>
      <c r="AA30" s="11"/>
      <c r="AB30" s="11"/>
      <c r="AC30" s="9"/>
      <c r="AD30" s="10"/>
      <c r="AE30" s="9"/>
      <c r="AF30" s="11"/>
      <c r="AG30" s="11"/>
      <c r="AH30" s="11"/>
      <c r="AI30" s="10" t="n">
        <v>15085</v>
      </c>
      <c r="AJ30" s="9" t="s">
        <v>122</v>
      </c>
      <c r="AK30" s="11" t="s">
        <v>123</v>
      </c>
      <c r="AL30" s="11" t="s">
        <v>124</v>
      </c>
      <c r="AM30" s="11" t="s">
        <v>125</v>
      </c>
    </row>
    <row r="31" customFormat="false" ht="15" hidden="false" customHeight="false" outlineLevel="0" collapsed="false">
      <c r="A31" s="9" t="s">
        <v>130</v>
      </c>
      <c r="B31" s="9" t="s">
        <v>131</v>
      </c>
      <c r="C31" s="9" t="s">
        <v>132</v>
      </c>
      <c r="D31" s="9" t="s">
        <v>133</v>
      </c>
      <c r="E31" s="9" t="n">
        <v>1</v>
      </c>
      <c r="F31" s="9" t="n">
        <v>0</v>
      </c>
      <c r="G31" s="9" t="n">
        <v>2013</v>
      </c>
      <c r="H31" s="10" t="n">
        <v>11159407</v>
      </c>
      <c r="I31" s="11" t="s">
        <v>98</v>
      </c>
      <c r="J31" s="11" t="s">
        <v>99</v>
      </c>
      <c r="K31" s="10" t="n">
        <v>1722265</v>
      </c>
      <c r="L31" s="12" t="n">
        <f aca="false">IF(OR($H31="",K31=""),"",K31/$H31)</f>
        <v>0.154333021458936</v>
      </c>
      <c r="M31" s="9" t="s">
        <v>115</v>
      </c>
      <c r="N31" s="11" t="s">
        <v>116</v>
      </c>
      <c r="O31" s="11" t="s">
        <v>134</v>
      </c>
      <c r="P31" s="11" t="s">
        <v>118</v>
      </c>
      <c r="Q31" s="10" t="n">
        <v>1222741</v>
      </c>
      <c r="R31" s="12" t="n">
        <f aca="false">IF(OR($H31="",Q31=""),"",Q31/$H31)</f>
        <v>0.109570427891016</v>
      </c>
      <c r="S31" s="9" t="s">
        <v>115</v>
      </c>
      <c r="T31" s="11" t="s">
        <v>119</v>
      </c>
      <c r="U31" s="11" t="s">
        <v>135</v>
      </c>
      <c r="V31" s="11" t="s">
        <v>121</v>
      </c>
      <c r="W31" s="10"/>
      <c r="X31" s="12"/>
      <c r="Y31" s="9"/>
      <c r="Z31" s="11"/>
      <c r="AA31" s="11"/>
      <c r="AB31" s="11"/>
      <c r="AC31" s="9"/>
      <c r="AD31" s="10"/>
      <c r="AE31" s="9"/>
      <c r="AF31" s="11"/>
      <c r="AG31" s="11"/>
      <c r="AH31" s="11"/>
      <c r="AI31" s="10" t="n">
        <v>15075</v>
      </c>
      <c r="AJ31" s="9" t="s">
        <v>122</v>
      </c>
      <c r="AK31" s="11" t="s">
        <v>123</v>
      </c>
      <c r="AL31" s="11" t="s">
        <v>124</v>
      </c>
      <c r="AM31" s="11" t="s">
        <v>125</v>
      </c>
    </row>
    <row r="32" customFormat="false" ht="15" hidden="false" customHeight="false" outlineLevel="0" collapsed="false">
      <c r="A32" s="9" t="s">
        <v>130</v>
      </c>
      <c r="B32" s="9" t="s">
        <v>131</v>
      </c>
      <c r="C32" s="9" t="s">
        <v>132</v>
      </c>
      <c r="D32" s="9" t="s">
        <v>133</v>
      </c>
      <c r="E32" s="9" t="n">
        <v>1</v>
      </c>
      <c r="F32" s="9" t="n">
        <v>0</v>
      </c>
      <c r="G32" s="9" t="n">
        <v>2014</v>
      </c>
      <c r="H32" s="10" t="n">
        <v>11209057</v>
      </c>
      <c r="I32" s="11" t="s">
        <v>98</v>
      </c>
      <c r="J32" s="11" t="s">
        <v>99</v>
      </c>
      <c r="K32" s="10" t="n">
        <v>1748748</v>
      </c>
      <c r="L32" s="12" t="n">
        <f aca="false">IF(OR($H32="",K32=""),"",K32/$H32)</f>
        <v>0.15601205346712</v>
      </c>
      <c r="M32" s="9" t="s">
        <v>115</v>
      </c>
      <c r="N32" s="11" t="s">
        <v>116</v>
      </c>
      <c r="O32" s="11" t="s">
        <v>134</v>
      </c>
      <c r="P32" s="11" t="s">
        <v>118</v>
      </c>
      <c r="Q32" s="10" t="n">
        <v>1237696</v>
      </c>
      <c r="R32" s="12" t="n">
        <f aca="false">IF(OR($H32="",Q32=""),"",Q32/$H32)</f>
        <v>0.110419279694982</v>
      </c>
      <c r="S32" s="9" t="s">
        <v>115</v>
      </c>
      <c r="T32" s="11" t="s">
        <v>119</v>
      </c>
      <c r="U32" s="11" t="s">
        <v>135</v>
      </c>
      <c r="V32" s="11" t="s">
        <v>121</v>
      </c>
      <c r="W32" s="10"/>
      <c r="X32" s="12"/>
      <c r="Y32" s="9"/>
      <c r="Z32" s="11"/>
      <c r="AA32" s="11"/>
      <c r="AB32" s="11"/>
      <c r="AC32" s="9"/>
      <c r="AD32" s="10"/>
      <c r="AE32" s="9"/>
      <c r="AF32" s="11"/>
      <c r="AG32" s="11"/>
      <c r="AH32" s="11"/>
      <c r="AI32" s="10" t="n">
        <v>15540</v>
      </c>
      <c r="AJ32" s="9" t="s">
        <v>122</v>
      </c>
      <c r="AK32" s="11" t="s">
        <v>123</v>
      </c>
      <c r="AL32" s="11" t="s">
        <v>124</v>
      </c>
      <c r="AM32" s="11" t="s">
        <v>125</v>
      </c>
    </row>
    <row r="33" customFormat="false" ht="15" hidden="false" customHeight="false" outlineLevel="0" collapsed="false">
      <c r="A33" s="9" t="s">
        <v>130</v>
      </c>
      <c r="B33" s="9" t="s">
        <v>131</v>
      </c>
      <c r="C33" s="9" t="s">
        <v>132</v>
      </c>
      <c r="D33" s="9" t="s">
        <v>133</v>
      </c>
      <c r="E33" s="9" t="n">
        <v>1</v>
      </c>
      <c r="F33" s="9" t="n">
        <v>0</v>
      </c>
      <c r="G33" s="9" t="n">
        <v>2015</v>
      </c>
      <c r="H33" s="10" t="n">
        <v>11274196</v>
      </c>
      <c r="I33" s="11" t="s">
        <v>98</v>
      </c>
      <c r="J33" s="11" t="s">
        <v>99</v>
      </c>
      <c r="K33" s="10" t="n">
        <v>1783488</v>
      </c>
      <c r="L33" s="12" t="n">
        <f aca="false">IF(OR($H33="",K33=""),"",K33/$H33)</f>
        <v>0.158192034270116</v>
      </c>
      <c r="M33" s="9" t="s">
        <v>115</v>
      </c>
      <c r="N33" s="11" t="s">
        <v>116</v>
      </c>
      <c r="O33" s="11" t="s">
        <v>134</v>
      </c>
      <c r="P33" s="11" t="s">
        <v>118</v>
      </c>
      <c r="Q33" s="10" t="n">
        <v>1272751</v>
      </c>
      <c r="R33" s="12" t="n">
        <f aca="false">IF(OR($H33="",Q33=""),"",Q33/$H33)</f>
        <v>0.112890622089593</v>
      </c>
      <c r="S33" s="9" t="s">
        <v>115</v>
      </c>
      <c r="T33" s="11" t="s">
        <v>119</v>
      </c>
      <c r="U33" s="11" t="s">
        <v>135</v>
      </c>
      <c r="V33" s="11" t="s">
        <v>121</v>
      </c>
      <c r="W33" s="10"/>
      <c r="X33" s="12"/>
      <c r="Y33" s="9"/>
      <c r="Z33" s="11"/>
      <c r="AA33" s="11"/>
      <c r="AB33" s="11"/>
      <c r="AC33" s="9"/>
      <c r="AD33" s="10"/>
      <c r="AE33" s="9"/>
      <c r="AF33" s="11"/>
      <c r="AG33" s="11"/>
      <c r="AH33" s="11"/>
      <c r="AI33" s="10" t="n">
        <v>16275</v>
      </c>
      <c r="AJ33" s="9" t="s">
        <v>122</v>
      </c>
      <c r="AK33" s="11" t="s">
        <v>123</v>
      </c>
      <c r="AL33" s="11" t="s">
        <v>124</v>
      </c>
      <c r="AM33" s="11" t="s">
        <v>125</v>
      </c>
    </row>
    <row r="34" customFormat="false" ht="15" hidden="false" customHeight="false" outlineLevel="0" collapsed="false">
      <c r="A34" s="9" t="s">
        <v>130</v>
      </c>
      <c r="B34" s="9" t="s">
        <v>131</v>
      </c>
      <c r="C34" s="9" t="s">
        <v>132</v>
      </c>
      <c r="D34" s="9" t="s">
        <v>133</v>
      </c>
      <c r="E34" s="9" t="n">
        <v>1</v>
      </c>
      <c r="F34" s="9" t="n">
        <v>0</v>
      </c>
      <c r="G34" s="9" t="n">
        <v>2016</v>
      </c>
      <c r="H34" s="10" t="n">
        <v>11331422</v>
      </c>
      <c r="I34" s="11" t="s">
        <v>98</v>
      </c>
      <c r="J34" s="11" t="s">
        <v>99</v>
      </c>
      <c r="K34" s="10" t="n">
        <v>1845631</v>
      </c>
      <c r="L34" s="12" t="n">
        <f aca="false">IF(OR($H34="",K34=""),"",K34/$H34)</f>
        <v>0.162877262888983</v>
      </c>
      <c r="M34" s="9" t="s">
        <v>115</v>
      </c>
      <c r="N34" s="11" t="s">
        <v>116</v>
      </c>
      <c r="O34" s="11" t="s">
        <v>134</v>
      </c>
      <c r="P34" s="11" t="s">
        <v>118</v>
      </c>
      <c r="Q34" s="10" t="n">
        <v>1327421</v>
      </c>
      <c r="R34" s="12" t="n">
        <f aca="false">IF(OR($H34="",Q34=""),"",Q34/$H34)</f>
        <v>0.117145138536011</v>
      </c>
      <c r="S34" s="9" t="s">
        <v>115</v>
      </c>
      <c r="T34" s="11" t="s">
        <v>119</v>
      </c>
      <c r="U34" s="11" t="s">
        <v>135</v>
      </c>
      <c r="V34" s="11" t="s">
        <v>121</v>
      </c>
      <c r="W34" s="10"/>
      <c r="X34" s="12"/>
      <c r="Y34" s="9"/>
      <c r="Z34" s="11"/>
      <c r="AA34" s="11"/>
      <c r="AB34" s="11"/>
      <c r="AC34" s="9"/>
      <c r="AD34" s="10"/>
      <c r="AE34" s="9"/>
      <c r="AF34" s="11"/>
      <c r="AG34" s="11"/>
      <c r="AH34" s="11"/>
      <c r="AI34" s="10" t="n">
        <v>19320</v>
      </c>
      <c r="AJ34" s="9" t="s">
        <v>122</v>
      </c>
      <c r="AK34" s="11" t="s">
        <v>123</v>
      </c>
      <c r="AL34" s="11" t="s">
        <v>124</v>
      </c>
      <c r="AM34" s="11" t="s">
        <v>125</v>
      </c>
    </row>
    <row r="35" customFormat="false" ht="15" hidden="false" customHeight="false" outlineLevel="0" collapsed="false">
      <c r="A35" s="9" t="s">
        <v>130</v>
      </c>
      <c r="B35" s="9" t="s">
        <v>131</v>
      </c>
      <c r="C35" s="9" t="s">
        <v>132</v>
      </c>
      <c r="D35" s="9" t="s">
        <v>133</v>
      </c>
      <c r="E35" s="9" t="n">
        <v>1</v>
      </c>
      <c r="F35" s="9" t="n">
        <v>0</v>
      </c>
      <c r="G35" s="9" t="n">
        <v>2017</v>
      </c>
      <c r="H35" s="10" t="n">
        <v>11375158</v>
      </c>
      <c r="I35" s="11" t="s">
        <v>98</v>
      </c>
      <c r="J35" s="11" t="s">
        <v>99</v>
      </c>
      <c r="K35" s="10" t="n">
        <v>1876726</v>
      </c>
      <c r="L35" s="12" t="n">
        <f aca="false">IF(OR($H35="",K35=""),"",K35/$H35)</f>
        <v>0.164984609444546</v>
      </c>
      <c r="M35" s="9" t="s">
        <v>115</v>
      </c>
      <c r="N35" s="11" t="s">
        <v>116</v>
      </c>
      <c r="O35" s="11" t="s">
        <v>134</v>
      </c>
      <c r="P35" s="11" t="s">
        <v>118</v>
      </c>
      <c r="Q35" s="10" t="n">
        <v>1346358</v>
      </c>
      <c r="R35" s="12" t="n">
        <f aca="false">IF(OR($H35="",Q35=""),"",Q35/$H35)</f>
        <v>0.118359498830698</v>
      </c>
      <c r="S35" s="9" t="s">
        <v>115</v>
      </c>
      <c r="T35" s="11" t="s">
        <v>119</v>
      </c>
      <c r="U35" s="11" t="s">
        <v>135</v>
      </c>
      <c r="V35" s="11" t="s">
        <v>121</v>
      </c>
      <c r="W35" s="10"/>
      <c r="X35" s="12"/>
      <c r="Y35" s="9"/>
      <c r="Z35" s="11"/>
      <c r="AA35" s="11"/>
      <c r="AB35" s="11"/>
      <c r="AC35" s="9"/>
      <c r="AD35" s="10"/>
      <c r="AE35" s="9"/>
      <c r="AF35" s="11"/>
      <c r="AG35" s="11"/>
      <c r="AH35" s="11"/>
      <c r="AI35" s="10" t="n">
        <v>18285</v>
      </c>
      <c r="AJ35" s="9" t="s">
        <v>122</v>
      </c>
      <c r="AK35" s="11" t="s">
        <v>123</v>
      </c>
      <c r="AL35" s="11" t="s">
        <v>124</v>
      </c>
      <c r="AM35" s="11" t="s">
        <v>125</v>
      </c>
    </row>
    <row r="36" customFormat="false" ht="15" hidden="false" customHeight="false" outlineLevel="0" collapsed="false">
      <c r="A36" s="9" t="s">
        <v>130</v>
      </c>
      <c r="B36" s="9" t="s">
        <v>131</v>
      </c>
      <c r="C36" s="9" t="s">
        <v>132</v>
      </c>
      <c r="D36" s="9" t="s">
        <v>133</v>
      </c>
      <c r="E36" s="9" t="n">
        <v>1</v>
      </c>
      <c r="F36" s="9" t="n">
        <v>0</v>
      </c>
      <c r="G36" s="9" t="n">
        <v>2018</v>
      </c>
      <c r="H36" s="10" t="n">
        <v>11427054</v>
      </c>
      <c r="I36" s="11" t="s">
        <v>98</v>
      </c>
      <c r="J36" s="11" t="s">
        <v>99</v>
      </c>
      <c r="K36" s="10" t="n">
        <v>1916272</v>
      </c>
      <c r="L36" s="12" t="n">
        <f aca="false">IF(OR($H36="",K36=""),"",K36/$H36)</f>
        <v>0.167696065845143</v>
      </c>
      <c r="M36" s="9" t="s">
        <v>115</v>
      </c>
      <c r="N36" s="11" t="s">
        <v>116</v>
      </c>
      <c r="O36" s="11" t="s">
        <v>134</v>
      </c>
      <c r="P36" s="11" t="s">
        <v>118</v>
      </c>
      <c r="Q36" s="10" t="n">
        <v>1366070</v>
      </c>
      <c r="R36" s="12" t="n">
        <f aca="false">IF(OR($H36="",Q36=""),"",Q36/$H36)</f>
        <v>0.11954699785264</v>
      </c>
      <c r="S36" s="9" t="s">
        <v>115</v>
      </c>
      <c r="T36" s="11" t="s">
        <v>119</v>
      </c>
      <c r="U36" s="11" t="s">
        <v>135</v>
      </c>
      <c r="V36" s="11" t="s">
        <v>121</v>
      </c>
      <c r="W36" s="10"/>
      <c r="X36" s="12"/>
      <c r="Y36" s="9"/>
      <c r="Z36" s="11"/>
      <c r="AA36" s="11"/>
      <c r="AB36" s="11"/>
      <c r="AC36" s="9"/>
      <c r="AD36" s="10"/>
      <c r="AE36" s="9"/>
      <c r="AF36" s="11"/>
      <c r="AG36" s="11"/>
      <c r="AH36" s="11"/>
      <c r="AI36" s="10" t="n">
        <v>19145</v>
      </c>
      <c r="AJ36" s="9" t="s">
        <v>122</v>
      </c>
      <c r="AK36" s="11" t="s">
        <v>123</v>
      </c>
      <c r="AL36" s="11" t="s">
        <v>124</v>
      </c>
      <c r="AM36" s="11" t="s">
        <v>125</v>
      </c>
    </row>
    <row r="37" customFormat="false" ht="15" hidden="false" customHeight="false" outlineLevel="0" collapsed="false">
      <c r="A37" s="9" t="s">
        <v>130</v>
      </c>
      <c r="B37" s="9" t="s">
        <v>131</v>
      </c>
      <c r="C37" s="9" t="s">
        <v>132</v>
      </c>
      <c r="D37" s="9" t="s">
        <v>133</v>
      </c>
      <c r="E37" s="9" t="n">
        <v>1</v>
      </c>
      <c r="F37" s="9" t="n">
        <v>0</v>
      </c>
      <c r="G37" s="9" t="n">
        <v>2019</v>
      </c>
      <c r="H37" s="10" t="n">
        <v>11488980</v>
      </c>
      <c r="I37" s="11" t="s">
        <v>98</v>
      </c>
      <c r="J37" s="11" t="s">
        <v>99</v>
      </c>
      <c r="K37" s="10" t="n">
        <v>1968060</v>
      </c>
      <c r="L37" s="12" t="n">
        <f aca="false">IF(OR($H37="",K37=""),"",K37/$H37)</f>
        <v>0.171299802071202</v>
      </c>
      <c r="M37" s="9" t="s">
        <v>115</v>
      </c>
      <c r="N37" s="11" t="s">
        <v>116</v>
      </c>
      <c r="O37" s="11" t="s">
        <v>134</v>
      </c>
      <c r="P37" s="11" t="s">
        <v>118</v>
      </c>
      <c r="Q37" s="10" t="n">
        <v>1400238</v>
      </c>
      <c r="R37" s="12" t="n">
        <f aca="false">IF(OR($H37="",Q37=""),"",Q37/$H37)</f>
        <v>0.121876615678676</v>
      </c>
      <c r="S37" s="9" t="s">
        <v>115</v>
      </c>
      <c r="T37" s="11" t="s">
        <v>119</v>
      </c>
      <c r="U37" s="11" t="s">
        <v>135</v>
      </c>
      <c r="V37" s="11" t="s">
        <v>121</v>
      </c>
      <c r="W37" s="10"/>
      <c r="X37" s="12"/>
      <c r="Y37" s="9"/>
      <c r="Z37" s="11"/>
      <c r="AA37" s="11"/>
      <c r="AB37" s="11"/>
      <c r="AC37" s="9"/>
      <c r="AD37" s="10"/>
      <c r="AE37" s="9"/>
      <c r="AF37" s="11"/>
      <c r="AG37" s="11"/>
      <c r="AH37" s="11"/>
      <c r="AI37" s="10" t="n">
        <v>17585</v>
      </c>
      <c r="AJ37" s="9" t="s">
        <v>122</v>
      </c>
      <c r="AK37" s="11" t="s">
        <v>123</v>
      </c>
      <c r="AL37" s="11" t="s">
        <v>124</v>
      </c>
      <c r="AM37" s="11" t="s">
        <v>125</v>
      </c>
    </row>
    <row r="38" customFormat="false" ht="15" hidden="false" customHeight="false" outlineLevel="0" collapsed="false">
      <c r="A38" s="9" t="s">
        <v>130</v>
      </c>
      <c r="B38" s="9" t="s">
        <v>131</v>
      </c>
      <c r="C38" s="9" t="s">
        <v>132</v>
      </c>
      <c r="D38" s="9" t="s">
        <v>133</v>
      </c>
      <c r="E38" s="9" t="n">
        <v>1</v>
      </c>
      <c r="F38" s="9" t="n">
        <v>0</v>
      </c>
      <c r="G38" s="9" t="n">
        <v>2020</v>
      </c>
      <c r="H38" s="10" t="n">
        <v>11538604</v>
      </c>
      <c r="I38" s="11" t="s">
        <v>98</v>
      </c>
      <c r="J38" s="11" t="s">
        <v>99</v>
      </c>
      <c r="K38" s="10" t="n">
        <v>2027763</v>
      </c>
      <c r="L38" s="12" t="n">
        <f aca="false">IF(OR($H38="",K38=""),"",K38/$H38)</f>
        <v>0.175737290230257</v>
      </c>
      <c r="M38" s="9" t="s">
        <v>115</v>
      </c>
      <c r="N38" s="11" t="s">
        <v>116</v>
      </c>
      <c r="O38" s="11" t="s">
        <v>134</v>
      </c>
      <c r="P38" s="11" t="s">
        <v>118</v>
      </c>
      <c r="Q38" s="10" t="n">
        <v>1437580</v>
      </c>
      <c r="R38" s="12" t="n">
        <f aca="false">IF(OR($H38="",Q38=""),"",Q38/$H38)</f>
        <v>0.124588728411167</v>
      </c>
      <c r="S38" s="9" t="s">
        <v>115</v>
      </c>
      <c r="T38" s="11" t="s">
        <v>119</v>
      </c>
      <c r="U38" s="11" t="s">
        <v>135</v>
      </c>
      <c r="V38" s="11" t="s">
        <v>121</v>
      </c>
      <c r="W38" s="10"/>
      <c r="X38" s="12"/>
      <c r="Y38" s="9"/>
      <c r="Z38" s="11"/>
      <c r="AA38" s="11"/>
      <c r="AB38" s="11"/>
      <c r="AC38" s="9"/>
      <c r="AD38" s="10"/>
      <c r="AE38" s="9"/>
      <c r="AF38" s="11"/>
      <c r="AG38" s="11"/>
      <c r="AH38" s="11"/>
      <c r="AI38" s="10" t="n">
        <v>11495</v>
      </c>
      <c r="AJ38" s="9" t="s">
        <v>122</v>
      </c>
      <c r="AK38" s="11" t="s">
        <v>123</v>
      </c>
      <c r="AL38" s="11" t="s">
        <v>124</v>
      </c>
      <c r="AM38" s="11" t="s">
        <v>125</v>
      </c>
    </row>
    <row r="39" customFormat="false" ht="15" hidden="false" customHeight="false" outlineLevel="0" collapsed="false">
      <c r="A39" s="9" t="s">
        <v>130</v>
      </c>
      <c r="B39" s="9" t="s">
        <v>131</v>
      </c>
      <c r="C39" s="9" t="s">
        <v>132</v>
      </c>
      <c r="D39" s="9" t="s">
        <v>133</v>
      </c>
      <c r="E39" s="9" t="n">
        <v>1</v>
      </c>
      <c r="F39" s="9" t="n">
        <v>0</v>
      </c>
      <c r="G39" s="9" t="n">
        <v>2021</v>
      </c>
      <c r="H39" s="10" t="n">
        <v>11586195</v>
      </c>
      <c r="I39" s="11" t="s">
        <v>98</v>
      </c>
      <c r="J39" s="11" t="s">
        <v>99</v>
      </c>
      <c r="K39" s="10" t="n">
        <v>2065727</v>
      </c>
      <c r="L39" s="12" t="n">
        <f aca="false">IF(OR($H39="",K39=""),"",K39/$H39)</f>
        <v>0.178292096758254</v>
      </c>
      <c r="M39" s="9" t="s">
        <v>115</v>
      </c>
      <c r="N39" s="11" t="s">
        <v>116</v>
      </c>
      <c r="O39" s="11" t="s">
        <v>134</v>
      </c>
      <c r="P39" s="11" t="s">
        <v>118</v>
      </c>
      <c r="Q39" s="10" t="n">
        <v>1454039</v>
      </c>
      <c r="R39" s="12" t="n">
        <f aca="false">IF(OR($H39="",Q39=""),"",Q39/$H39)</f>
        <v>0.12549754254956</v>
      </c>
      <c r="S39" s="9" t="s">
        <v>115</v>
      </c>
      <c r="T39" s="11" t="s">
        <v>119</v>
      </c>
      <c r="U39" s="11" t="s">
        <v>135</v>
      </c>
      <c r="V39" s="11" t="s">
        <v>121</v>
      </c>
      <c r="W39" s="10"/>
      <c r="X39" s="12"/>
      <c r="Y39" s="9"/>
      <c r="Z39" s="11"/>
      <c r="AA39" s="11"/>
      <c r="AB39" s="11"/>
      <c r="AC39" s="9"/>
      <c r="AD39" s="10"/>
      <c r="AE39" s="9"/>
      <c r="AF39" s="11"/>
      <c r="AG39" s="11"/>
      <c r="AH39" s="11"/>
      <c r="AI39" s="10" t="n">
        <v>10885</v>
      </c>
      <c r="AJ39" s="9" t="s">
        <v>122</v>
      </c>
      <c r="AK39" s="11" t="s">
        <v>123</v>
      </c>
      <c r="AL39" s="11" t="s">
        <v>124</v>
      </c>
      <c r="AM39" s="11" t="s">
        <v>125</v>
      </c>
    </row>
    <row r="40" customFormat="false" ht="15" hidden="false" customHeight="false" outlineLevel="0" collapsed="false">
      <c r="A40" s="9" t="s">
        <v>130</v>
      </c>
      <c r="B40" s="9" t="s">
        <v>131</v>
      </c>
      <c r="C40" s="9" t="s">
        <v>132</v>
      </c>
      <c r="D40" s="9" t="s">
        <v>133</v>
      </c>
      <c r="E40" s="9" t="n">
        <v>1</v>
      </c>
      <c r="F40" s="9" t="n">
        <v>0</v>
      </c>
      <c r="G40" s="9" t="n">
        <v>2022</v>
      </c>
      <c r="H40" s="10" t="n">
        <v>11680210</v>
      </c>
      <c r="I40" s="11" t="s">
        <v>98</v>
      </c>
      <c r="J40" s="11" t="s">
        <v>99</v>
      </c>
      <c r="K40" s="10" t="n">
        <v>2119691</v>
      </c>
      <c r="L40" s="12" t="n">
        <f aca="false">IF(OR($H40="",K40=""),"",K40/$H40)</f>
        <v>0.181477130976241</v>
      </c>
      <c r="M40" s="9" t="s">
        <v>115</v>
      </c>
      <c r="N40" s="11" t="s">
        <v>116</v>
      </c>
      <c r="O40" s="11" t="s">
        <v>134</v>
      </c>
      <c r="P40" s="11" t="s">
        <v>118</v>
      </c>
      <c r="Q40" s="10" t="n">
        <v>1488896</v>
      </c>
      <c r="R40" s="12" t="n">
        <f aca="false">IF(OR($H40="",Q40=""),"",Q40/$H40)</f>
        <v>0.127471680731768</v>
      </c>
      <c r="S40" s="9" t="s">
        <v>115</v>
      </c>
      <c r="T40" s="11" t="s">
        <v>119</v>
      </c>
      <c r="U40" s="11" t="s">
        <v>135</v>
      </c>
      <c r="V40" s="11" t="s">
        <v>121</v>
      </c>
      <c r="W40" s="10"/>
      <c r="X40" s="12"/>
      <c r="Y40" s="9"/>
      <c r="Z40" s="11"/>
      <c r="AA40" s="11"/>
      <c r="AB40" s="11"/>
      <c r="AC40" s="9"/>
      <c r="AD40" s="10"/>
      <c r="AE40" s="9"/>
      <c r="AF40" s="11"/>
      <c r="AG40" s="11"/>
      <c r="AH40" s="11"/>
      <c r="AI40" s="10" t="n">
        <v>10965</v>
      </c>
      <c r="AJ40" s="9" t="s">
        <v>122</v>
      </c>
      <c r="AK40" s="11" t="s">
        <v>123</v>
      </c>
      <c r="AL40" s="11" t="s">
        <v>124</v>
      </c>
      <c r="AM40" s="11" t="s">
        <v>125</v>
      </c>
    </row>
    <row r="41" customFormat="false" ht="15" hidden="false" customHeight="false" outlineLevel="0" collapsed="false">
      <c r="A41" s="9" t="s">
        <v>136</v>
      </c>
      <c r="B41" s="9" t="s">
        <v>137</v>
      </c>
      <c r="C41" s="9" t="s">
        <v>138</v>
      </c>
      <c r="D41" s="9" t="s">
        <v>139</v>
      </c>
      <c r="E41" s="9" t="n">
        <v>1</v>
      </c>
      <c r="F41" s="9" t="n">
        <v>0</v>
      </c>
      <c r="G41" s="9" t="n">
        <v>2010</v>
      </c>
      <c r="H41" s="10" t="n">
        <v>7395599</v>
      </c>
      <c r="I41" s="11" t="s">
        <v>98</v>
      </c>
      <c r="J41" s="11" t="s">
        <v>99</v>
      </c>
      <c r="K41" s="10"/>
      <c r="L41" s="12"/>
      <c r="M41" s="9"/>
      <c r="N41" s="11"/>
      <c r="O41" s="11"/>
      <c r="P41" s="11"/>
      <c r="Q41" s="10" t="n">
        <v>38002</v>
      </c>
      <c r="R41" s="12" t="n">
        <f aca="false">IF(OR($H41="",Q41=""),"",Q41/$H41)</f>
        <v>0.00513846140116575</v>
      </c>
      <c r="S41" s="9" t="s">
        <v>115</v>
      </c>
      <c r="T41" s="11" t="s">
        <v>119</v>
      </c>
      <c r="U41" s="11" t="s">
        <v>140</v>
      </c>
      <c r="V41" s="11" t="s">
        <v>121</v>
      </c>
      <c r="W41" s="10"/>
      <c r="X41" s="12"/>
      <c r="Y41" s="9"/>
      <c r="Z41" s="11"/>
      <c r="AA41" s="11"/>
      <c r="AB41" s="11"/>
      <c r="AC41" s="9"/>
      <c r="AD41" s="10"/>
      <c r="AE41" s="9"/>
      <c r="AF41" s="11"/>
      <c r="AG41" s="11"/>
      <c r="AH41" s="11"/>
      <c r="AI41" s="10" t="n">
        <v>1705</v>
      </c>
      <c r="AJ41" s="9" t="s">
        <v>122</v>
      </c>
      <c r="AK41" s="11" t="s">
        <v>123</v>
      </c>
      <c r="AL41" s="11" t="s">
        <v>124</v>
      </c>
      <c r="AM41" s="11" t="s">
        <v>125</v>
      </c>
    </row>
    <row r="42" customFormat="false" ht="15" hidden="false" customHeight="false" outlineLevel="0" collapsed="false">
      <c r="A42" s="9" t="s">
        <v>136</v>
      </c>
      <c r="B42" s="9" t="s">
        <v>137</v>
      </c>
      <c r="C42" s="9" t="s">
        <v>138</v>
      </c>
      <c r="D42" s="9" t="s">
        <v>139</v>
      </c>
      <c r="E42" s="9" t="n">
        <v>1</v>
      </c>
      <c r="F42" s="9" t="n">
        <v>0</v>
      </c>
      <c r="G42" s="9" t="n">
        <v>2011</v>
      </c>
      <c r="H42" s="10" t="n">
        <v>7348328</v>
      </c>
      <c r="I42" s="11" t="s">
        <v>98</v>
      </c>
      <c r="J42" s="11" t="s">
        <v>99</v>
      </c>
      <c r="K42" s="10" t="n">
        <v>78621</v>
      </c>
      <c r="L42" s="12" t="n">
        <f aca="false">IF(OR($H42="",K42=""),"",K42/$H42)</f>
        <v>0.0106991685727692</v>
      </c>
      <c r="M42" s="9" t="s">
        <v>115</v>
      </c>
      <c r="N42" s="11" t="s">
        <v>116</v>
      </c>
      <c r="O42" s="11" t="s">
        <v>141</v>
      </c>
      <c r="P42" s="11" t="s">
        <v>142</v>
      </c>
      <c r="Q42" s="10" t="n">
        <v>38815</v>
      </c>
      <c r="R42" s="12" t="n">
        <f aca="false">IF(OR($H42="",Q42=""),"",Q42/$H42)</f>
        <v>0.00528215398115054</v>
      </c>
      <c r="S42" s="9" t="s">
        <v>115</v>
      </c>
      <c r="T42" s="11" t="s">
        <v>119</v>
      </c>
      <c r="U42" s="11" t="s">
        <v>140</v>
      </c>
      <c r="V42" s="11" t="s">
        <v>121</v>
      </c>
      <c r="W42" s="10"/>
      <c r="X42" s="12"/>
      <c r="Y42" s="9"/>
      <c r="Z42" s="11"/>
      <c r="AA42" s="11"/>
      <c r="AB42" s="11"/>
      <c r="AC42" s="9"/>
      <c r="AD42" s="10"/>
      <c r="AE42" s="9"/>
      <c r="AF42" s="11"/>
      <c r="AG42" s="11"/>
      <c r="AH42" s="11"/>
      <c r="AI42" s="10" t="n">
        <v>1355</v>
      </c>
      <c r="AJ42" s="9" t="s">
        <v>122</v>
      </c>
      <c r="AK42" s="11" t="s">
        <v>123</v>
      </c>
      <c r="AL42" s="11" t="s">
        <v>124</v>
      </c>
      <c r="AM42" s="11" t="s">
        <v>125</v>
      </c>
    </row>
    <row r="43" customFormat="false" ht="15" hidden="false" customHeight="false" outlineLevel="0" collapsed="false">
      <c r="A43" s="9" t="s">
        <v>136</v>
      </c>
      <c r="B43" s="9" t="s">
        <v>137</v>
      </c>
      <c r="C43" s="9" t="s">
        <v>138</v>
      </c>
      <c r="D43" s="9" t="s">
        <v>139</v>
      </c>
      <c r="E43" s="9" t="n">
        <v>1</v>
      </c>
      <c r="F43" s="9" t="n">
        <v>0</v>
      </c>
      <c r="G43" s="9" t="n">
        <v>2012</v>
      </c>
      <c r="H43" s="10" t="n">
        <v>7305888</v>
      </c>
      <c r="I43" s="11" t="s">
        <v>98</v>
      </c>
      <c r="J43" s="11" t="s">
        <v>99</v>
      </c>
      <c r="K43" s="10" t="n">
        <v>85076</v>
      </c>
      <c r="L43" s="12" t="n">
        <f aca="false">IF(OR($H43="",K43=""),"",K43/$H43)</f>
        <v>0.0116448541231401</v>
      </c>
      <c r="M43" s="9" t="s">
        <v>115</v>
      </c>
      <c r="N43" s="11" t="s">
        <v>116</v>
      </c>
      <c r="O43" s="11" t="s">
        <v>141</v>
      </c>
      <c r="P43" s="11" t="s">
        <v>142</v>
      </c>
      <c r="Q43" s="10" t="n">
        <v>39432</v>
      </c>
      <c r="R43" s="12" t="n">
        <f aca="false">IF(OR($H43="",Q43=""),"",Q43/$H43)</f>
        <v>0.00539729051417158</v>
      </c>
      <c r="S43" s="9" t="s">
        <v>115</v>
      </c>
      <c r="T43" s="11" t="s">
        <v>119</v>
      </c>
      <c r="U43" s="11" t="s">
        <v>140</v>
      </c>
      <c r="V43" s="11" t="s">
        <v>121</v>
      </c>
      <c r="W43" s="10"/>
      <c r="X43" s="12"/>
      <c r="Y43" s="9"/>
      <c r="Z43" s="11"/>
      <c r="AA43" s="11"/>
      <c r="AB43" s="11"/>
      <c r="AC43" s="9"/>
      <c r="AD43" s="10"/>
      <c r="AE43" s="9"/>
      <c r="AF43" s="11"/>
      <c r="AG43" s="11"/>
      <c r="AH43" s="11"/>
      <c r="AI43" s="10" t="n">
        <v>2050</v>
      </c>
      <c r="AJ43" s="9" t="s">
        <v>122</v>
      </c>
      <c r="AK43" s="11" t="s">
        <v>123</v>
      </c>
      <c r="AL43" s="11" t="s">
        <v>124</v>
      </c>
      <c r="AM43" s="11" t="s">
        <v>125</v>
      </c>
    </row>
    <row r="44" customFormat="false" ht="15" hidden="false" customHeight="false" outlineLevel="0" collapsed="false">
      <c r="A44" s="9" t="s">
        <v>136</v>
      </c>
      <c r="B44" s="9" t="s">
        <v>137</v>
      </c>
      <c r="C44" s="9" t="s">
        <v>138</v>
      </c>
      <c r="D44" s="9" t="s">
        <v>139</v>
      </c>
      <c r="E44" s="9" t="n">
        <v>1</v>
      </c>
      <c r="F44" s="9" t="n">
        <v>0</v>
      </c>
      <c r="G44" s="9" t="n">
        <v>2013</v>
      </c>
      <c r="H44" s="10" t="n">
        <v>7160005</v>
      </c>
      <c r="I44" s="11" t="s">
        <v>98</v>
      </c>
      <c r="J44" s="11" t="s">
        <v>99</v>
      </c>
      <c r="K44" s="10" t="n">
        <v>95180</v>
      </c>
      <c r="L44" s="12" t="n">
        <f aca="false">IF(OR($H44="",K44=""),"",K44/$H44)</f>
        <v>0.013293286806364</v>
      </c>
      <c r="M44" s="9" t="s">
        <v>115</v>
      </c>
      <c r="N44" s="11" t="s">
        <v>116</v>
      </c>
      <c r="O44" s="11" t="s">
        <v>141</v>
      </c>
      <c r="P44" s="11" t="s">
        <v>142</v>
      </c>
      <c r="Q44" s="10" t="n">
        <v>44506</v>
      </c>
      <c r="R44" s="12" t="n">
        <f aca="false">IF(OR($H44="",Q44=""),"",Q44/$H44)</f>
        <v>0.00621591744698502</v>
      </c>
      <c r="S44" s="9" t="s">
        <v>115</v>
      </c>
      <c r="T44" s="11" t="s">
        <v>119</v>
      </c>
      <c r="U44" s="11" t="s">
        <v>140</v>
      </c>
      <c r="V44" s="11" t="s">
        <v>121</v>
      </c>
      <c r="W44" s="10"/>
      <c r="X44" s="12"/>
      <c r="Y44" s="9"/>
      <c r="Z44" s="11"/>
      <c r="AA44" s="11"/>
      <c r="AB44" s="11"/>
      <c r="AC44" s="9"/>
      <c r="AD44" s="10"/>
      <c r="AE44" s="9"/>
      <c r="AF44" s="11"/>
      <c r="AG44" s="11"/>
      <c r="AH44" s="11"/>
      <c r="AI44" s="10" t="n">
        <v>5260</v>
      </c>
      <c r="AJ44" s="9" t="s">
        <v>122</v>
      </c>
      <c r="AK44" s="11" t="s">
        <v>123</v>
      </c>
      <c r="AL44" s="11" t="s">
        <v>124</v>
      </c>
      <c r="AM44" s="11" t="s">
        <v>125</v>
      </c>
    </row>
    <row r="45" customFormat="false" ht="15" hidden="false" customHeight="false" outlineLevel="0" collapsed="false">
      <c r="A45" s="9" t="s">
        <v>136</v>
      </c>
      <c r="B45" s="9" t="s">
        <v>137</v>
      </c>
      <c r="C45" s="9" t="s">
        <v>138</v>
      </c>
      <c r="D45" s="9" t="s">
        <v>139</v>
      </c>
      <c r="E45" s="9" t="n">
        <v>1</v>
      </c>
      <c r="F45" s="9" t="n">
        <v>0</v>
      </c>
      <c r="G45" s="9" t="n">
        <v>2014</v>
      </c>
      <c r="H45" s="10" t="n">
        <v>7073572</v>
      </c>
      <c r="I45" s="11" t="s">
        <v>98</v>
      </c>
      <c r="J45" s="11" t="s">
        <v>99</v>
      </c>
      <c r="K45" s="10" t="n">
        <v>107275</v>
      </c>
      <c r="L45" s="12" t="n">
        <f aca="false">IF(OR($H45="",K45=""),"",K45/$H45)</f>
        <v>0.0151656051567723</v>
      </c>
      <c r="M45" s="9" t="s">
        <v>115</v>
      </c>
      <c r="N45" s="11" t="s">
        <v>116</v>
      </c>
      <c r="O45" s="11" t="s">
        <v>141</v>
      </c>
      <c r="P45" s="11" t="s">
        <v>142</v>
      </c>
      <c r="Q45" s="10" t="n">
        <v>53253</v>
      </c>
      <c r="R45" s="12" t="n">
        <f aca="false">IF(OR($H45="",Q45=""),"",Q45/$H45)</f>
        <v>0.00752844531730221</v>
      </c>
      <c r="S45" s="9" t="s">
        <v>115</v>
      </c>
      <c r="T45" s="11" t="s">
        <v>119</v>
      </c>
      <c r="U45" s="11" t="s">
        <v>140</v>
      </c>
      <c r="V45" s="11" t="s">
        <v>121</v>
      </c>
      <c r="W45" s="10"/>
      <c r="X45" s="12"/>
      <c r="Y45" s="9"/>
      <c r="Z45" s="11"/>
      <c r="AA45" s="11"/>
      <c r="AB45" s="11"/>
      <c r="AC45" s="9"/>
      <c r="AD45" s="10"/>
      <c r="AE45" s="9"/>
      <c r="AF45" s="11"/>
      <c r="AG45" s="11"/>
      <c r="AH45" s="11"/>
      <c r="AI45" s="10" t="n">
        <v>12870</v>
      </c>
      <c r="AJ45" s="9" t="s">
        <v>122</v>
      </c>
      <c r="AK45" s="11" t="s">
        <v>123</v>
      </c>
      <c r="AL45" s="11" t="s">
        <v>124</v>
      </c>
      <c r="AM45" s="11" t="s">
        <v>125</v>
      </c>
    </row>
    <row r="46" customFormat="false" ht="15" hidden="false" customHeight="false" outlineLevel="0" collapsed="false">
      <c r="A46" s="9" t="s">
        <v>136</v>
      </c>
      <c r="B46" s="9" t="s">
        <v>137</v>
      </c>
      <c r="C46" s="9" t="s">
        <v>138</v>
      </c>
      <c r="D46" s="9" t="s">
        <v>139</v>
      </c>
      <c r="E46" s="9" t="n">
        <v>1</v>
      </c>
      <c r="F46" s="9" t="n">
        <v>0</v>
      </c>
      <c r="G46" s="9" t="n">
        <v>2015</v>
      </c>
      <c r="H46" s="10" t="n">
        <v>6984225</v>
      </c>
      <c r="I46" s="11" t="s">
        <v>98</v>
      </c>
      <c r="J46" s="11" t="s">
        <v>99</v>
      </c>
      <c r="K46" s="10" t="n">
        <v>120635</v>
      </c>
      <c r="L46" s="12" t="n">
        <f aca="false">IF(OR($H46="",K46=""),"",K46/$H46)</f>
        <v>0.0172724962325813</v>
      </c>
      <c r="M46" s="9" t="s">
        <v>115</v>
      </c>
      <c r="N46" s="11" t="s">
        <v>116</v>
      </c>
      <c r="O46" s="11" t="s">
        <v>141</v>
      </c>
      <c r="P46" s="11" t="s">
        <v>142</v>
      </c>
      <c r="Q46" s="10" t="n">
        <v>63879</v>
      </c>
      <c r="R46" s="12" t="n">
        <f aca="false">IF(OR($H46="",Q46=""),"",Q46/$H46)</f>
        <v>0.0091461830052726</v>
      </c>
      <c r="S46" s="9" t="s">
        <v>115</v>
      </c>
      <c r="T46" s="11" t="s">
        <v>119</v>
      </c>
      <c r="U46" s="11" t="s">
        <v>140</v>
      </c>
      <c r="V46" s="11" t="s">
        <v>121</v>
      </c>
      <c r="W46" s="10"/>
      <c r="X46" s="12"/>
      <c r="Y46" s="9"/>
      <c r="Z46" s="11"/>
      <c r="AA46" s="11"/>
      <c r="AB46" s="11"/>
      <c r="AC46" s="9"/>
      <c r="AD46" s="10"/>
      <c r="AE46" s="9"/>
      <c r="AF46" s="11"/>
      <c r="AG46" s="11"/>
      <c r="AH46" s="11"/>
      <c r="AI46" s="10" t="n">
        <v>20810</v>
      </c>
      <c r="AJ46" s="9" t="s">
        <v>122</v>
      </c>
      <c r="AK46" s="11" t="s">
        <v>123</v>
      </c>
      <c r="AL46" s="11" t="s">
        <v>124</v>
      </c>
      <c r="AM46" s="11" t="s">
        <v>125</v>
      </c>
    </row>
    <row r="47" customFormat="false" ht="15" hidden="false" customHeight="false" outlineLevel="0" collapsed="false">
      <c r="A47" s="9" t="s">
        <v>136</v>
      </c>
      <c r="B47" s="9" t="s">
        <v>137</v>
      </c>
      <c r="C47" s="9" t="s">
        <v>138</v>
      </c>
      <c r="D47" s="9" t="s">
        <v>139</v>
      </c>
      <c r="E47" s="9" t="n">
        <v>1</v>
      </c>
      <c r="F47" s="9" t="n">
        <v>0</v>
      </c>
      <c r="G47" s="9" t="n">
        <v>2016</v>
      </c>
      <c r="H47" s="10" t="n">
        <v>6894139</v>
      </c>
      <c r="I47" s="11" t="s">
        <v>98</v>
      </c>
      <c r="J47" s="11" t="s">
        <v>99</v>
      </c>
      <c r="K47" s="10" t="n">
        <v>131924</v>
      </c>
      <c r="L47" s="12" t="n">
        <f aca="false">IF(OR($H47="",K47=""),"",K47/$H47)</f>
        <v>0.0191356745200525</v>
      </c>
      <c r="M47" s="9" t="s">
        <v>115</v>
      </c>
      <c r="N47" s="11" t="s">
        <v>116</v>
      </c>
      <c r="O47" s="11" t="s">
        <v>141</v>
      </c>
      <c r="P47" s="11" t="s">
        <v>142</v>
      </c>
      <c r="Q47" s="10" t="n">
        <v>71491</v>
      </c>
      <c r="R47" s="12" t="n">
        <f aca="false">IF(OR($H47="",Q47=""),"",Q47/$H47)</f>
        <v>0.0103698228306682</v>
      </c>
      <c r="S47" s="9" t="s">
        <v>115</v>
      </c>
      <c r="T47" s="11" t="s">
        <v>119</v>
      </c>
      <c r="U47" s="11" t="s">
        <v>140</v>
      </c>
      <c r="V47" s="11" t="s">
        <v>121</v>
      </c>
      <c r="W47" s="10"/>
      <c r="X47" s="12"/>
      <c r="Y47" s="9"/>
      <c r="Z47" s="11"/>
      <c r="AA47" s="11"/>
      <c r="AB47" s="11"/>
      <c r="AC47" s="9"/>
      <c r="AD47" s="10"/>
      <c r="AE47" s="9"/>
      <c r="AF47" s="11"/>
      <c r="AG47" s="11"/>
      <c r="AH47" s="11"/>
      <c r="AI47" s="10" t="n">
        <v>14125</v>
      </c>
      <c r="AJ47" s="9" t="s">
        <v>122</v>
      </c>
      <c r="AK47" s="11" t="s">
        <v>123</v>
      </c>
      <c r="AL47" s="11" t="s">
        <v>124</v>
      </c>
      <c r="AM47" s="11" t="s">
        <v>125</v>
      </c>
    </row>
    <row r="48" customFormat="false" ht="15" hidden="false" customHeight="false" outlineLevel="0" collapsed="false">
      <c r="A48" s="9" t="s">
        <v>136</v>
      </c>
      <c r="B48" s="9" t="s">
        <v>137</v>
      </c>
      <c r="C48" s="9" t="s">
        <v>138</v>
      </c>
      <c r="D48" s="9" t="s">
        <v>139</v>
      </c>
      <c r="E48" s="9" t="n">
        <v>1</v>
      </c>
      <c r="F48" s="9" t="n">
        <v>0</v>
      </c>
      <c r="G48" s="9" t="n">
        <v>2017</v>
      </c>
      <c r="H48" s="10" t="n">
        <v>6803468</v>
      </c>
      <c r="I48" s="11" t="s">
        <v>98</v>
      </c>
      <c r="J48" s="11" t="s">
        <v>99</v>
      </c>
      <c r="K48" s="10" t="n">
        <v>139655</v>
      </c>
      <c r="L48" s="12" t="n">
        <f aca="false">IF(OR($H48="",K48=""),"",K48/$H48)</f>
        <v>0.0205270312140808</v>
      </c>
      <c r="M48" s="9" t="s">
        <v>115</v>
      </c>
      <c r="N48" s="11" t="s">
        <v>116</v>
      </c>
      <c r="O48" s="11" t="s">
        <v>141</v>
      </c>
      <c r="P48" s="11" t="s">
        <v>142</v>
      </c>
      <c r="Q48" s="10" t="n">
        <v>76562</v>
      </c>
      <c r="R48" s="12" t="n">
        <f aca="false">IF(OR($H48="",Q48=""),"",Q48/$H48)</f>
        <v>0.0112533784240626</v>
      </c>
      <c r="S48" s="9" t="s">
        <v>115</v>
      </c>
      <c r="T48" s="11" t="s">
        <v>119</v>
      </c>
      <c r="U48" s="11" t="s">
        <v>140</v>
      </c>
      <c r="V48" s="11" t="s">
        <v>121</v>
      </c>
      <c r="W48" s="10"/>
      <c r="X48" s="12"/>
      <c r="Y48" s="9"/>
      <c r="Z48" s="11"/>
      <c r="AA48" s="11"/>
      <c r="AB48" s="11"/>
      <c r="AC48" s="9"/>
      <c r="AD48" s="10"/>
      <c r="AE48" s="9"/>
      <c r="AF48" s="11"/>
      <c r="AG48" s="11"/>
      <c r="AH48" s="11"/>
      <c r="AI48" s="10" t="n">
        <v>2595</v>
      </c>
      <c r="AJ48" s="9" t="s">
        <v>122</v>
      </c>
      <c r="AK48" s="11" t="s">
        <v>123</v>
      </c>
      <c r="AL48" s="11" t="s">
        <v>124</v>
      </c>
      <c r="AM48" s="11" t="s">
        <v>125</v>
      </c>
    </row>
    <row r="49" customFormat="false" ht="15" hidden="false" customHeight="false" outlineLevel="0" collapsed="false">
      <c r="A49" s="9" t="s">
        <v>136</v>
      </c>
      <c r="B49" s="9" t="s">
        <v>137</v>
      </c>
      <c r="C49" s="9" t="s">
        <v>138</v>
      </c>
      <c r="D49" s="9" t="s">
        <v>139</v>
      </c>
      <c r="E49" s="9" t="n">
        <v>1</v>
      </c>
      <c r="F49" s="9" t="n">
        <v>0</v>
      </c>
      <c r="G49" s="9" t="n">
        <v>2018</v>
      </c>
      <c r="H49" s="10" t="n">
        <v>6710798</v>
      </c>
      <c r="I49" s="11" t="s">
        <v>98</v>
      </c>
      <c r="J49" s="11" t="s">
        <v>99</v>
      </c>
      <c r="K49" s="10" t="n">
        <v>149096</v>
      </c>
      <c r="L49" s="12" t="n">
        <f aca="false">IF(OR($H49="",K49=""),"",K49/$H49)</f>
        <v>0.022217327954142</v>
      </c>
      <c r="M49" s="9" t="s">
        <v>115</v>
      </c>
      <c r="N49" s="11" t="s">
        <v>116</v>
      </c>
      <c r="O49" s="11" t="s">
        <v>141</v>
      </c>
      <c r="P49" s="11" t="s">
        <v>142</v>
      </c>
      <c r="Q49" s="10" t="n">
        <v>82370</v>
      </c>
      <c r="R49" s="12" t="n">
        <f aca="false">IF(OR($H49="",Q49=""),"",Q49/$H49)</f>
        <v>0.0122742481594588</v>
      </c>
      <c r="S49" s="9" t="s">
        <v>115</v>
      </c>
      <c r="T49" s="11" t="s">
        <v>119</v>
      </c>
      <c r="U49" s="11" t="s">
        <v>140</v>
      </c>
      <c r="V49" s="11" t="s">
        <v>121</v>
      </c>
      <c r="W49" s="10"/>
      <c r="X49" s="12"/>
      <c r="Y49" s="9"/>
      <c r="Z49" s="11"/>
      <c r="AA49" s="11"/>
      <c r="AB49" s="11"/>
      <c r="AC49" s="9"/>
      <c r="AD49" s="10"/>
      <c r="AE49" s="9"/>
      <c r="AF49" s="11"/>
      <c r="AG49" s="11"/>
      <c r="AH49" s="11"/>
      <c r="AI49" s="10" t="n">
        <v>1305</v>
      </c>
      <c r="AJ49" s="9" t="s">
        <v>122</v>
      </c>
      <c r="AK49" s="11" t="s">
        <v>123</v>
      </c>
      <c r="AL49" s="11" t="s">
        <v>124</v>
      </c>
      <c r="AM49" s="11" t="s">
        <v>125</v>
      </c>
    </row>
    <row r="50" customFormat="false" ht="15" hidden="false" customHeight="false" outlineLevel="0" collapsed="false">
      <c r="A50" s="9" t="s">
        <v>136</v>
      </c>
      <c r="B50" s="9" t="s">
        <v>137</v>
      </c>
      <c r="C50" s="9" t="s">
        <v>138</v>
      </c>
      <c r="D50" s="9" t="s">
        <v>139</v>
      </c>
      <c r="E50" s="9" t="n">
        <v>1</v>
      </c>
      <c r="F50" s="9" t="n">
        <v>0</v>
      </c>
      <c r="G50" s="9" t="n">
        <v>2019</v>
      </c>
      <c r="H50" s="10" t="n">
        <v>6616726</v>
      </c>
      <c r="I50" s="11" t="s">
        <v>98</v>
      </c>
      <c r="J50" s="11" t="s">
        <v>99</v>
      </c>
      <c r="K50" s="10" t="n">
        <v>162346</v>
      </c>
      <c r="L50" s="12" t="n">
        <f aca="false">IF(OR($H50="",K50=""),"",K50/$H50)</f>
        <v>0.0245356993776076</v>
      </c>
      <c r="M50" s="9" t="s">
        <v>115</v>
      </c>
      <c r="N50" s="11" t="s">
        <v>116</v>
      </c>
      <c r="O50" s="11" t="s">
        <v>141</v>
      </c>
      <c r="P50" s="11" t="s">
        <v>142</v>
      </c>
      <c r="Q50" s="10" t="n">
        <v>91243</v>
      </c>
      <c r="R50" s="12" t="n">
        <f aca="false">IF(OR($H50="",Q50=""),"",Q50/$H50)</f>
        <v>0.0137897503992156</v>
      </c>
      <c r="S50" s="9" t="s">
        <v>115</v>
      </c>
      <c r="T50" s="11" t="s">
        <v>119</v>
      </c>
      <c r="U50" s="11" t="s">
        <v>140</v>
      </c>
      <c r="V50" s="11" t="s">
        <v>121</v>
      </c>
      <c r="W50" s="10"/>
      <c r="X50" s="12"/>
      <c r="Y50" s="9"/>
      <c r="Z50" s="11"/>
      <c r="AA50" s="11"/>
      <c r="AB50" s="11"/>
      <c r="AC50" s="9"/>
      <c r="AD50" s="10"/>
      <c r="AE50" s="9"/>
      <c r="AF50" s="11"/>
      <c r="AG50" s="11"/>
      <c r="AH50" s="11"/>
      <c r="AI50" s="10" t="n">
        <v>655</v>
      </c>
      <c r="AJ50" s="9" t="s">
        <v>122</v>
      </c>
      <c r="AK50" s="11" t="s">
        <v>123</v>
      </c>
      <c r="AL50" s="11" t="s">
        <v>124</v>
      </c>
      <c r="AM50" s="11" t="s">
        <v>125</v>
      </c>
    </row>
    <row r="51" customFormat="false" ht="15" hidden="false" customHeight="false" outlineLevel="0" collapsed="false">
      <c r="A51" s="9" t="s">
        <v>136</v>
      </c>
      <c r="B51" s="9" t="s">
        <v>137</v>
      </c>
      <c r="C51" s="9" t="s">
        <v>138</v>
      </c>
      <c r="D51" s="9" t="s">
        <v>139</v>
      </c>
      <c r="E51" s="9" t="n">
        <v>1</v>
      </c>
      <c r="F51" s="9" t="n">
        <v>0</v>
      </c>
      <c r="G51" s="9" t="n">
        <v>2020</v>
      </c>
      <c r="H51" s="10" t="n">
        <v>6550696</v>
      </c>
      <c r="I51" s="11" t="s">
        <v>98</v>
      </c>
      <c r="J51" s="11" t="s">
        <v>99</v>
      </c>
      <c r="K51" s="10" t="n">
        <v>176321</v>
      </c>
      <c r="L51" s="12" t="n">
        <f aca="false">IF(OR($H51="",K51=""),"",K51/$H51)</f>
        <v>0.0269163765193805</v>
      </c>
      <c r="M51" s="9" t="s">
        <v>115</v>
      </c>
      <c r="N51" s="11" t="s">
        <v>116</v>
      </c>
      <c r="O51" s="11" t="s">
        <v>141</v>
      </c>
      <c r="P51" s="11" t="s">
        <v>142</v>
      </c>
      <c r="Q51" s="10" t="n">
        <v>100768</v>
      </c>
      <c r="R51" s="12" t="n">
        <f aca="false">IF(OR($H51="",Q51=""),"",Q51/$H51)</f>
        <v>0.0153827929123867</v>
      </c>
      <c r="S51" s="9" t="s">
        <v>115</v>
      </c>
      <c r="T51" s="11" t="s">
        <v>119</v>
      </c>
      <c r="U51" s="11" t="s">
        <v>140</v>
      </c>
      <c r="V51" s="11" t="s">
        <v>121</v>
      </c>
      <c r="W51" s="10"/>
      <c r="X51" s="12"/>
      <c r="Y51" s="9"/>
      <c r="Z51" s="11"/>
      <c r="AA51" s="11"/>
      <c r="AB51" s="11"/>
      <c r="AC51" s="9"/>
      <c r="AD51" s="10"/>
      <c r="AE51" s="9"/>
      <c r="AF51" s="11"/>
      <c r="AG51" s="11"/>
      <c r="AH51" s="11"/>
      <c r="AI51" s="10" t="n">
        <v>670</v>
      </c>
      <c r="AJ51" s="9" t="s">
        <v>122</v>
      </c>
      <c r="AK51" s="11" t="s">
        <v>123</v>
      </c>
      <c r="AL51" s="11" t="s">
        <v>124</v>
      </c>
      <c r="AM51" s="11" t="s">
        <v>125</v>
      </c>
    </row>
    <row r="52" customFormat="false" ht="15" hidden="false" customHeight="false" outlineLevel="0" collapsed="false">
      <c r="A52" s="9" t="s">
        <v>136</v>
      </c>
      <c r="B52" s="9" t="s">
        <v>137</v>
      </c>
      <c r="C52" s="9" t="s">
        <v>138</v>
      </c>
      <c r="D52" s="9" t="s">
        <v>139</v>
      </c>
      <c r="E52" s="9" t="n">
        <v>1</v>
      </c>
      <c r="F52" s="9" t="n">
        <v>0</v>
      </c>
      <c r="G52" s="9" t="n">
        <v>2021</v>
      </c>
      <c r="H52" s="10" t="n">
        <v>6507301</v>
      </c>
      <c r="I52" s="11" t="s">
        <v>98</v>
      </c>
      <c r="J52" s="11" t="s">
        <v>99</v>
      </c>
      <c r="K52" s="10" t="n">
        <v>188519</v>
      </c>
      <c r="L52" s="12" t="n">
        <f aca="false">IF(OR($H52="",K52=""),"",K52/$H52)</f>
        <v>0.0289703826517323</v>
      </c>
      <c r="M52" s="9" t="s">
        <v>115</v>
      </c>
      <c r="N52" s="11" t="s">
        <v>116</v>
      </c>
      <c r="O52" s="11" t="s">
        <v>141</v>
      </c>
      <c r="P52" s="11" t="s">
        <v>142</v>
      </c>
      <c r="Q52" s="10" t="n">
        <v>108438</v>
      </c>
      <c r="R52" s="12" t="n">
        <f aca="false">IF(OR($H52="",Q52=""),"",Q52/$H52)</f>
        <v>0.0166640516552101</v>
      </c>
      <c r="S52" s="9" t="s">
        <v>115</v>
      </c>
      <c r="T52" s="11" t="s">
        <v>119</v>
      </c>
      <c r="U52" s="11" t="s">
        <v>140</v>
      </c>
      <c r="V52" s="11" t="s">
        <v>121</v>
      </c>
      <c r="W52" s="10"/>
      <c r="X52" s="12"/>
      <c r="Y52" s="9"/>
      <c r="Z52" s="11"/>
      <c r="AA52" s="11"/>
      <c r="AB52" s="11"/>
      <c r="AC52" s="9"/>
      <c r="AD52" s="10"/>
      <c r="AE52" s="9"/>
      <c r="AF52" s="11"/>
      <c r="AG52" s="11"/>
      <c r="AH52" s="11"/>
      <c r="AI52" s="10" t="n">
        <v>3200</v>
      </c>
      <c r="AJ52" s="9" t="s">
        <v>122</v>
      </c>
      <c r="AK52" s="11" t="s">
        <v>123</v>
      </c>
      <c r="AL52" s="11" t="s">
        <v>124</v>
      </c>
      <c r="AM52" s="11" t="s">
        <v>125</v>
      </c>
    </row>
    <row r="53" customFormat="false" ht="15" hidden="false" customHeight="false" outlineLevel="0" collapsed="false">
      <c r="A53" s="9" t="s">
        <v>136</v>
      </c>
      <c r="B53" s="9" t="s">
        <v>137</v>
      </c>
      <c r="C53" s="9" t="s">
        <v>138</v>
      </c>
      <c r="D53" s="9" t="s">
        <v>139</v>
      </c>
      <c r="E53" s="9" t="n">
        <v>1</v>
      </c>
      <c r="F53" s="9" t="n">
        <v>0</v>
      </c>
      <c r="G53" s="9" t="n">
        <v>2022</v>
      </c>
      <c r="H53" s="10" t="n">
        <v>6465097</v>
      </c>
      <c r="I53" s="11" t="s">
        <v>98</v>
      </c>
      <c r="J53" s="11" t="s">
        <v>99</v>
      </c>
      <c r="K53" s="10" t="n">
        <v>142214</v>
      </c>
      <c r="L53" s="12" t="n">
        <f aca="false">IF(OR($H53="",K53=""),"",K53/$H53)</f>
        <v>0.0219971950923552</v>
      </c>
      <c r="M53" s="9" t="s">
        <v>115</v>
      </c>
      <c r="N53" s="11" t="s">
        <v>116</v>
      </c>
      <c r="O53" s="11" t="s">
        <v>141</v>
      </c>
      <c r="P53" s="11" t="s">
        <v>143</v>
      </c>
      <c r="Q53" s="10" t="n">
        <v>63861</v>
      </c>
      <c r="R53" s="12" t="n">
        <f aca="false">IF(OR($H53="",Q53=""),"",Q53/$H53)</f>
        <v>0.00987781003131121</v>
      </c>
      <c r="S53" s="9" t="s">
        <v>115</v>
      </c>
      <c r="T53" s="11" t="s">
        <v>119</v>
      </c>
      <c r="U53" s="11" t="s">
        <v>140</v>
      </c>
      <c r="V53" s="11" t="s">
        <v>144</v>
      </c>
      <c r="W53" s="10"/>
      <c r="X53" s="12"/>
      <c r="Y53" s="9"/>
      <c r="Z53" s="11"/>
      <c r="AA53" s="11"/>
      <c r="AB53" s="11"/>
      <c r="AC53" s="9"/>
      <c r="AD53" s="10"/>
      <c r="AE53" s="9"/>
      <c r="AF53" s="11"/>
      <c r="AG53" s="11"/>
      <c r="AH53" s="11"/>
      <c r="AI53" s="10" t="n">
        <v>10135</v>
      </c>
      <c r="AJ53" s="9" t="s">
        <v>122</v>
      </c>
      <c r="AK53" s="11" t="s">
        <v>123</v>
      </c>
      <c r="AL53" s="11" t="s">
        <v>124</v>
      </c>
      <c r="AM53" s="11" t="s">
        <v>125</v>
      </c>
    </row>
    <row r="54" customFormat="false" ht="15" hidden="false" customHeight="false" outlineLevel="0" collapsed="false">
      <c r="A54" s="9" t="s">
        <v>145</v>
      </c>
      <c r="B54" s="9" t="s">
        <v>146</v>
      </c>
      <c r="C54" s="9" t="s">
        <v>147</v>
      </c>
      <c r="D54" s="9" t="s">
        <v>148</v>
      </c>
      <c r="E54" s="9" t="n">
        <v>1</v>
      </c>
      <c r="F54" s="9" t="n">
        <v>0</v>
      </c>
      <c r="G54" s="9" t="n">
        <v>2010</v>
      </c>
      <c r="H54" s="10" t="n">
        <v>17181464</v>
      </c>
      <c r="I54" s="11" t="s">
        <v>98</v>
      </c>
      <c r="J54" s="11" t="s">
        <v>99</v>
      </c>
      <c r="K54" s="10" t="n">
        <v>352344</v>
      </c>
      <c r="L54" s="12" t="n">
        <f aca="false">IF(OR($H54="",K54=""),"",K54/$H54)</f>
        <v>0.020507216381561</v>
      </c>
      <c r="M54" s="9" t="s">
        <v>126</v>
      </c>
      <c r="N54" s="11" t="s">
        <v>101</v>
      </c>
      <c r="O54" s="11" t="s">
        <v>149</v>
      </c>
      <c r="P54" s="11" t="s">
        <v>150</v>
      </c>
      <c r="Q54" s="10"/>
      <c r="R54" s="12"/>
      <c r="S54" s="9"/>
      <c r="T54" s="11"/>
      <c r="U54" s="11"/>
      <c r="V54" s="11"/>
      <c r="W54" s="10"/>
      <c r="X54" s="12"/>
      <c r="Y54" s="9"/>
      <c r="Z54" s="11"/>
      <c r="AA54" s="11"/>
      <c r="AB54" s="11"/>
      <c r="AC54" s="9"/>
      <c r="AD54" s="10"/>
      <c r="AE54" s="9"/>
      <c r="AF54" s="11"/>
      <c r="AG54" s="11"/>
      <c r="AH54" s="11"/>
      <c r="AI54" s="10"/>
      <c r="AJ54" s="9"/>
      <c r="AK54" s="11"/>
      <c r="AL54" s="11"/>
      <c r="AM54" s="11"/>
    </row>
    <row r="55" customFormat="false" ht="15" hidden="false" customHeight="false" outlineLevel="0" collapsed="false">
      <c r="A55" s="9" t="s">
        <v>145</v>
      </c>
      <c r="B55" s="9" t="s">
        <v>146</v>
      </c>
      <c r="C55" s="9" t="s">
        <v>147</v>
      </c>
      <c r="D55" s="9" t="s">
        <v>148</v>
      </c>
      <c r="E55" s="9" t="n">
        <v>1</v>
      </c>
      <c r="F55" s="9" t="n">
        <v>0</v>
      </c>
      <c r="G55" s="9" t="n">
        <v>2011</v>
      </c>
      <c r="H55" s="10" t="n">
        <v>17351816</v>
      </c>
      <c r="I55" s="11" t="s">
        <v>98</v>
      </c>
      <c r="J55" s="11" t="s">
        <v>99</v>
      </c>
      <c r="K55" s="10" t="n">
        <v>369436</v>
      </c>
      <c r="L55" s="12" t="n">
        <f aca="false">IF(OR($H55="",K55=""),"",K55/$H55)</f>
        <v>0.0212909127206052</v>
      </c>
      <c r="M55" s="9" t="s">
        <v>126</v>
      </c>
      <c r="N55" s="11" t="s">
        <v>101</v>
      </c>
      <c r="O55" s="11" t="s">
        <v>149</v>
      </c>
      <c r="P55" s="11" t="s">
        <v>150</v>
      </c>
      <c r="Q55" s="10"/>
      <c r="R55" s="12"/>
      <c r="S55" s="9"/>
      <c r="T55" s="11"/>
      <c r="U55" s="11"/>
      <c r="V55" s="11"/>
      <c r="W55" s="10"/>
      <c r="X55" s="12"/>
      <c r="Y55" s="9"/>
      <c r="Z55" s="11"/>
      <c r="AA55" s="11"/>
      <c r="AB55" s="11"/>
      <c r="AC55" s="9"/>
      <c r="AD55" s="10"/>
      <c r="AE55" s="9"/>
      <c r="AF55" s="11"/>
      <c r="AG55" s="11"/>
      <c r="AH55" s="11"/>
      <c r="AI55" s="10"/>
      <c r="AJ55" s="9"/>
      <c r="AK55" s="11"/>
      <c r="AL55" s="11"/>
      <c r="AM55" s="11"/>
    </row>
    <row r="56" customFormat="false" ht="15" hidden="false" customHeight="false" outlineLevel="0" collapsed="false">
      <c r="A56" s="9" t="s">
        <v>145</v>
      </c>
      <c r="B56" s="9" t="s">
        <v>146</v>
      </c>
      <c r="C56" s="9" t="s">
        <v>147</v>
      </c>
      <c r="D56" s="9" t="s">
        <v>148</v>
      </c>
      <c r="E56" s="9" t="n">
        <v>1</v>
      </c>
      <c r="F56" s="9" t="n">
        <v>0</v>
      </c>
      <c r="G56" s="9" t="n">
        <v>2012</v>
      </c>
      <c r="H56" s="10" t="n">
        <v>17519119</v>
      </c>
      <c r="I56" s="11" t="s">
        <v>98</v>
      </c>
      <c r="J56" s="11" t="s">
        <v>99</v>
      </c>
      <c r="K56" s="10" t="n">
        <v>388229</v>
      </c>
      <c r="L56" s="12" t="n">
        <f aca="false">IF(OR($H56="",K56=""),"",K56/$H56)</f>
        <v>0.0221603038371964</v>
      </c>
      <c r="M56" s="9" t="s">
        <v>126</v>
      </c>
      <c r="N56" s="11" t="s">
        <v>101</v>
      </c>
      <c r="O56" s="11" t="s">
        <v>149</v>
      </c>
      <c r="P56" s="11" t="s">
        <v>150</v>
      </c>
      <c r="Q56" s="10"/>
      <c r="R56" s="12"/>
      <c r="S56" s="9"/>
      <c r="T56" s="11"/>
      <c r="U56" s="11"/>
      <c r="V56" s="11"/>
      <c r="W56" s="10"/>
      <c r="X56" s="12"/>
      <c r="Y56" s="9"/>
      <c r="Z56" s="11"/>
      <c r="AA56" s="11"/>
      <c r="AB56" s="11"/>
      <c r="AC56" s="9"/>
      <c r="AD56" s="10"/>
      <c r="AE56" s="9"/>
      <c r="AF56" s="11"/>
      <c r="AG56" s="11"/>
      <c r="AH56" s="11"/>
      <c r="AI56" s="10"/>
      <c r="AJ56" s="9"/>
      <c r="AK56" s="11"/>
      <c r="AL56" s="11"/>
      <c r="AM56" s="11"/>
    </row>
    <row r="57" customFormat="false" ht="15" hidden="false" customHeight="false" outlineLevel="0" collapsed="false">
      <c r="A57" s="9" t="s">
        <v>145</v>
      </c>
      <c r="B57" s="9" t="s">
        <v>146</v>
      </c>
      <c r="C57" s="9" t="s">
        <v>147</v>
      </c>
      <c r="D57" s="9" t="s">
        <v>148</v>
      </c>
      <c r="E57" s="9" t="n">
        <v>1</v>
      </c>
      <c r="F57" s="9" t="n">
        <v>0</v>
      </c>
      <c r="G57" s="9" t="n">
        <v>2013</v>
      </c>
      <c r="H57" s="10" t="n">
        <v>17687006</v>
      </c>
      <c r="I57" s="11" t="s">
        <v>98</v>
      </c>
      <c r="J57" s="11" t="s">
        <v>99</v>
      </c>
      <c r="K57" s="10" t="n">
        <v>415540</v>
      </c>
      <c r="L57" s="12" t="n">
        <f aca="false">IF(OR($H57="",K57=""),"",K57/$H57)</f>
        <v>0.0234940837358228</v>
      </c>
      <c r="M57" s="9" t="s">
        <v>126</v>
      </c>
      <c r="N57" s="11" t="s">
        <v>101</v>
      </c>
      <c r="O57" s="11" t="s">
        <v>149</v>
      </c>
      <c r="P57" s="11" t="s">
        <v>150</v>
      </c>
      <c r="Q57" s="10"/>
      <c r="R57" s="12"/>
      <c r="S57" s="9"/>
      <c r="T57" s="11"/>
      <c r="U57" s="11"/>
      <c r="V57" s="11"/>
      <c r="W57" s="10"/>
      <c r="X57" s="12"/>
      <c r="Y57" s="9"/>
      <c r="Z57" s="11"/>
      <c r="AA57" s="11"/>
      <c r="AB57" s="11"/>
      <c r="AC57" s="9"/>
      <c r="AD57" s="10"/>
      <c r="AE57" s="9"/>
      <c r="AF57" s="11"/>
      <c r="AG57" s="11"/>
      <c r="AH57" s="11"/>
      <c r="AI57" s="10"/>
      <c r="AJ57" s="9"/>
      <c r="AK57" s="11"/>
      <c r="AL57" s="11"/>
      <c r="AM57" s="11"/>
    </row>
    <row r="58" customFormat="false" ht="15" hidden="false" customHeight="false" outlineLevel="0" collapsed="false">
      <c r="A58" s="9" t="s">
        <v>145</v>
      </c>
      <c r="B58" s="9" t="s">
        <v>146</v>
      </c>
      <c r="C58" s="9" t="s">
        <v>147</v>
      </c>
      <c r="D58" s="9" t="s">
        <v>148</v>
      </c>
      <c r="E58" s="9" t="n">
        <v>1</v>
      </c>
      <c r="F58" s="9" t="n">
        <v>0</v>
      </c>
      <c r="G58" s="9" t="n">
        <v>2014</v>
      </c>
      <c r="H58" s="10" t="n">
        <v>17864195</v>
      </c>
      <c r="I58" s="11" t="s">
        <v>98</v>
      </c>
      <c r="J58" s="11" t="s">
        <v>99</v>
      </c>
      <c r="K58" s="10" t="n">
        <v>441529</v>
      </c>
      <c r="L58" s="12" t="n">
        <f aca="false">IF(OR($H58="",K58=""),"",K58/$H58)</f>
        <v>0.0247158632113006</v>
      </c>
      <c r="M58" s="9" t="s">
        <v>126</v>
      </c>
      <c r="N58" s="11" t="s">
        <v>101</v>
      </c>
      <c r="O58" s="11" t="s">
        <v>149</v>
      </c>
      <c r="P58" s="11" t="s">
        <v>150</v>
      </c>
      <c r="Q58" s="10"/>
      <c r="R58" s="12"/>
      <c r="S58" s="9"/>
      <c r="T58" s="11"/>
      <c r="U58" s="11"/>
      <c r="V58" s="11"/>
      <c r="W58" s="10"/>
      <c r="X58" s="12"/>
      <c r="Y58" s="9"/>
      <c r="Z58" s="11"/>
      <c r="AA58" s="11"/>
      <c r="AB58" s="11"/>
      <c r="AC58" s="9"/>
      <c r="AD58" s="10"/>
      <c r="AE58" s="9"/>
      <c r="AF58" s="11"/>
      <c r="AG58" s="11"/>
      <c r="AH58" s="11"/>
      <c r="AI58" s="10"/>
      <c r="AJ58" s="9"/>
      <c r="AK58" s="11"/>
      <c r="AL58" s="11"/>
      <c r="AM58" s="11"/>
    </row>
    <row r="59" customFormat="false" ht="15" hidden="false" customHeight="false" outlineLevel="0" collapsed="false">
      <c r="A59" s="9" t="s">
        <v>145</v>
      </c>
      <c r="B59" s="9" t="s">
        <v>146</v>
      </c>
      <c r="C59" s="9" t="s">
        <v>147</v>
      </c>
      <c r="D59" s="9" t="s">
        <v>148</v>
      </c>
      <c r="E59" s="9" t="n">
        <v>1</v>
      </c>
      <c r="F59" s="9" t="n">
        <v>0</v>
      </c>
      <c r="G59" s="9" t="n">
        <v>2015</v>
      </c>
      <c r="H59" s="10" t="n">
        <v>18047625</v>
      </c>
      <c r="I59" s="11" t="s">
        <v>98</v>
      </c>
      <c r="J59" s="11" t="s">
        <v>99</v>
      </c>
      <c r="K59" s="10" t="n">
        <v>465319</v>
      </c>
      <c r="L59" s="12" t="n">
        <f aca="false">IF(OR($H59="",K59=""),"",K59/$H59)</f>
        <v>0.0257828384621245</v>
      </c>
      <c r="M59" s="9" t="s">
        <v>126</v>
      </c>
      <c r="N59" s="11" t="s">
        <v>101</v>
      </c>
      <c r="O59" s="11" t="s">
        <v>149</v>
      </c>
      <c r="P59" s="11" t="s">
        <v>150</v>
      </c>
      <c r="Q59" s="10"/>
      <c r="R59" s="12"/>
      <c r="S59" s="9"/>
      <c r="T59" s="11"/>
      <c r="U59" s="11"/>
      <c r="V59" s="11"/>
      <c r="W59" s="10"/>
      <c r="X59" s="12"/>
      <c r="Y59" s="9"/>
      <c r="Z59" s="11"/>
      <c r="AA59" s="11"/>
      <c r="AB59" s="11"/>
      <c r="AC59" s="9"/>
      <c r="AD59" s="10"/>
      <c r="AE59" s="9"/>
      <c r="AF59" s="11"/>
      <c r="AG59" s="11"/>
      <c r="AH59" s="11"/>
      <c r="AI59" s="10"/>
      <c r="AJ59" s="9"/>
      <c r="AK59" s="11"/>
      <c r="AL59" s="11"/>
      <c r="AM59" s="11"/>
    </row>
    <row r="60" customFormat="false" ht="15" hidden="false" customHeight="false" outlineLevel="0" collapsed="false">
      <c r="A60" s="9" t="s">
        <v>145</v>
      </c>
      <c r="B60" s="9" t="s">
        <v>146</v>
      </c>
      <c r="C60" s="9" t="s">
        <v>147</v>
      </c>
      <c r="D60" s="9" t="s">
        <v>148</v>
      </c>
      <c r="E60" s="9" t="n">
        <v>1</v>
      </c>
      <c r="F60" s="9" t="n">
        <v>0</v>
      </c>
      <c r="G60" s="9" t="n">
        <v>2016</v>
      </c>
      <c r="H60" s="10" t="n">
        <v>18267221</v>
      </c>
      <c r="I60" s="11" t="s">
        <v>98</v>
      </c>
      <c r="J60" s="11" t="s">
        <v>99</v>
      </c>
      <c r="K60" s="10"/>
      <c r="L60" s="12"/>
      <c r="M60" s="9"/>
      <c r="N60" s="11"/>
      <c r="O60" s="11"/>
      <c r="P60" s="11"/>
      <c r="Q60" s="10"/>
      <c r="R60" s="12"/>
      <c r="S60" s="9"/>
      <c r="T60" s="11"/>
      <c r="U60" s="11"/>
      <c r="V60" s="11"/>
      <c r="W60" s="10"/>
      <c r="X60" s="12"/>
      <c r="Y60" s="9"/>
      <c r="Z60" s="11"/>
      <c r="AA60" s="11"/>
      <c r="AB60" s="11"/>
      <c r="AC60" s="9"/>
      <c r="AD60" s="10"/>
      <c r="AE60" s="9"/>
      <c r="AF60" s="11"/>
      <c r="AG60" s="11"/>
      <c r="AH60" s="11"/>
      <c r="AI60" s="10"/>
      <c r="AJ60" s="9"/>
      <c r="AK60" s="11"/>
      <c r="AL60" s="11"/>
      <c r="AM60" s="11"/>
    </row>
    <row r="61" customFormat="false" ht="15" hidden="false" customHeight="false" outlineLevel="0" collapsed="false">
      <c r="A61" s="9" t="s">
        <v>145</v>
      </c>
      <c r="B61" s="9" t="s">
        <v>146</v>
      </c>
      <c r="C61" s="9" t="s">
        <v>147</v>
      </c>
      <c r="D61" s="9" t="s">
        <v>148</v>
      </c>
      <c r="E61" s="9" t="n">
        <v>1</v>
      </c>
      <c r="F61" s="9" t="n">
        <v>0</v>
      </c>
      <c r="G61" s="9" t="n">
        <v>2017</v>
      </c>
      <c r="H61" s="10" t="n">
        <v>18558868</v>
      </c>
      <c r="I61" s="11" t="s">
        <v>98</v>
      </c>
      <c r="J61" s="11" t="s">
        <v>99</v>
      </c>
      <c r="K61" s="10" t="n">
        <v>746435</v>
      </c>
      <c r="L61" s="12" t="n">
        <f aca="false">IF(OR($H61="",K61=""),"",K61/$H61)</f>
        <v>0.0402198560817395</v>
      </c>
      <c r="M61" s="9" t="s">
        <v>126</v>
      </c>
      <c r="N61" s="11" t="s">
        <v>101</v>
      </c>
      <c r="O61" s="11" t="s">
        <v>149</v>
      </c>
      <c r="P61" s="11" t="s">
        <v>150</v>
      </c>
      <c r="Q61" s="10" t="n">
        <v>746465</v>
      </c>
      <c r="R61" s="12" t="n">
        <f aca="false">IF(OR($H61="",Q61=""),"",Q61/$H61)</f>
        <v>0.040221472559641</v>
      </c>
      <c r="S61" s="9" t="s">
        <v>151</v>
      </c>
      <c r="T61" s="11" t="s">
        <v>152</v>
      </c>
      <c r="U61" s="11" t="s">
        <v>153</v>
      </c>
      <c r="V61" s="11" t="s">
        <v>154</v>
      </c>
      <c r="W61" s="10"/>
      <c r="X61" s="12"/>
      <c r="Y61" s="9"/>
      <c r="Z61" s="11"/>
      <c r="AA61" s="11"/>
      <c r="AB61" s="11"/>
      <c r="AC61" s="9"/>
      <c r="AD61" s="10"/>
      <c r="AE61" s="9"/>
      <c r="AF61" s="11"/>
      <c r="AG61" s="11"/>
      <c r="AH61" s="11"/>
      <c r="AI61" s="10"/>
      <c r="AJ61" s="9"/>
      <c r="AK61" s="11"/>
      <c r="AL61" s="11"/>
      <c r="AM61" s="11"/>
    </row>
    <row r="62" customFormat="false" ht="15" hidden="false" customHeight="false" outlineLevel="0" collapsed="false">
      <c r="A62" s="9" t="s">
        <v>145</v>
      </c>
      <c r="B62" s="9" t="s">
        <v>146</v>
      </c>
      <c r="C62" s="9" t="s">
        <v>147</v>
      </c>
      <c r="D62" s="9" t="s">
        <v>148</v>
      </c>
      <c r="E62" s="9" t="n">
        <v>1</v>
      </c>
      <c r="F62" s="9" t="n">
        <v>0</v>
      </c>
      <c r="G62" s="9" t="n">
        <v>2018</v>
      </c>
      <c r="H62" s="10" t="n">
        <v>18893191</v>
      </c>
      <c r="I62" s="11" t="s">
        <v>98</v>
      </c>
      <c r="J62" s="11" t="s">
        <v>99</v>
      </c>
      <c r="K62" s="10"/>
      <c r="L62" s="12"/>
      <c r="M62" s="9"/>
      <c r="N62" s="11"/>
      <c r="O62" s="11"/>
      <c r="P62" s="11"/>
      <c r="Q62" s="10" t="n">
        <v>1306859</v>
      </c>
      <c r="R62" s="12" t="n">
        <f aca="false">IF(OR($H62="",Q62=""),"",Q62/$H62)</f>
        <v>0.0691708986586755</v>
      </c>
      <c r="S62" s="9" t="s">
        <v>151</v>
      </c>
      <c r="T62" s="11" t="s">
        <v>152</v>
      </c>
      <c r="U62" s="11" t="s">
        <v>153</v>
      </c>
      <c r="V62" s="11" t="s">
        <v>154</v>
      </c>
      <c r="W62" s="10" t="n">
        <v>59682</v>
      </c>
      <c r="X62" s="12" t="n">
        <f aca="false">IF(OR($H62="",W62=""),"",W62/$H62)</f>
        <v>0.00315891582316613</v>
      </c>
      <c r="Y62" s="9" t="s">
        <v>151</v>
      </c>
      <c r="Z62" s="11" t="s">
        <v>155</v>
      </c>
      <c r="AA62" s="11" t="s">
        <v>156</v>
      </c>
      <c r="AB62" s="11" t="s">
        <v>157</v>
      </c>
      <c r="AC62" s="9" t="n">
        <v>2</v>
      </c>
      <c r="AD62" s="10"/>
      <c r="AE62" s="9"/>
      <c r="AF62" s="11"/>
      <c r="AG62" s="11"/>
      <c r="AH62" s="11"/>
      <c r="AI62" s="10"/>
      <c r="AJ62" s="9"/>
      <c r="AK62" s="11"/>
      <c r="AL62" s="11"/>
      <c r="AM62" s="11"/>
    </row>
    <row r="63" customFormat="false" ht="15" hidden="false" customHeight="false" outlineLevel="0" collapsed="false">
      <c r="A63" s="9" t="s">
        <v>145</v>
      </c>
      <c r="B63" s="9" t="s">
        <v>146</v>
      </c>
      <c r="C63" s="9" t="s">
        <v>147</v>
      </c>
      <c r="D63" s="9" t="s">
        <v>148</v>
      </c>
      <c r="E63" s="9" t="n">
        <v>1</v>
      </c>
      <c r="F63" s="9" t="n">
        <v>0</v>
      </c>
      <c r="G63" s="9" t="n">
        <v>2019</v>
      </c>
      <c r="H63" s="10" t="n">
        <v>19197744</v>
      </c>
      <c r="I63" s="11" t="s">
        <v>98</v>
      </c>
      <c r="J63" s="11" t="s">
        <v>99</v>
      </c>
      <c r="K63" s="10" t="n">
        <v>1306859</v>
      </c>
      <c r="L63" s="12" t="n">
        <f aca="false">IF(OR($H63="",K63=""),"",K63/$H63)</f>
        <v>0.0680735715613251</v>
      </c>
      <c r="M63" s="9" t="s">
        <v>126</v>
      </c>
      <c r="N63" s="11" t="s">
        <v>101</v>
      </c>
      <c r="O63" s="11" t="s">
        <v>149</v>
      </c>
      <c r="P63" s="11" t="s">
        <v>150</v>
      </c>
      <c r="Q63" s="10" t="n">
        <v>1486810</v>
      </c>
      <c r="R63" s="12" t="n">
        <f aca="false">IF(OR($H63="",Q63=""),"",Q63/$H63)</f>
        <v>0.0774471208700356</v>
      </c>
      <c r="S63" s="9" t="s">
        <v>151</v>
      </c>
      <c r="T63" s="11" t="s">
        <v>152</v>
      </c>
      <c r="U63" s="11" t="s">
        <v>153</v>
      </c>
      <c r="V63" s="11" t="s">
        <v>154</v>
      </c>
      <c r="W63" s="10" t="n">
        <v>115059</v>
      </c>
      <c r="X63" s="12" t="n">
        <f aca="false">IF(OR($H63="",W63=""),"",W63/$H63)</f>
        <v>0.00599336046985521</v>
      </c>
      <c r="Y63" s="9" t="s">
        <v>151</v>
      </c>
      <c r="Z63" s="11" t="s">
        <v>155</v>
      </c>
      <c r="AA63" s="11" t="s">
        <v>156</v>
      </c>
      <c r="AB63" s="11" t="s">
        <v>158</v>
      </c>
      <c r="AC63" s="9" t="n">
        <v>2</v>
      </c>
      <c r="AD63" s="10"/>
      <c r="AE63" s="9"/>
      <c r="AF63" s="11"/>
      <c r="AG63" s="11"/>
      <c r="AH63" s="11"/>
      <c r="AI63" s="10"/>
      <c r="AJ63" s="9"/>
      <c r="AK63" s="11"/>
      <c r="AL63" s="11"/>
      <c r="AM63" s="11"/>
    </row>
    <row r="64" customFormat="false" ht="15" hidden="false" customHeight="false" outlineLevel="0" collapsed="false">
      <c r="A64" s="9" t="s">
        <v>145</v>
      </c>
      <c r="B64" s="9" t="s">
        <v>146</v>
      </c>
      <c r="C64" s="9" t="s">
        <v>147</v>
      </c>
      <c r="D64" s="9" t="s">
        <v>148</v>
      </c>
      <c r="E64" s="9" t="n">
        <v>1</v>
      </c>
      <c r="F64" s="9" t="n">
        <v>0</v>
      </c>
      <c r="G64" s="9" t="n">
        <v>2020</v>
      </c>
      <c r="H64" s="10" t="n">
        <v>19370624</v>
      </c>
      <c r="I64" s="11" t="s">
        <v>98</v>
      </c>
      <c r="J64" s="11" t="s">
        <v>99</v>
      </c>
      <c r="K64" s="10" t="n">
        <v>1486810</v>
      </c>
      <c r="L64" s="12" t="n">
        <f aca="false">IF(OR($H64="",K64=""),"",K64/$H64)</f>
        <v>0.076755916587922</v>
      </c>
      <c r="M64" s="9" t="s">
        <v>126</v>
      </c>
      <c r="N64" s="11" t="s">
        <v>101</v>
      </c>
      <c r="O64" s="11" t="s">
        <v>149</v>
      </c>
      <c r="P64" s="11" t="s">
        <v>150</v>
      </c>
      <c r="Q64" s="10" t="n">
        <v>1534813</v>
      </c>
      <c r="R64" s="12" t="n">
        <f aca="false">IF(OR($H64="",Q64=""),"",Q64/$H64)</f>
        <v>0.0792340504879967</v>
      </c>
      <c r="S64" s="9" t="s">
        <v>151</v>
      </c>
      <c r="T64" s="11" t="s">
        <v>152</v>
      </c>
      <c r="U64" s="11" t="s">
        <v>153</v>
      </c>
      <c r="V64" s="11" t="s">
        <v>154</v>
      </c>
      <c r="W64" s="10" t="n">
        <v>130017</v>
      </c>
      <c r="X64" s="12" t="n">
        <f aca="false">IF(OR($H64="",W64=""),"",W64/$H64)</f>
        <v>0.00671207081403263</v>
      </c>
      <c r="Y64" s="9" t="s">
        <v>151</v>
      </c>
      <c r="Z64" s="11" t="s">
        <v>155</v>
      </c>
      <c r="AA64" s="11" t="s">
        <v>156</v>
      </c>
      <c r="AB64" s="11" t="s">
        <v>159</v>
      </c>
      <c r="AC64" s="9" t="n">
        <v>2</v>
      </c>
      <c r="AD64" s="10"/>
      <c r="AE64" s="9"/>
      <c r="AF64" s="11"/>
      <c r="AG64" s="11"/>
      <c r="AH64" s="11"/>
      <c r="AI64" s="10"/>
      <c r="AJ64" s="9"/>
      <c r="AK64" s="11"/>
      <c r="AL64" s="11"/>
      <c r="AM64" s="11"/>
    </row>
    <row r="65" customFormat="false" ht="15" hidden="false" customHeight="false" outlineLevel="0" collapsed="false">
      <c r="A65" s="9" t="s">
        <v>145</v>
      </c>
      <c r="B65" s="9" t="s">
        <v>146</v>
      </c>
      <c r="C65" s="9" t="s">
        <v>147</v>
      </c>
      <c r="D65" s="9" t="s">
        <v>148</v>
      </c>
      <c r="E65" s="9" t="n">
        <v>1</v>
      </c>
      <c r="F65" s="9" t="n">
        <v>0</v>
      </c>
      <c r="G65" s="9" t="n">
        <v>2021</v>
      </c>
      <c r="H65" s="10" t="n">
        <v>19456334</v>
      </c>
      <c r="I65" s="11" t="s">
        <v>98</v>
      </c>
      <c r="J65" s="11" t="s">
        <v>99</v>
      </c>
      <c r="K65" s="10" t="n">
        <v>1534813</v>
      </c>
      <c r="L65" s="12" t="n">
        <f aca="false">IF(OR($H65="",K65=""),"",K65/$H65)</f>
        <v>0.0788850047496101</v>
      </c>
      <c r="M65" s="9" t="s">
        <v>126</v>
      </c>
      <c r="N65" s="11" t="s">
        <v>101</v>
      </c>
      <c r="O65" s="11" t="s">
        <v>149</v>
      </c>
      <c r="P65" s="11" t="s">
        <v>150</v>
      </c>
      <c r="Q65" s="10" t="n">
        <v>1630812</v>
      </c>
      <c r="R65" s="12" t="n">
        <f aca="false">IF(OR($H65="",Q65=""),"",Q65/$H65)</f>
        <v>0.083819079174936</v>
      </c>
      <c r="S65" s="9" t="s">
        <v>151</v>
      </c>
      <c r="T65" s="11" t="s">
        <v>152</v>
      </c>
      <c r="U65" s="11" t="s">
        <v>153</v>
      </c>
      <c r="V65" s="11" t="s">
        <v>154</v>
      </c>
      <c r="W65" s="10" t="n">
        <v>53356</v>
      </c>
      <c r="X65" s="12" t="n">
        <f aca="false">IF(OR($H65="",W65=""),"",W65/$H65)</f>
        <v>0.00274234601441361</v>
      </c>
      <c r="Y65" s="9" t="s">
        <v>151</v>
      </c>
      <c r="Z65" s="11" t="s">
        <v>160</v>
      </c>
      <c r="AA65" s="11" t="s">
        <v>156</v>
      </c>
      <c r="AB65" s="11" t="s">
        <v>161</v>
      </c>
      <c r="AC65" s="9" t="n">
        <v>1</v>
      </c>
      <c r="AD65" s="10"/>
      <c r="AE65" s="9"/>
      <c r="AF65" s="11"/>
      <c r="AG65" s="11"/>
      <c r="AH65" s="11"/>
      <c r="AI65" s="10"/>
      <c r="AJ65" s="9"/>
      <c r="AK65" s="11"/>
      <c r="AL65" s="11"/>
      <c r="AM65" s="11"/>
    </row>
    <row r="66" customFormat="false" ht="15" hidden="false" customHeight="false" outlineLevel="0" collapsed="false">
      <c r="A66" s="9" t="s">
        <v>145</v>
      </c>
      <c r="B66" s="9" t="s">
        <v>146</v>
      </c>
      <c r="C66" s="9" t="s">
        <v>147</v>
      </c>
      <c r="D66" s="9" t="s">
        <v>148</v>
      </c>
      <c r="E66" s="9" t="n">
        <v>1</v>
      </c>
      <c r="F66" s="9" t="n">
        <v>0</v>
      </c>
      <c r="G66" s="9" t="n">
        <v>2022</v>
      </c>
      <c r="H66" s="10" t="n">
        <v>19553036</v>
      </c>
      <c r="I66" s="11" t="s">
        <v>98</v>
      </c>
      <c r="J66" s="11" t="s">
        <v>99</v>
      </c>
      <c r="K66" s="10" t="n">
        <v>1630812</v>
      </c>
      <c r="L66" s="12" t="n">
        <f aca="false">IF(OR($H66="",K66=""),"",K66/$H66)</f>
        <v>0.0834045413714781</v>
      </c>
      <c r="M66" s="9" t="s">
        <v>126</v>
      </c>
      <c r="N66" s="11" t="s">
        <v>101</v>
      </c>
      <c r="O66" s="11" t="s">
        <v>149</v>
      </c>
      <c r="P66" s="11" t="s">
        <v>150</v>
      </c>
      <c r="Q66" s="10" t="n">
        <v>1836137</v>
      </c>
      <c r="R66" s="12" t="n">
        <f aca="false">IF(OR($H66="",Q66=""),"",Q66/$H66)</f>
        <v>0.0939054681840713</v>
      </c>
      <c r="S66" s="9" t="s">
        <v>151</v>
      </c>
      <c r="T66" s="11" t="s">
        <v>152</v>
      </c>
      <c r="U66" s="11" t="s">
        <v>153</v>
      </c>
      <c r="V66" s="11" t="s">
        <v>154</v>
      </c>
      <c r="W66" s="10" t="n">
        <v>109846</v>
      </c>
      <c r="X66" s="12" t="n">
        <f aca="false">IF(OR($H66="",W66=""),"",W66/$H66)</f>
        <v>0.00561784880874766</v>
      </c>
      <c r="Y66" s="9" t="s">
        <v>151</v>
      </c>
      <c r="Z66" s="11" t="s">
        <v>160</v>
      </c>
      <c r="AA66" s="11" t="s">
        <v>156</v>
      </c>
      <c r="AB66" s="11" t="s">
        <v>162</v>
      </c>
      <c r="AC66" s="9" t="n">
        <v>2</v>
      </c>
      <c r="AD66" s="10"/>
      <c r="AE66" s="9"/>
      <c r="AF66" s="11"/>
      <c r="AG66" s="11"/>
      <c r="AH66" s="11"/>
      <c r="AI66" s="10"/>
      <c r="AJ66" s="9"/>
      <c r="AK66" s="11"/>
      <c r="AL66" s="11"/>
      <c r="AM66" s="11"/>
    </row>
    <row r="67" customFormat="false" ht="15" hidden="false" customHeight="false" outlineLevel="0" collapsed="false">
      <c r="A67" s="9" t="s">
        <v>163</v>
      </c>
      <c r="B67" s="9" t="s">
        <v>164</v>
      </c>
      <c r="C67" s="9" t="s">
        <v>165</v>
      </c>
      <c r="D67" s="9" t="s">
        <v>166</v>
      </c>
      <c r="E67" s="9" t="n">
        <v>1</v>
      </c>
      <c r="F67" s="9" t="n">
        <v>1</v>
      </c>
      <c r="G67" s="9" t="n">
        <v>2010</v>
      </c>
      <c r="H67" s="10" t="n">
        <v>1337705000</v>
      </c>
      <c r="I67" s="11" t="s">
        <v>98</v>
      </c>
      <c r="J67" s="11" t="s">
        <v>99</v>
      </c>
      <c r="K67" s="10" t="n">
        <v>1010008</v>
      </c>
      <c r="L67" s="12" t="n">
        <f aca="false">IF(OR($H67="",K67=""),"",K67/$H67)</f>
        <v>0.000755030443931958</v>
      </c>
      <c r="M67" s="9" t="s">
        <v>100</v>
      </c>
      <c r="N67" s="11" t="s">
        <v>167</v>
      </c>
      <c r="O67" s="11" t="s">
        <v>168</v>
      </c>
      <c r="P67" s="11" t="s">
        <v>169</v>
      </c>
      <c r="Q67" s="10" t="n">
        <v>593832</v>
      </c>
      <c r="R67" s="12" t="n">
        <f aca="false">IF(OR($H67="",Q67=""),"",Q67/$H67)</f>
        <v>0.000443918502210876</v>
      </c>
      <c r="S67" s="9" t="s">
        <v>170</v>
      </c>
      <c r="T67" s="11" t="s">
        <v>171</v>
      </c>
      <c r="U67" s="11" t="s">
        <v>172</v>
      </c>
      <c r="V67" s="11" t="s">
        <v>173</v>
      </c>
      <c r="W67" s="10"/>
      <c r="X67" s="12"/>
      <c r="Y67" s="9"/>
      <c r="Z67" s="11"/>
      <c r="AA67" s="11"/>
      <c r="AB67" s="11"/>
      <c r="AC67" s="9"/>
      <c r="AD67" s="10"/>
      <c r="AE67" s="9"/>
      <c r="AF67" s="11"/>
      <c r="AG67" s="11"/>
      <c r="AH67" s="11"/>
      <c r="AI67" s="10"/>
      <c r="AJ67" s="9"/>
      <c r="AK67" s="11"/>
      <c r="AL67" s="11"/>
      <c r="AM67" s="11"/>
    </row>
    <row r="68" customFormat="false" ht="15" hidden="false" customHeight="false" outlineLevel="0" collapsed="false">
      <c r="A68" s="9" t="s">
        <v>163</v>
      </c>
      <c r="B68" s="9" t="s">
        <v>164</v>
      </c>
      <c r="C68" s="9" t="s">
        <v>165</v>
      </c>
      <c r="D68" s="9" t="s">
        <v>166</v>
      </c>
      <c r="E68" s="9" t="n">
        <v>1</v>
      </c>
      <c r="F68" s="9" t="n">
        <v>1</v>
      </c>
      <c r="G68" s="9" t="n">
        <v>2011</v>
      </c>
      <c r="H68" s="10" t="n">
        <v>1345035000</v>
      </c>
      <c r="I68" s="11" t="s">
        <v>98</v>
      </c>
      <c r="J68" s="11" t="s">
        <v>99</v>
      </c>
      <c r="K68" s="10"/>
      <c r="L68" s="12"/>
      <c r="M68" s="9"/>
      <c r="N68" s="11"/>
      <c r="O68" s="11"/>
      <c r="P68" s="11"/>
      <c r="Q68" s="10"/>
      <c r="R68" s="12"/>
      <c r="S68" s="9"/>
      <c r="T68" s="11"/>
      <c r="U68" s="11"/>
      <c r="V68" s="11"/>
      <c r="W68" s="10"/>
      <c r="X68" s="12"/>
      <c r="Y68" s="9"/>
      <c r="Z68" s="11"/>
      <c r="AA68" s="11"/>
      <c r="AB68" s="11"/>
      <c r="AC68" s="9"/>
      <c r="AD68" s="10"/>
      <c r="AE68" s="9"/>
      <c r="AF68" s="11"/>
      <c r="AG68" s="11"/>
      <c r="AH68" s="11"/>
      <c r="AI68" s="10"/>
      <c r="AJ68" s="9"/>
      <c r="AK68" s="11"/>
      <c r="AL68" s="11"/>
      <c r="AM68" s="11"/>
    </row>
    <row r="69" customFormat="false" ht="15" hidden="false" customHeight="false" outlineLevel="0" collapsed="false">
      <c r="A69" s="9" t="s">
        <v>163</v>
      </c>
      <c r="B69" s="9" t="s">
        <v>164</v>
      </c>
      <c r="C69" s="9" t="s">
        <v>165</v>
      </c>
      <c r="D69" s="9" t="s">
        <v>166</v>
      </c>
      <c r="E69" s="9" t="n">
        <v>1</v>
      </c>
      <c r="F69" s="9" t="n">
        <v>1</v>
      </c>
      <c r="G69" s="9" t="n">
        <v>2012</v>
      </c>
      <c r="H69" s="10" t="n">
        <v>1354190000</v>
      </c>
      <c r="I69" s="11" t="s">
        <v>98</v>
      </c>
      <c r="J69" s="11" t="s">
        <v>99</v>
      </c>
      <c r="K69" s="10"/>
      <c r="L69" s="12"/>
      <c r="M69" s="9"/>
      <c r="N69" s="11"/>
      <c r="O69" s="11"/>
      <c r="P69" s="11"/>
      <c r="Q69" s="10"/>
      <c r="R69" s="12"/>
      <c r="S69" s="9"/>
      <c r="T69" s="11"/>
      <c r="U69" s="11"/>
      <c r="V69" s="11"/>
      <c r="W69" s="10"/>
      <c r="X69" s="12"/>
      <c r="Y69" s="9"/>
      <c r="Z69" s="11"/>
      <c r="AA69" s="11"/>
      <c r="AB69" s="11"/>
      <c r="AC69" s="9"/>
      <c r="AD69" s="10"/>
      <c r="AE69" s="9"/>
      <c r="AF69" s="11"/>
      <c r="AG69" s="11"/>
      <c r="AH69" s="11"/>
      <c r="AI69" s="10"/>
      <c r="AJ69" s="9"/>
      <c r="AK69" s="11"/>
      <c r="AL69" s="11"/>
      <c r="AM69" s="11"/>
    </row>
    <row r="70" customFormat="false" ht="15" hidden="false" customHeight="false" outlineLevel="0" collapsed="false">
      <c r="A70" s="9" t="s">
        <v>163</v>
      </c>
      <c r="B70" s="9" t="s">
        <v>164</v>
      </c>
      <c r="C70" s="9" t="s">
        <v>165</v>
      </c>
      <c r="D70" s="9" t="s">
        <v>166</v>
      </c>
      <c r="E70" s="9" t="n">
        <v>1</v>
      </c>
      <c r="F70" s="9" t="n">
        <v>1</v>
      </c>
      <c r="G70" s="9" t="n">
        <v>2013</v>
      </c>
      <c r="H70" s="10" t="n">
        <v>1363240000</v>
      </c>
      <c r="I70" s="11" t="s">
        <v>98</v>
      </c>
      <c r="J70" s="11" t="s">
        <v>99</v>
      </c>
      <c r="K70" s="10"/>
      <c r="L70" s="12"/>
      <c r="M70" s="9"/>
      <c r="N70" s="11"/>
      <c r="O70" s="11"/>
      <c r="P70" s="11"/>
      <c r="Q70" s="10"/>
      <c r="R70" s="12"/>
      <c r="S70" s="9"/>
      <c r="T70" s="11"/>
      <c r="U70" s="11"/>
      <c r="V70" s="11"/>
      <c r="W70" s="10"/>
      <c r="X70" s="12"/>
      <c r="Y70" s="9"/>
      <c r="Z70" s="11"/>
      <c r="AA70" s="11"/>
      <c r="AB70" s="11"/>
      <c r="AC70" s="9"/>
      <c r="AD70" s="10"/>
      <c r="AE70" s="9"/>
      <c r="AF70" s="11"/>
      <c r="AG70" s="11"/>
      <c r="AH70" s="11"/>
      <c r="AI70" s="10"/>
      <c r="AJ70" s="9"/>
      <c r="AK70" s="11"/>
      <c r="AL70" s="11"/>
      <c r="AM70" s="11"/>
    </row>
    <row r="71" customFormat="false" ht="15" hidden="false" customHeight="false" outlineLevel="0" collapsed="false">
      <c r="A71" s="9" t="s">
        <v>163</v>
      </c>
      <c r="B71" s="9" t="s">
        <v>164</v>
      </c>
      <c r="C71" s="9" t="s">
        <v>165</v>
      </c>
      <c r="D71" s="9" t="s">
        <v>166</v>
      </c>
      <c r="E71" s="9" t="n">
        <v>1</v>
      </c>
      <c r="F71" s="9" t="n">
        <v>1</v>
      </c>
      <c r="G71" s="9" t="n">
        <v>2014</v>
      </c>
      <c r="H71" s="10" t="n">
        <v>1371860000</v>
      </c>
      <c r="I71" s="11" t="s">
        <v>98</v>
      </c>
      <c r="J71" s="11" t="s">
        <v>99</v>
      </c>
      <c r="K71" s="10"/>
      <c r="L71" s="12"/>
      <c r="M71" s="9"/>
      <c r="N71" s="11"/>
      <c r="O71" s="11"/>
      <c r="P71" s="11"/>
      <c r="Q71" s="10"/>
      <c r="R71" s="12"/>
      <c r="S71" s="9"/>
      <c r="T71" s="11"/>
      <c r="U71" s="11"/>
      <c r="V71" s="11"/>
      <c r="W71" s="10"/>
      <c r="X71" s="12"/>
      <c r="Y71" s="9"/>
      <c r="Z71" s="11"/>
      <c r="AA71" s="11"/>
      <c r="AB71" s="11"/>
      <c r="AC71" s="9"/>
      <c r="AD71" s="10"/>
      <c r="AE71" s="9"/>
      <c r="AF71" s="11"/>
      <c r="AG71" s="11"/>
      <c r="AH71" s="11"/>
      <c r="AI71" s="10"/>
      <c r="AJ71" s="9"/>
      <c r="AK71" s="11"/>
      <c r="AL71" s="11"/>
      <c r="AM71" s="11"/>
    </row>
    <row r="72" customFormat="false" ht="15" hidden="false" customHeight="false" outlineLevel="0" collapsed="false">
      <c r="A72" s="9" t="s">
        <v>163</v>
      </c>
      <c r="B72" s="9" t="s">
        <v>164</v>
      </c>
      <c r="C72" s="9" t="s">
        <v>165</v>
      </c>
      <c r="D72" s="9" t="s">
        <v>166</v>
      </c>
      <c r="E72" s="9" t="n">
        <v>1</v>
      </c>
      <c r="F72" s="9" t="n">
        <v>1</v>
      </c>
      <c r="G72" s="9" t="n">
        <v>2015</v>
      </c>
      <c r="H72" s="10" t="n">
        <v>1379860000</v>
      </c>
      <c r="I72" s="11" t="s">
        <v>98</v>
      </c>
      <c r="J72" s="11" t="s">
        <v>99</v>
      </c>
      <c r="K72" s="10" t="n">
        <v>1196007</v>
      </c>
      <c r="L72" s="12" t="n">
        <f aca="false">IF(OR($H72="",K72=""),"",K72/$H72)</f>
        <v>0.000866759671270999</v>
      </c>
      <c r="M72" s="9" t="s">
        <v>100</v>
      </c>
      <c r="N72" s="11" t="s">
        <v>167</v>
      </c>
      <c r="O72" s="11" t="s">
        <v>168</v>
      </c>
      <c r="P72" s="11" t="s">
        <v>174</v>
      </c>
      <c r="Q72" s="10"/>
      <c r="R72" s="12"/>
      <c r="S72" s="9"/>
      <c r="T72" s="11"/>
      <c r="U72" s="11"/>
      <c r="V72" s="11"/>
      <c r="W72" s="10"/>
      <c r="X72" s="12"/>
      <c r="Y72" s="9"/>
      <c r="Z72" s="11"/>
      <c r="AA72" s="11"/>
      <c r="AB72" s="11"/>
      <c r="AC72" s="9"/>
      <c r="AD72" s="10"/>
      <c r="AE72" s="9"/>
      <c r="AF72" s="11"/>
      <c r="AG72" s="11"/>
      <c r="AH72" s="11"/>
      <c r="AI72" s="10"/>
      <c r="AJ72" s="9"/>
      <c r="AK72" s="11"/>
      <c r="AL72" s="11"/>
      <c r="AM72" s="11"/>
    </row>
    <row r="73" customFormat="false" ht="15" hidden="false" customHeight="false" outlineLevel="0" collapsed="false">
      <c r="A73" s="9" t="s">
        <v>163</v>
      </c>
      <c r="B73" s="9" t="s">
        <v>164</v>
      </c>
      <c r="C73" s="9" t="s">
        <v>165</v>
      </c>
      <c r="D73" s="9" t="s">
        <v>166</v>
      </c>
      <c r="E73" s="9" t="n">
        <v>1</v>
      </c>
      <c r="F73" s="9" t="n">
        <v>1</v>
      </c>
      <c r="G73" s="9" t="n">
        <v>2016</v>
      </c>
      <c r="H73" s="10" t="n">
        <v>1387790000</v>
      </c>
      <c r="I73" s="11" t="s">
        <v>98</v>
      </c>
      <c r="J73" s="11" t="s">
        <v>99</v>
      </c>
      <c r="K73" s="10"/>
      <c r="L73" s="12"/>
      <c r="M73" s="9"/>
      <c r="N73" s="11"/>
      <c r="O73" s="11"/>
      <c r="P73" s="11"/>
      <c r="Q73" s="10"/>
      <c r="R73" s="12"/>
      <c r="S73" s="9"/>
      <c r="T73" s="11"/>
      <c r="U73" s="11"/>
      <c r="V73" s="11"/>
      <c r="W73" s="10"/>
      <c r="X73" s="12"/>
      <c r="Y73" s="9"/>
      <c r="Z73" s="11"/>
      <c r="AA73" s="11"/>
      <c r="AB73" s="11"/>
      <c r="AC73" s="9"/>
      <c r="AD73" s="10"/>
      <c r="AE73" s="9"/>
      <c r="AF73" s="11"/>
      <c r="AG73" s="11"/>
      <c r="AH73" s="11"/>
      <c r="AI73" s="10"/>
      <c r="AJ73" s="9"/>
      <c r="AK73" s="11"/>
      <c r="AL73" s="11"/>
      <c r="AM73" s="11"/>
    </row>
    <row r="74" customFormat="false" ht="15" hidden="false" customHeight="false" outlineLevel="0" collapsed="false">
      <c r="A74" s="9" t="s">
        <v>163</v>
      </c>
      <c r="B74" s="9" t="s">
        <v>164</v>
      </c>
      <c r="C74" s="9" t="s">
        <v>165</v>
      </c>
      <c r="D74" s="9" t="s">
        <v>166</v>
      </c>
      <c r="E74" s="9" t="n">
        <v>1</v>
      </c>
      <c r="F74" s="9" t="n">
        <v>1</v>
      </c>
      <c r="G74" s="9" t="n">
        <v>2017</v>
      </c>
      <c r="H74" s="10" t="n">
        <v>1396215000</v>
      </c>
      <c r="I74" s="11" t="s">
        <v>98</v>
      </c>
      <c r="J74" s="11" t="s">
        <v>99</v>
      </c>
      <c r="K74" s="10"/>
      <c r="L74" s="12"/>
      <c r="M74" s="9"/>
      <c r="N74" s="11"/>
      <c r="O74" s="11"/>
      <c r="P74" s="11"/>
      <c r="Q74" s="10"/>
      <c r="R74" s="12"/>
      <c r="S74" s="9"/>
      <c r="T74" s="11"/>
      <c r="U74" s="11"/>
      <c r="V74" s="11"/>
      <c r="W74" s="10"/>
      <c r="X74" s="12"/>
      <c r="Y74" s="9"/>
      <c r="Z74" s="11"/>
      <c r="AA74" s="11"/>
      <c r="AB74" s="11"/>
      <c r="AC74" s="9"/>
      <c r="AD74" s="10"/>
      <c r="AE74" s="9"/>
      <c r="AF74" s="11"/>
      <c r="AG74" s="11"/>
      <c r="AH74" s="11"/>
      <c r="AI74" s="10"/>
      <c r="AJ74" s="9"/>
      <c r="AK74" s="11"/>
      <c r="AL74" s="11"/>
      <c r="AM74" s="11"/>
    </row>
    <row r="75" customFormat="false" ht="15" hidden="false" customHeight="false" outlineLevel="0" collapsed="false">
      <c r="A75" s="9" t="s">
        <v>163</v>
      </c>
      <c r="B75" s="9" t="s">
        <v>164</v>
      </c>
      <c r="C75" s="9" t="s">
        <v>165</v>
      </c>
      <c r="D75" s="9" t="s">
        <v>166</v>
      </c>
      <c r="E75" s="9" t="n">
        <v>1</v>
      </c>
      <c r="F75" s="9" t="n">
        <v>1</v>
      </c>
      <c r="G75" s="9" t="n">
        <v>2018</v>
      </c>
      <c r="H75" s="10" t="n">
        <v>1402760000</v>
      </c>
      <c r="I75" s="11" t="s">
        <v>98</v>
      </c>
      <c r="J75" s="11" t="s">
        <v>99</v>
      </c>
      <c r="K75" s="10"/>
      <c r="L75" s="12"/>
      <c r="M75" s="9"/>
      <c r="N75" s="11"/>
      <c r="O75" s="11"/>
      <c r="P75" s="11"/>
      <c r="Q75" s="10"/>
      <c r="R75" s="12"/>
      <c r="S75" s="9"/>
      <c r="T75" s="11"/>
      <c r="U75" s="11"/>
      <c r="V75" s="11"/>
      <c r="W75" s="10"/>
      <c r="X75" s="12"/>
      <c r="Y75" s="9"/>
      <c r="Z75" s="11"/>
      <c r="AA75" s="11"/>
      <c r="AB75" s="11"/>
      <c r="AC75" s="9"/>
      <c r="AD75" s="10"/>
      <c r="AE75" s="9"/>
      <c r="AF75" s="11"/>
      <c r="AG75" s="11"/>
      <c r="AH75" s="11"/>
      <c r="AI75" s="10"/>
      <c r="AJ75" s="9"/>
      <c r="AK75" s="11"/>
      <c r="AL75" s="11"/>
      <c r="AM75" s="11"/>
    </row>
    <row r="76" customFormat="false" ht="15" hidden="false" customHeight="false" outlineLevel="0" collapsed="false">
      <c r="A76" s="9" t="s">
        <v>163</v>
      </c>
      <c r="B76" s="9" t="s">
        <v>164</v>
      </c>
      <c r="C76" s="9" t="s">
        <v>165</v>
      </c>
      <c r="D76" s="9" t="s">
        <v>166</v>
      </c>
      <c r="E76" s="9" t="n">
        <v>1</v>
      </c>
      <c r="F76" s="9" t="n">
        <v>1</v>
      </c>
      <c r="G76" s="9" t="n">
        <v>2019</v>
      </c>
      <c r="H76" s="10" t="n">
        <v>1407745000</v>
      </c>
      <c r="I76" s="11" t="s">
        <v>98</v>
      </c>
      <c r="J76" s="11" t="s">
        <v>99</v>
      </c>
      <c r="K76" s="10"/>
      <c r="L76" s="12"/>
      <c r="M76" s="9"/>
      <c r="N76" s="11"/>
      <c r="O76" s="11"/>
      <c r="P76" s="11"/>
      <c r="Q76" s="10"/>
      <c r="R76" s="12"/>
      <c r="S76" s="9"/>
      <c r="T76" s="11"/>
      <c r="U76" s="11"/>
      <c r="V76" s="11"/>
      <c r="W76" s="10"/>
      <c r="X76" s="12"/>
      <c r="Y76" s="9"/>
      <c r="Z76" s="11"/>
      <c r="AA76" s="11"/>
      <c r="AB76" s="11"/>
      <c r="AC76" s="9"/>
      <c r="AD76" s="10"/>
      <c r="AE76" s="9"/>
      <c r="AF76" s="11"/>
      <c r="AG76" s="11"/>
      <c r="AH76" s="11"/>
      <c r="AI76" s="10"/>
      <c r="AJ76" s="9"/>
      <c r="AK76" s="11"/>
      <c r="AL76" s="11"/>
      <c r="AM76" s="11"/>
    </row>
    <row r="77" customFormat="false" ht="15" hidden="false" customHeight="false" outlineLevel="0" collapsed="false">
      <c r="A77" s="9" t="s">
        <v>163</v>
      </c>
      <c r="B77" s="9" t="s">
        <v>164</v>
      </c>
      <c r="C77" s="9" t="s">
        <v>165</v>
      </c>
      <c r="D77" s="9" t="s">
        <v>166</v>
      </c>
      <c r="E77" s="9" t="n">
        <v>1</v>
      </c>
      <c r="F77" s="9" t="n">
        <v>1</v>
      </c>
      <c r="G77" s="9" t="n">
        <v>2020</v>
      </c>
      <c r="H77" s="10" t="n">
        <v>1411100000</v>
      </c>
      <c r="I77" s="11" t="s">
        <v>98</v>
      </c>
      <c r="J77" s="11" t="s">
        <v>99</v>
      </c>
      <c r="K77" s="10" t="n">
        <v>1415116</v>
      </c>
      <c r="L77" s="12" t="n">
        <f aca="false">IF(OR($H77="",K77=""),"",K77/$H77)</f>
        <v>0.00100284600666147</v>
      </c>
      <c r="M77" s="9" t="s">
        <v>100</v>
      </c>
      <c r="N77" s="11" t="s">
        <v>167</v>
      </c>
      <c r="O77" s="11" t="s">
        <v>168</v>
      </c>
      <c r="P77" s="11" t="s">
        <v>174</v>
      </c>
      <c r="Q77" s="10" t="n">
        <v>845697</v>
      </c>
      <c r="R77" s="12" t="n">
        <f aca="false">IF(OR($H77="",Q77=""),"",Q77/$H77)</f>
        <v>0.000599317553681525</v>
      </c>
      <c r="S77" s="9" t="s">
        <v>170</v>
      </c>
      <c r="T77" s="11" t="s">
        <v>175</v>
      </c>
      <c r="U77" s="11" t="s">
        <v>176</v>
      </c>
      <c r="V77" s="11" t="s">
        <v>177</v>
      </c>
      <c r="W77" s="10"/>
      <c r="X77" s="12"/>
      <c r="Y77" s="9"/>
      <c r="Z77" s="11"/>
      <c r="AA77" s="11"/>
      <c r="AB77" s="11"/>
      <c r="AC77" s="9"/>
      <c r="AD77" s="10"/>
      <c r="AE77" s="9"/>
      <c r="AF77" s="11"/>
      <c r="AG77" s="11"/>
      <c r="AH77" s="11"/>
      <c r="AI77" s="10"/>
      <c r="AJ77" s="9"/>
      <c r="AK77" s="11"/>
      <c r="AL77" s="11"/>
      <c r="AM77" s="11"/>
    </row>
    <row r="78" customFormat="false" ht="15" hidden="false" customHeight="false" outlineLevel="0" collapsed="false">
      <c r="A78" s="9" t="s">
        <v>163</v>
      </c>
      <c r="B78" s="9" t="s">
        <v>164</v>
      </c>
      <c r="C78" s="9" t="s">
        <v>165</v>
      </c>
      <c r="D78" s="9" t="s">
        <v>166</v>
      </c>
      <c r="E78" s="9" t="n">
        <v>1</v>
      </c>
      <c r="F78" s="9" t="n">
        <v>1</v>
      </c>
      <c r="G78" s="9" t="n">
        <v>2021</v>
      </c>
      <c r="H78" s="10" t="n">
        <v>1412360000</v>
      </c>
      <c r="I78" s="11" t="s">
        <v>98</v>
      </c>
      <c r="J78" s="11" t="s">
        <v>99</v>
      </c>
      <c r="K78" s="10"/>
      <c r="L78" s="12"/>
      <c r="M78" s="9"/>
      <c r="N78" s="11"/>
      <c r="O78" s="11"/>
      <c r="P78" s="11"/>
      <c r="Q78" s="10"/>
      <c r="R78" s="12"/>
      <c r="S78" s="9"/>
      <c r="T78" s="11"/>
      <c r="U78" s="11"/>
      <c r="V78" s="11"/>
      <c r="W78" s="10"/>
      <c r="X78" s="12"/>
      <c r="Y78" s="9"/>
      <c r="Z78" s="11"/>
      <c r="AA78" s="11"/>
      <c r="AB78" s="11"/>
      <c r="AC78" s="9"/>
      <c r="AD78" s="10"/>
      <c r="AE78" s="9"/>
      <c r="AF78" s="11"/>
      <c r="AG78" s="11"/>
      <c r="AH78" s="11"/>
      <c r="AI78" s="10"/>
      <c r="AJ78" s="9"/>
      <c r="AK78" s="11"/>
      <c r="AL78" s="11"/>
      <c r="AM78" s="11"/>
    </row>
    <row r="79" customFormat="false" ht="15" hidden="false" customHeight="false" outlineLevel="0" collapsed="false">
      <c r="A79" s="9" t="s">
        <v>163</v>
      </c>
      <c r="B79" s="9" t="s">
        <v>164</v>
      </c>
      <c r="C79" s="9" t="s">
        <v>165</v>
      </c>
      <c r="D79" s="9" t="s">
        <v>166</v>
      </c>
      <c r="E79" s="9" t="n">
        <v>1</v>
      </c>
      <c r="F79" s="9" t="n">
        <v>1</v>
      </c>
      <c r="G79" s="9" t="n">
        <v>2022</v>
      </c>
      <c r="H79" s="10" t="n">
        <v>1412175000</v>
      </c>
      <c r="I79" s="11" t="s">
        <v>98</v>
      </c>
      <c r="J79" s="11" t="s">
        <v>99</v>
      </c>
      <c r="K79" s="10"/>
      <c r="L79" s="12"/>
      <c r="M79" s="9"/>
      <c r="N79" s="11"/>
      <c r="O79" s="11"/>
      <c r="P79" s="11"/>
      <c r="Q79" s="10"/>
      <c r="R79" s="12"/>
      <c r="S79" s="9"/>
      <c r="T79" s="11"/>
      <c r="U79" s="11"/>
      <c r="V79" s="11"/>
      <c r="W79" s="10"/>
      <c r="X79" s="12"/>
      <c r="Y79" s="9"/>
      <c r="Z79" s="11"/>
      <c r="AA79" s="11"/>
      <c r="AB79" s="11"/>
      <c r="AC79" s="9"/>
      <c r="AD79" s="10"/>
      <c r="AE79" s="9"/>
      <c r="AF79" s="11"/>
      <c r="AG79" s="11"/>
      <c r="AH79" s="11"/>
      <c r="AI79" s="10"/>
      <c r="AJ79" s="9"/>
      <c r="AK79" s="11"/>
      <c r="AL79" s="11"/>
      <c r="AM79" s="11"/>
    </row>
    <row r="80" customFormat="false" ht="15" hidden="false" customHeight="false" outlineLevel="0" collapsed="false">
      <c r="A80" s="9" t="s">
        <v>178</v>
      </c>
      <c r="B80" s="9" t="s">
        <v>179</v>
      </c>
      <c r="C80" s="9" t="s">
        <v>180</v>
      </c>
      <c r="D80" s="9" t="s">
        <v>181</v>
      </c>
      <c r="E80" s="9" t="n">
        <v>1</v>
      </c>
      <c r="F80" s="9" t="n">
        <v>1</v>
      </c>
      <c r="G80" s="9" t="n">
        <v>2010</v>
      </c>
      <c r="H80" s="10" t="n">
        <v>4295427</v>
      </c>
      <c r="I80" s="11" t="s">
        <v>98</v>
      </c>
      <c r="J80" s="11" t="s">
        <v>99</v>
      </c>
      <c r="K80" s="10"/>
      <c r="L80" s="12"/>
      <c r="M80" s="9"/>
      <c r="N80" s="11"/>
      <c r="O80" s="11"/>
      <c r="P80" s="11"/>
      <c r="Q80" s="10"/>
      <c r="R80" s="12"/>
      <c r="S80" s="9"/>
      <c r="T80" s="11"/>
      <c r="U80" s="11"/>
      <c r="V80" s="11"/>
      <c r="W80" s="10"/>
      <c r="X80" s="12"/>
      <c r="Y80" s="9"/>
      <c r="Z80" s="11"/>
      <c r="AA80" s="11"/>
      <c r="AB80" s="11"/>
      <c r="AC80" s="9"/>
      <c r="AD80" s="10"/>
      <c r="AE80" s="9"/>
      <c r="AF80" s="11"/>
      <c r="AG80" s="11"/>
      <c r="AH80" s="11"/>
      <c r="AI80" s="10"/>
      <c r="AJ80" s="9"/>
      <c r="AK80" s="11"/>
      <c r="AL80" s="11"/>
      <c r="AM80" s="11"/>
    </row>
    <row r="81" customFormat="false" ht="15" hidden="false" customHeight="false" outlineLevel="0" collapsed="false">
      <c r="A81" s="9" t="s">
        <v>178</v>
      </c>
      <c r="B81" s="9" t="s">
        <v>179</v>
      </c>
      <c r="C81" s="9" t="s">
        <v>180</v>
      </c>
      <c r="D81" s="9" t="s">
        <v>181</v>
      </c>
      <c r="E81" s="9" t="n">
        <v>1</v>
      </c>
      <c r="F81" s="9" t="n">
        <v>1</v>
      </c>
      <c r="G81" s="9" t="n">
        <v>2011</v>
      </c>
      <c r="H81" s="10" t="n">
        <v>4280622</v>
      </c>
      <c r="I81" s="11" t="s">
        <v>98</v>
      </c>
      <c r="J81" s="11" t="s">
        <v>99</v>
      </c>
      <c r="K81" s="10" t="n">
        <v>584947</v>
      </c>
      <c r="L81" s="12" t="n">
        <f aca="false">IF(OR($H81="",K81=""),"",K81/$H81)</f>
        <v>0.13665000086436</v>
      </c>
      <c r="M81" s="9" t="s">
        <v>182</v>
      </c>
      <c r="N81" s="11" t="s">
        <v>183</v>
      </c>
      <c r="O81" s="11" t="s">
        <v>184</v>
      </c>
      <c r="P81" s="11" t="s">
        <v>185</v>
      </c>
      <c r="Q81" s="10" t="n">
        <v>23276</v>
      </c>
      <c r="R81" s="12" t="n">
        <f aca="false">IF(OR($H81="",Q81=""),"",Q81/$H81)</f>
        <v>0.005437527536886</v>
      </c>
      <c r="S81" s="9" t="s">
        <v>182</v>
      </c>
      <c r="T81" s="11" t="s">
        <v>183</v>
      </c>
      <c r="U81" s="11" t="s">
        <v>186</v>
      </c>
      <c r="V81" s="11" t="s">
        <v>187</v>
      </c>
      <c r="W81" s="10"/>
      <c r="X81" s="12"/>
      <c r="Y81" s="9"/>
      <c r="Z81" s="11"/>
      <c r="AA81" s="11"/>
      <c r="AB81" s="11"/>
      <c r="AC81" s="9"/>
      <c r="AD81" s="10"/>
      <c r="AE81" s="9"/>
      <c r="AF81" s="11"/>
      <c r="AG81" s="11"/>
      <c r="AH81" s="11"/>
      <c r="AI81" s="10"/>
      <c r="AJ81" s="9"/>
      <c r="AK81" s="11"/>
      <c r="AL81" s="11"/>
      <c r="AM81" s="11"/>
    </row>
    <row r="82" customFormat="false" ht="15" hidden="false" customHeight="false" outlineLevel="0" collapsed="false">
      <c r="A82" s="9" t="s">
        <v>178</v>
      </c>
      <c r="B82" s="9" t="s">
        <v>179</v>
      </c>
      <c r="C82" s="9" t="s">
        <v>180</v>
      </c>
      <c r="D82" s="9" t="s">
        <v>181</v>
      </c>
      <c r="E82" s="9" t="n">
        <v>1</v>
      </c>
      <c r="F82" s="9" t="n">
        <v>1</v>
      </c>
      <c r="G82" s="9" t="n">
        <v>2012</v>
      </c>
      <c r="H82" s="10" t="n">
        <v>4260368</v>
      </c>
      <c r="I82" s="11" t="s">
        <v>98</v>
      </c>
      <c r="J82" s="11" t="s">
        <v>99</v>
      </c>
      <c r="K82" s="10"/>
      <c r="L82" s="12"/>
      <c r="M82" s="9"/>
      <c r="N82" s="11"/>
      <c r="O82" s="11"/>
      <c r="P82" s="11"/>
      <c r="Q82" s="10"/>
      <c r="R82" s="12"/>
      <c r="S82" s="9"/>
      <c r="T82" s="11"/>
      <c r="U82" s="11"/>
      <c r="V82" s="11"/>
      <c r="W82" s="10"/>
      <c r="X82" s="12"/>
      <c r="Y82" s="9"/>
      <c r="Z82" s="11"/>
      <c r="AA82" s="11"/>
      <c r="AB82" s="11"/>
      <c r="AC82" s="9"/>
      <c r="AD82" s="10"/>
      <c r="AE82" s="9"/>
      <c r="AF82" s="11"/>
      <c r="AG82" s="11"/>
      <c r="AH82" s="11"/>
      <c r="AI82" s="10"/>
      <c r="AJ82" s="9"/>
      <c r="AK82" s="11"/>
      <c r="AL82" s="11"/>
      <c r="AM82" s="11"/>
    </row>
    <row r="83" customFormat="false" ht="15" hidden="false" customHeight="false" outlineLevel="0" collapsed="false">
      <c r="A83" s="9" t="s">
        <v>178</v>
      </c>
      <c r="B83" s="9" t="s">
        <v>179</v>
      </c>
      <c r="C83" s="9" t="s">
        <v>180</v>
      </c>
      <c r="D83" s="9" t="s">
        <v>181</v>
      </c>
      <c r="E83" s="9" t="n">
        <v>1</v>
      </c>
      <c r="F83" s="9" t="n">
        <v>1</v>
      </c>
      <c r="G83" s="9" t="n">
        <v>2013</v>
      </c>
      <c r="H83" s="10" t="n">
        <v>4233922</v>
      </c>
      <c r="I83" s="11" t="s">
        <v>98</v>
      </c>
      <c r="J83" s="11" t="s">
        <v>99</v>
      </c>
      <c r="K83" s="10" t="n">
        <v>569220</v>
      </c>
      <c r="L83" s="12" t="n">
        <f aca="false">IF(OR($H83="",K83=""),"",K83/$H83)</f>
        <v>0.134442722374196</v>
      </c>
      <c r="M83" s="9" t="s">
        <v>115</v>
      </c>
      <c r="N83" s="11" t="s">
        <v>116</v>
      </c>
      <c r="O83" s="11" t="s">
        <v>188</v>
      </c>
      <c r="P83" s="11" t="s">
        <v>189</v>
      </c>
      <c r="Q83" s="10" t="n">
        <v>24142</v>
      </c>
      <c r="R83" s="12" t="n">
        <f aca="false">IF(OR($H83="",Q83=""),"",Q83/$H83)</f>
        <v>0.00570204174758061</v>
      </c>
      <c r="S83" s="9" t="s">
        <v>115</v>
      </c>
      <c r="T83" s="11" t="s">
        <v>119</v>
      </c>
      <c r="U83" s="11" t="s">
        <v>190</v>
      </c>
      <c r="V83" s="11" t="s">
        <v>191</v>
      </c>
      <c r="W83" s="10"/>
      <c r="X83" s="12"/>
      <c r="Y83" s="9"/>
      <c r="Z83" s="11"/>
      <c r="AA83" s="11"/>
      <c r="AB83" s="11"/>
      <c r="AC83" s="9"/>
      <c r="AD83" s="10"/>
      <c r="AE83" s="9"/>
      <c r="AF83" s="11"/>
      <c r="AG83" s="11"/>
      <c r="AH83" s="11"/>
      <c r="AI83" s="10" t="n">
        <v>4150</v>
      </c>
      <c r="AJ83" s="9" t="s">
        <v>122</v>
      </c>
      <c r="AK83" s="11" t="s">
        <v>123</v>
      </c>
      <c r="AL83" s="11" t="s">
        <v>124</v>
      </c>
      <c r="AM83" s="11" t="s">
        <v>192</v>
      </c>
    </row>
    <row r="84" customFormat="false" ht="15" hidden="false" customHeight="false" outlineLevel="0" collapsed="false">
      <c r="A84" s="9" t="s">
        <v>178</v>
      </c>
      <c r="B84" s="9" t="s">
        <v>179</v>
      </c>
      <c r="C84" s="9" t="s">
        <v>180</v>
      </c>
      <c r="D84" s="9" t="s">
        <v>181</v>
      </c>
      <c r="E84" s="9" t="n">
        <v>1</v>
      </c>
      <c r="F84" s="9" t="n">
        <v>1</v>
      </c>
      <c r="G84" s="9" t="n">
        <v>2014</v>
      </c>
      <c r="H84" s="10" t="n">
        <v>4201598</v>
      </c>
      <c r="I84" s="11" t="s">
        <v>98</v>
      </c>
      <c r="J84" s="11" t="s">
        <v>99</v>
      </c>
      <c r="K84" s="10" t="n">
        <v>558092</v>
      </c>
      <c r="L84" s="12" t="n">
        <f aca="false">IF(OR($H84="",K84=""),"",K84/$H84)</f>
        <v>0.132828509533754</v>
      </c>
      <c r="M84" s="9" t="s">
        <v>115</v>
      </c>
      <c r="N84" s="11" t="s">
        <v>116</v>
      </c>
      <c r="O84" s="11" t="s">
        <v>188</v>
      </c>
      <c r="P84" s="11" t="s">
        <v>189</v>
      </c>
      <c r="Q84" s="10" t="n">
        <v>23801</v>
      </c>
      <c r="R84" s="12" t="n">
        <f aca="false">IF(OR($H84="",Q84=""),"",Q84/$H84)</f>
        <v>0.00566474945961037</v>
      </c>
      <c r="S84" s="9" t="s">
        <v>115</v>
      </c>
      <c r="T84" s="11" t="s">
        <v>119</v>
      </c>
      <c r="U84" s="11" t="s">
        <v>190</v>
      </c>
      <c r="V84" s="11" t="s">
        <v>191</v>
      </c>
      <c r="W84" s="10"/>
      <c r="X84" s="12"/>
      <c r="Y84" s="9"/>
      <c r="Z84" s="11"/>
      <c r="AA84" s="11"/>
      <c r="AB84" s="11"/>
      <c r="AC84" s="9"/>
      <c r="AD84" s="10"/>
      <c r="AE84" s="9"/>
      <c r="AF84" s="11"/>
      <c r="AG84" s="11"/>
      <c r="AH84" s="11"/>
      <c r="AI84" s="10" t="n">
        <v>2500</v>
      </c>
      <c r="AJ84" s="9" t="s">
        <v>122</v>
      </c>
      <c r="AK84" s="11" t="s">
        <v>123</v>
      </c>
      <c r="AL84" s="11" t="s">
        <v>124</v>
      </c>
      <c r="AM84" s="11" t="s">
        <v>192</v>
      </c>
    </row>
    <row r="85" customFormat="false" ht="15" hidden="false" customHeight="false" outlineLevel="0" collapsed="false">
      <c r="A85" s="9" t="s">
        <v>178</v>
      </c>
      <c r="B85" s="9" t="s">
        <v>179</v>
      </c>
      <c r="C85" s="9" t="s">
        <v>180</v>
      </c>
      <c r="D85" s="9" t="s">
        <v>181</v>
      </c>
      <c r="E85" s="9" t="n">
        <v>1</v>
      </c>
      <c r="F85" s="9" t="n">
        <v>1</v>
      </c>
      <c r="G85" s="9" t="n">
        <v>2015</v>
      </c>
      <c r="H85" s="10" t="n">
        <v>4151725</v>
      </c>
      <c r="I85" s="11" t="s">
        <v>98</v>
      </c>
      <c r="J85" s="11" t="s">
        <v>99</v>
      </c>
      <c r="K85" s="10" t="n">
        <v>545115</v>
      </c>
      <c r="L85" s="12" t="n">
        <f aca="false">IF(OR($H85="",K85=""),"",K85/$H85)</f>
        <v>0.131298436192185</v>
      </c>
      <c r="M85" s="9" t="s">
        <v>115</v>
      </c>
      <c r="N85" s="11" t="s">
        <v>116</v>
      </c>
      <c r="O85" s="11" t="s">
        <v>188</v>
      </c>
      <c r="P85" s="11" t="s">
        <v>189</v>
      </c>
      <c r="Q85" s="10" t="n">
        <v>24125</v>
      </c>
      <c r="R85" s="12" t="n">
        <f aca="false">IF(OR($H85="",Q85=""),"",Q85/$H85)</f>
        <v>0.00581083766386261</v>
      </c>
      <c r="S85" s="9" t="s">
        <v>115</v>
      </c>
      <c r="T85" s="11" t="s">
        <v>119</v>
      </c>
      <c r="U85" s="11" t="s">
        <v>190</v>
      </c>
      <c r="V85" s="11" t="s">
        <v>191</v>
      </c>
      <c r="W85" s="10"/>
      <c r="X85" s="12"/>
      <c r="Y85" s="9"/>
      <c r="Z85" s="11"/>
      <c r="AA85" s="11"/>
      <c r="AB85" s="11"/>
      <c r="AC85" s="9"/>
      <c r="AD85" s="10"/>
      <c r="AE85" s="9"/>
      <c r="AF85" s="11"/>
      <c r="AG85" s="11"/>
      <c r="AH85" s="11"/>
      <c r="AI85" s="10" t="n">
        <v>3295</v>
      </c>
      <c r="AJ85" s="9" t="s">
        <v>122</v>
      </c>
      <c r="AK85" s="11" t="s">
        <v>123</v>
      </c>
      <c r="AL85" s="11" t="s">
        <v>124</v>
      </c>
      <c r="AM85" s="11" t="s">
        <v>192</v>
      </c>
    </row>
    <row r="86" customFormat="false" ht="15" hidden="false" customHeight="false" outlineLevel="0" collapsed="false">
      <c r="A86" s="9" t="s">
        <v>178</v>
      </c>
      <c r="B86" s="9" t="s">
        <v>179</v>
      </c>
      <c r="C86" s="9" t="s">
        <v>180</v>
      </c>
      <c r="D86" s="9" t="s">
        <v>181</v>
      </c>
      <c r="E86" s="9" t="n">
        <v>1</v>
      </c>
      <c r="F86" s="9" t="n">
        <v>1</v>
      </c>
      <c r="G86" s="9" t="n">
        <v>2016</v>
      </c>
      <c r="H86" s="10" t="n">
        <v>4106867</v>
      </c>
      <c r="I86" s="11" t="s">
        <v>98</v>
      </c>
      <c r="J86" s="11" t="s">
        <v>99</v>
      </c>
      <c r="K86" s="10" t="n">
        <v>526279</v>
      </c>
      <c r="L86" s="12" t="n">
        <f aca="false">IF(OR($H86="",K86=""),"",K86/$H86)</f>
        <v>0.128146102613014</v>
      </c>
      <c r="M86" s="9" t="s">
        <v>115</v>
      </c>
      <c r="N86" s="11" t="s">
        <v>116</v>
      </c>
      <c r="O86" s="11" t="s">
        <v>188</v>
      </c>
      <c r="P86" s="11" t="s">
        <v>189</v>
      </c>
      <c r="Q86" s="10" t="n">
        <v>24231</v>
      </c>
      <c r="R86" s="12" t="n">
        <f aca="false">IF(OR($H86="",Q86=""),"",Q86/$H86)</f>
        <v>0.00590011802184001</v>
      </c>
      <c r="S86" s="9" t="s">
        <v>115</v>
      </c>
      <c r="T86" s="11" t="s">
        <v>119</v>
      </c>
      <c r="U86" s="11" t="s">
        <v>190</v>
      </c>
      <c r="V86" s="11" t="s">
        <v>191</v>
      </c>
      <c r="W86" s="10"/>
      <c r="X86" s="12"/>
      <c r="Y86" s="9"/>
      <c r="Z86" s="11"/>
      <c r="AA86" s="11"/>
      <c r="AB86" s="11"/>
      <c r="AC86" s="9"/>
      <c r="AD86" s="10"/>
      <c r="AE86" s="9"/>
      <c r="AF86" s="11"/>
      <c r="AG86" s="11"/>
      <c r="AH86" s="11"/>
      <c r="AI86" s="10" t="n">
        <v>3320</v>
      </c>
      <c r="AJ86" s="9" t="s">
        <v>122</v>
      </c>
      <c r="AK86" s="11" t="s">
        <v>123</v>
      </c>
      <c r="AL86" s="11" t="s">
        <v>124</v>
      </c>
      <c r="AM86" s="11" t="s">
        <v>192</v>
      </c>
    </row>
    <row r="87" customFormat="false" ht="15" hidden="false" customHeight="false" outlineLevel="0" collapsed="false">
      <c r="A87" s="9" t="s">
        <v>178</v>
      </c>
      <c r="B87" s="9" t="s">
        <v>179</v>
      </c>
      <c r="C87" s="9" t="s">
        <v>180</v>
      </c>
      <c r="D87" s="9" t="s">
        <v>181</v>
      </c>
      <c r="E87" s="9" t="n">
        <v>1</v>
      </c>
      <c r="F87" s="9" t="n">
        <v>1</v>
      </c>
      <c r="G87" s="9" t="n">
        <v>2017</v>
      </c>
      <c r="H87" s="10" t="n">
        <v>4041407</v>
      </c>
      <c r="I87" s="11" t="s">
        <v>98</v>
      </c>
      <c r="J87" s="11" t="s">
        <v>99</v>
      </c>
      <c r="K87" s="10" t="n">
        <v>512411</v>
      </c>
      <c r="L87" s="12" t="n">
        <f aca="false">IF(OR($H87="",K87=""),"",K87/$H87)</f>
        <v>0.126790249039505</v>
      </c>
      <c r="M87" s="9" t="s">
        <v>115</v>
      </c>
      <c r="N87" s="11" t="s">
        <v>116</v>
      </c>
      <c r="O87" s="11" t="s">
        <v>188</v>
      </c>
      <c r="P87" s="11" t="s">
        <v>189</v>
      </c>
      <c r="Q87" s="10" t="n">
        <v>24102</v>
      </c>
      <c r="R87" s="12" t="n">
        <f aca="false">IF(OR($H87="",Q87=""),"",Q87/$H87)</f>
        <v>0.00596376459980398</v>
      </c>
      <c r="S87" s="9" t="s">
        <v>115</v>
      </c>
      <c r="T87" s="11" t="s">
        <v>119</v>
      </c>
      <c r="U87" s="11" t="s">
        <v>190</v>
      </c>
      <c r="V87" s="11" t="s">
        <v>191</v>
      </c>
      <c r="W87" s="10"/>
      <c r="X87" s="12"/>
      <c r="Y87" s="9"/>
      <c r="Z87" s="11"/>
      <c r="AA87" s="11"/>
      <c r="AB87" s="11"/>
      <c r="AC87" s="9"/>
      <c r="AD87" s="10"/>
      <c r="AE87" s="9"/>
      <c r="AF87" s="11"/>
      <c r="AG87" s="11"/>
      <c r="AH87" s="11"/>
      <c r="AI87" s="10" t="n">
        <v>3495</v>
      </c>
      <c r="AJ87" s="9" t="s">
        <v>122</v>
      </c>
      <c r="AK87" s="11" t="s">
        <v>123</v>
      </c>
      <c r="AL87" s="11" t="s">
        <v>124</v>
      </c>
      <c r="AM87" s="11" t="s">
        <v>192</v>
      </c>
    </row>
    <row r="88" customFormat="false" ht="15" hidden="false" customHeight="false" outlineLevel="0" collapsed="false">
      <c r="A88" s="9" t="s">
        <v>178</v>
      </c>
      <c r="B88" s="9" t="s">
        <v>179</v>
      </c>
      <c r="C88" s="9" t="s">
        <v>180</v>
      </c>
      <c r="D88" s="9" t="s">
        <v>181</v>
      </c>
      <c r="E88" s="9" t="n">
        <v>1</v>
      </c>
      <c r="F88" s="9" t="n">
        <v>1</v>
      </c>
      <c r="G88" s="9" t="n">
        <v>2018</v>
      </c>
      <c r="H88" s="10" t="n">
        <v>3988775</v>
      </c>
      <c r="I88" s="11" t="s">
        <v>98</v>
      </c>
      <c r="J88" s="11" t="s">
        <v>99</v>
      </c>
      <c r="K88" s="10" t="n">
        <v>496265</v>
      </c>
      <c r="L88" s="12" t="n">
        <f aca="false">IF(OR($H88="",K88=""),"",K88/$H88)</f>
        <v>0.124415390690124</v>
      </c>
      <c r="M88" s="9" t="s">
        <v>115</v>
      </c>
      <c r="N88" s="11" t="s">
        <v>116</v>
      </c>
      <c r="O88" s="11" t="s">
        <v>188</v>
      </c>
      <c r="P88" s="11" t="s">
        <v>189</v>
      </c>
      <c r="Q88" s="10" t="n">
        <v>24024</v>
      </c>
      <c r="R88" s="12" t="n">
        <f aca="false">IF(OR($H88="",Q88=""),"",Q88/$H88)</f>
        <v>0.00602290176808669</v>
      </c>
      <c r="S88" s="9" t="s">
        <v>115</v>
      </c>
      <c r="T88" s="11" t="s">
        <v>119</v>
      </c>
      <c r="U88" s="11" t="s">
        <v>190</v>
      </c>
      <c r="V88" s="11" t="s">
        <v>191</v>
      </c>
      <c r="W88" s="10"/>
      <c r="X88" s="12"/>
      <c r="Y88" s="9"/>
      <c r="Z88" s="11"/>
      <c r="AA88" s="11"/>
      <c r="AB88" s="11"/>
      <c r="AC88" s="9"/>
      <c r="AD88" s="10"/>
      <c r="AE88" s="9"/>
      <c r="AF88" s="11"/>
      <c r="AG88" s="11"/>
      <c r="AH88" s="11"/>
      <c r="AI88" s="10" t="n">
        <v>5580</v>
      </c>
      <c r="AJ88" s="9" t="s">
        <v>122</v>
      </c>
      <c r="AK88" s="11" t="s">
        <v>123</v>
      </c>
      <c r="AL88" s="11" t="s">
        <v>124</v>
      </c>
      <c r="AM88" s="11" t="s">
        <v>192</v>
      </c>
    </row>
    <row r="89" customFormat="false" ht="15" hidden="false" customHeight="false" outlineLevel="0" collapsed="false">
      <c r="A89" s="9" t="s">
        <v>178</v>
      </c>
      <c r="B89" s="9" t="s">
        <v>179</v>
      </c>
      <c r="C89" s="9" t="s">
        <v>180</v>
      </c>
      <c r="D89" s="9" t="s">
        <v>181</v>
      </c>
      <c r="E89" s="9" t="n">
        <v>1</v>
      </c>
      <c r="F89" s="9" t="n">
        <v>1</v>
      </c>
      <c r="G89" s="9" t="n">
        <v>2019</v>
      </c>
      <c r="H89" s="10" t="n">
        <v>3949390</v>
      </c>
      <c r="I89" s="11" t="s">
        <v>98</v>
      </c>
      <c r="J89" s="11" t="s">
        <v>99</v>
      </c>
      <c r="K89" s="10" t="n">
        <v>488393</v>
      </c>
      <c r="L89" s="12" t="n">
        <f aca="false">IF(OR($H89="",K89=""),"",K89/$H89)</f>
        <v>0.123662894776155</v>
      </c>
      <c r="M89" s="9" t="s">
        <v>115</v>
      </c>
      <c r="N89" s="11" t="s">
        <v>116</v>
      </c>
      <c r="O89" s="11" t="s">
        <v>188</v>
      </c>
      <c r="P89" s="11" t="s">
        <v>189</v>
      </c>
      <c r="Q89" s="10" t="n">
        <v>23878</v>
      </c>
      <c r="R89" s="12" t="n">
        <f aca="false">IF(OR($H89="",Q89=""),"",Q89/$H89)</f>
        <v>0.00604599697674831</v>
      </c>
      <c r="S89" s="9" t="s">
        <v>115</v>
      </c>
      <c r="T89" s="11" t="s">
        <v>119</v>
      </c>
      <c r="U89" s="11" t="s">
        <v>190</v>
      </c>
      <c r="V89" s="11" t="s">
        <v>191</v>
      </c>
      <c r="W89" s="10"/>
      <c r="X89" s="12"/>
      <c r="Y89" s="9"/>
      <c r="Z89" s="11"/>
      <c r="AA89" s="11"/>
      <c r="AB89" s="11"/>
      <c r="AC89" s="9"/>
      <c r="AD89" s="10"/>
      <c r="AE89" s="9"/>
      <c r="AF89" s="11"/>
      <c r="AG89" s="11"/>
      <c r="AH89" s="11"/>
      <c r="AI89" s="10" t="n">
        <v>13630</v>
      </c>
      <c r="AJ89" s="9" t="s">
        <v>122</v>
      </c>
      <c r="AK89" s="11" t="s">
        <v>123</v>
      </c>
      <c r="AL89" s="11" t="s">
        <v>124</v>
      </c>
      <c r="AM89" s="11" t="s">
        <v>192</v>
      </c>
    </row>
    <row r="90" customFormat="false" ht="15" hidden="false" customHeight="false" outlineLevel="0" collapsed="false">
      <c r="A90" s="9" t="s">
        <v>178</v>
      </c>
      <c r="B90" s="9" t="s">
        <v>179</v>
      </c>
      <c r="C90" s="9" t="s">
        <v>180</v>
      </c>
      <c r="D90" s="9" t="s">
        <v>181</v>
      </c>
      <c r="E90" s="9" t="n">
        <v>1</v>
      </c>
      <c r="F90" s="9" t="n">
        <v>1</v>
      </c>
      <c r="G90" s="9" t="n">
        <v>2020</v>
      </c>
      <c r="H90" s="10" t="n">
        <v>3914206</v>
      </c>
      <c r="I90" s="11" t="s">
        <v>98</v>
      </c>
      <c r="J90" s="11" t="s">
        <v>99</v>
      </c>
      <c r="K90" s="10" t="n">
        <v>486390</v>
      </c>
      <c r="L90" s="12" t="n">
        <f aca="false">IF(OR($H90="",K90=""),"",K90/$H90)</f>
        <v>0.124262749584462</v>
      </c>
      <c r="M90" s="9" t="s">
        <v>115</v>
      </c>
      <c r="N90" s="11" t="s">
        <v>116</v>
      </c>
      <c r="O90" s="11" t="s">
        <v>188</v>
      </c>
      <c r="P90" s="11" t="s">
        <v>189</v>
      </c>
      <c r="Q90" s="10" t="n">
        <v>24631</v>
      </c>
      <c r="R90" s="12" t="n">
        <f aca="false">IF(OR($H90="",Q90=""),"",Q90/$H90)</f>
        <v>0.00629271939187667</v>
      </c>
      <c r="S90" s="9" t="s">
        <v>115</v>
      </c>
      <c r="T90" s="11" t="s">
        <v>119</v>
      </c>
      <c r="U90" s="11" t="s">
        <v>190</v>
      </c>
      <c r="V90" s="11" t="s">
        <v>191</v>
      </c>
      <c r="W90" s="10"/>
      <c r="X90" s="12"/>
      <c r="Y90" s="9"/>
      <c r="Z90" s="11"/>
      <c r="AA90" s="11"/>
      <c r="AB90" s="11"/>
      <c r="AC90" s="9"/>
      <c r="AD90" s="10"/>
      <c r="AE90" s="9"/>
      <c r="AF90" s="11"/>
      <c r="AG90" s="11"/>
      <c r="AH90" s="11"/>
      <c r="AI90" s="10" t="n">
        <v>22240</v>
      </c>
      <c r="AJ90" s="9" t="s">
        <v>122</v>
      </c>
      <c r="AK90" s="11" t="s">
        <v>123</v>
      </c>
      <c r="AL90" s="11" t="s">
        <v>124</v>
      </c>
      <c r="AM90" s="11" t="s">
        <v>192</v>
      </c>
    </row>
    <row r="91" customFormat="false" ht="15" hidden="false" customHeight="false" outlineLevel="0" collapsed="false">
      <c r="A91" s="9" t="s">
        <v>178</v>
      </c>
      <c r="B91" s="9" t="s">
        <v>179</v>
      </c>
      <c r="C91" s="9" t="s">
        <v>180</v>
      </c>
      <c r="D91" s="9" t="s">
        <v>181</v>
      </c>
      <c r="E91" s="9" t="n">
        <v>1</v>
      </c>
      <c r="F91" s="9" t="n">
        <v>1</v>
      </c>
      <c r="G91" s="9" t="n">
        <v>2021</v>
      </c>
      <c r="H91" s="10" t="n">
        <v>3878981</v>
      </c>
      <c r="I91" s="11" t="s">
        <v>98</v>
      </c>
      <c r="J91" s="11" t="s">
        <v>99</v>
      </c>
      <c r="K91" s="10" t="n">
        <v>478056</v>
      </c>
      <c r="L91" s="12" t="n">
        <f aca="false">IF(OR($H91="",K91=""),"",K91/$H91)</f>
        <v>0.123242676362684</v>
      </c>
      <c r="M91" s="9" t="s">
        <v>115</v>
      </c>
      <c r="N91" s="11" t="s">
        <v>116</v>
      </c>
      <c r="O91" s="11" t="s">
        <v>188</v>
      </c>
      <c r="P91" s="11" t="s">
        <v>189</v>
      </c>
      <c r="Q91" s="10" t="n">
        <v>26259</v>
      </c>
      <c r="R91" s="12" t="n">
        <f aca="false">IF(OR($H91="",Q91=""),"",Q91/$H91)</f>
        <v>0.00676956138738499</v>
      </c>
      <c r="S91" s="9" t="s">
        <v>115</v>
      </c>
      <c r="T91" s="11" t="s">
        <v>119</v>
      </c>
      <c r="U91" s="11" t="s">
        <v>190</v>
      </c>
      <c r="V91" s="11" t="s">
        <v>191</v>
      </c>
      <c r="W91" s="10"/>
      <c r="X91" s="12"/>
      <c r="Y91" s="9"/>
      <c r="Z91" s="11"/>
      <c r="AA91" s="11"/>
      <c r="AB91" s="11"/>
      <c r="AC91" s="9"/>
      <c r="AD91" s="10"/>
      <c r="AE91" s="9"/>
      <c r="AF91" s="11"/>
      <c r="AG91" s="11"/>
      <c r="AH91" s="11"/>
      <c r="AI91" s="10" t="n">
        <v>13540</v>
      </c>
      <c r="AJ91" s="9" t="s">
        <v>122</v>
      </c>
      <c r="AK91" s="11" t="s">
        <v>123</v>
      </c>
      <c r="AL91" s="11" t="s">
        <v>124</v>
      </c>
      <c r="AM91" s="11" t="s">
        <v>192</v>
      </c>
    </row>
    <row r="92" customFormat="false" ht="15" hidden="false" customHeight="false" outlineLevel="0" collapsed="false">
      <c r="A92" s="9" t="s">
        <v>178</v>
      </c>
      <c r="B92" s="9" t="s">
        <v>179</v>
      </c>
      <c r="C92" s="9" t="s">
        <v>180</v>
      </c>
      <c r="D92" s="9" t="s">
        <v>181</v>
      </c>
      <c r="E92" s="9" t="n">
        <v>1</v>
      </c>
      <c r="F92" s="9" t="n">
        <v>1</v>
      </c>
      <c r="G92" s="9" t="n">
        <v>2022</v>
      </c>
      <c r="H92" s="10" t="n">
        <v>3855641</v>
      </c>
      <c r="I92" s="11" t="s">
        <v>98</v>
      </c>
      <c r="J92" s="11" t="s">
        <v>99</v>
      </c>
      <c r="K92" s="10" t="n">
        <v>472308</v>
      </c>
      <c r="L92" s="12" t="n">
        <f aca="false">IF(OR($H92="",K92=""),"",K92/$H92)</f>
        <v>0.122497919282423</v>
      </c>
      <c r="M92" s="9" t="s">
        <v>115</v>
      </c>
      <c r="N92" s="11" t="s">
        <v>116</v>
      </c>
      <c r="O92" s="11" t="s">
        <v>188</v>
      </c>
      <c r="P92" s="11" t="s">
        <v>189</v>
      </c>
      <c r="Q92" s="10" t="n">
        <v>35919</v>
      </c>
      <c r="R92" s="12" t="n">
        <f aca="false">IF(OR($H92="",Q92=""),"",Q92/$H92)</f>
        <v>0.00931596069239849</v>
      </c>
      <c r="S92" s="9" t="s">
        <v>115</v>
      </c>
      <c r="T92" s="11" t="s">
        <v>119</v>
      </c>
      <c r="U92" s="11" t="s">
        <v>190</v>
      </c>
      <c r="V92" s="11" t="s">
        <v>193</v>
      </c>
      <c r="W92" s="10"/>
      <c r="X92" s="12"/>
      <c r="Y92" s="9"/>
      <c r="Z92" s="11"/>
      <c r="AA92" s="11"/>
      <c r="AB92" s="11"/>
      <c r="AC92" s="9"/>
      <c r="AD92" s="10"/>
      <c r="AE92" s="9"/>
      <c r="AF92" s="11"/>
      <c r="AG92" s="11"/>
      <c r="AH92" s="11"/>
      <c r="AI92" s="10" t="n">
        <v>43830</v>
      </c>
      <c r="AJ92" s="9" t="s">
        <v>122</v>
      </c>
      <c r="AK92" s="11" t="s">
        <v>123</v>
      </c>
      <c r="AL92" s="11" t="s">
        <v>124</v>
      </c>
      <c r="AM92" s="11" t="s">
        <v>192</v>
      </c>
    </row>
    <row r="93" customFormat="false" ht="15" hidden="false" customHeight="false" outlineLevel="0" collapsed="false">
      <c r="A93" s="9" t="s">
        <v>194</v>
      </c>
      <c r="B93" s="9" t="s">
        <v>195</v>
      </c>
      <c r="C93" s="9" t="s">
        <v>196</v>
      </c>
      <c r="D93" s="9" t="s">
        <v>197</v>
      </c>
      <c r="E93" s="9" t="n">
        <v>1</v>
      </c>
      <c r="F93" s="9" t="n">
        <v>1</v>
      </c>
      <c r="G93" s="9" t="n">
        <v>2010</v>
      </c>
      <c r="H93" s="10" t="n">
        <v>10474410</v>
      </c>
      <c r="I93" s="11" t="s">
        <v>98</v>
      </c>
      <c r="J93" s="11" t="s">
        <v>99</v>
      </c>
      <c r="K93" s="10" t="n">
        <v>398493</v>
      </c>
      <c r="L93" s="12" t="n">
        <f aca="false">IF(OR($H93="",K93=""),"",K93/$H93)</f>
        <v>0.0380444340063068</v>
      </c>
      <c r="M93" s="9" t="s">
        <v>115</v>
      </c>
      <c r="N93" s="11" t="s">
        <v>116</v>
      </c>
      <c r="O93" s="11" t="s">
        <v>198</v>
      </c>
      <c r="P93" s="11" t="s">
        <v>118</v>
      </c>
      <c r="Q93" s="10" t="n">
        <v>424419</v>
      </c>
      <c r="R93" s="12" t="n">
        <f aca="false">IF(OR($H93="",Q93=""),"",Q93/$H93)</f>
        <v>0.0405196092190395</v>
      </c>
      <c r="S93" s="9" t="s">
        <v>115</v>
      </c>
      <c r="T93" s="11" t="s">
        <v>119</v>
      </c>
      <c r="U93" s="11" t="s">
        <v>199</v>
      </c>
      <c r="V93" s="11" t="s">
        <v>121</v>
      </c>
      <c r="W93" s="10"/>
      <c r="X93" s="12"/>
      <c r="Y93" s="9"/>
      <c r="Z93" s="11"/>
      <c r="AA93" s="11"/>
      <c r="AB93" s="11"/>
      <c r="AC93" s="9"/>
      <c r="AD93" s="10"/>
      <c r="AE93" s="9"/>
      <c r="AF93" s="11"/>
      <c r="AG93" s="11"/>
      <c r="AH93" s="11"/>
      <c r="AI93" s="10" t="n">
        <v>2655</v>
      </c>
      <c r="AJ93" s="9" t="s">
        <v>122</v>
      </c>
      <c r="AK93" s="11" t="s">
        <v>123</v>
      </c>
      <c r="AL93" s="11" t="s">
        <v>124</v>
      </c>
      <c r="AM93" s="11" t="s">
        <v>125</v>
      </c>
    </row>
    <row r="94" customFormat="false" ht="15" hidden="false" customHeight="false" outlineLevel="0" collapsed="false">
      <c r="A94" s="9" t="s">
        <v>194</v>
      </c>
      <c r="B94" s="9" t="s">
        <v>195</v>
      </c>
      <c r="C94" s="9" t="s">
        <v>196</v>
      </c>
      <c r="D94" s="9" t="s">
        <v>197</v>
      </c>
      <c r="E94" s="9" t="n">
        <v>1</v>
      </c>
      <c r="F94" s="9" t="n">
        <v>1</v>
      </c>
      <c r="G94" s="9" t="n">
        <v>2011</v>
      </c>
      <c r="H94" s="10" t="n">
        <v>10496088</v>
      </c>
      <c r="I94" s="11" t="s">
        <v>98</v>
      </c>
      <c r="J94" s="11" t="s">
        <v>99</v>
      </c>
      <c r="K94" s="10" t="n">
        <v>387971</v>
      </c>
      <c r="L94" s="12" t="n">
        <f aca="false">IF(OR($H94="",K94=""),"",K94/$H94)</f>
        <v>0.0369633905508414</v>
      </c>
      <c r="M94" s="9" t="s">
        <v>115</v>
      </c>
      <c r="N94" s="11" t="s">
        <v>116</v>
      </c>
      <c r="O94" s="11" t="s">
        <v>198</v>
      </c>
      <c r="P94" s="11" t="s">
        <v>118</v>
      </c>
      <c r="Q94" s="10" t="n">
        <v>416737</v>
      </c>
      <c r="R94" s="12" t="n">
        <f aca="false">IF(OR($H94="",Q94=""),"",Q94/$H94)</f>
        <v>0.0397040306826696</v>
      </c>
      <c r="S94" s="9" t="s">
        <v>115</v>
      </c>
      <c r="T94" s="11" t="s">
        <v>119</v>
      </c>
      <c r="U94" s="11" t="s">
        <v>199</v>
      </c>
      <c r="V94" s="11" t="s">
        <v>121</v>
      </c>
      <c r="W94" s="10"/>
      <c r="X94" s="12"/>
      <c r="Y94" s="9"/>
      <c r="Z94" s="11"/>
      <c r="AA94" s="11"/>
      <c r="AB94" s="11"/>
      <c r="AC94" s="9"/>
      <c r="AD94" s="10"/>
      <c r="AE94" s="9"/>
      <c r="AF94" s="11"/>
      <c r="AG94" s="11"/>
      <c r="AH94" s="11"/>
      <c r="AI94" s="10" t="n">
        <v>3085</v>
      </c>
      <c r="AJ94" s="9" t="s">
        <v>122</v>
      </c>
      <c r="AK94" s="11" t="s">
        <v>123</v>
      </c>
      <c r="AL94" s="11" t="s">
        <v>124</v>
      </c>
      <c r="AM94" s="11" t="s">
        <v>125</v>
      </c>
    </row>
    <row r="95" customFormat="false" ht="15" hidden="false" customHeight="false" outlineLevel="0" collapsed="false">
      <c r="A95" s="9" t="s">
        <v>194</v>
      </c>
      <c r="B95" s="9" t="s">
        <v>195</v>
      </c>
      <c r="C95" s="9" t="s">
        <v>196</v>
      </c>
      <c r="D95" s="9" t="s">
        <v>197</v>
      </c>
      <c r="E95" s="9" t="n">
        <v>1</v>
      </c>
      <c r="F95" s="9" t="n">
        <v>1</v>
      </c>
      <c r="G95" s="9" t="n">
        <v>2012</v>
      </c>
      <c r="H95" s="10" t="n">
        <v>10510785</v>
      </c>
      <c r="I95" s="11" t="s">
        <v>98</v>
      </c>
      <c r="J95" s="11" t="s">
        <v>99</v>
      </c>
      <c r="K95" s="10" t="n">
        <v>390843</v>
      </c>
      <c r="L95" s="12" t="n">
        <f aca="false">IF(OR($H95="",K95=""),"",K95/$H95)</f>
        <v>0.0371849486027923</v>
      </c>
      <c r="M95" s="9" t="s">
        <v>115</v>
      </c>
      <c r="N95" s="11" t="s">
        <v>116</v>
      </c>
      <c r="O95" s="11" t="s">
        <v>198</v>
      </c>
      <c r="P95" s="11" t="s">
        <v>118</v>
      </c>
      <c r="Q95" s="10" t="n">
        <v>422966</v>
      </c>
      <c r="R95" s="12" t="n">
        <f aca="false">IF(OR($H95="",Q95=""),"",Q95/$H95)</f>
        <v>0.0402411427880981</v>
      </c>
      <c r="S95" s="9" t="s">
        <v>115</v>
      </c>
      <c r="T95" s="11" t="s">
        <v>119</v>
      </c>
      <c r="U95" s="11" t="s">
        <v>199</v>
      </c>
      <c r="V95" s="11" t="s">
        <v>121</v>
      </c>
      <c r="W95" s="10"/>
      <c r="X95" s="12"/>
      <c r="Y95" s="9"/>
      <c r="Z95" s="11"/>
      <c r="AA95" s="11"/>
      <c r="AB95" s="11"/>
      <c r="AC95" s="9"/>
      <c r="AD95" s="10"/>
      <c r="AE95" s="9"/>
      <c r="AF95" s="11"/>
      <c r="AG95" s="11"/>
      <c r="AH95" s="11"/>
      <c r="AI95" s="10" t="n">
        <v>3315</v>
      </c>
      <c r="AJ95" s="9" t="s">
        <v>122</v>
      </c>
      <c r="AK95" s="11" t="s">
        <v>123</v>
      </c>
      <c r="AL95" s="11" t="s">
        <v>124</v>
      </c>
      <c r="AM95" s="11" t="s">
        <v>125</v>
      </c>
    </row>
    <row r="96" customFormat="false" ht="15" hidden="false" customHeight="false" outlineLevel="0" collapsed="false">
      <c r="A96" s="9" t="s">
        <v>194</v>
      </c>
      <c r="B96" s="9" t="s">
        <v>195</v>
      </c>
      <c r="C96" s="9" t="s">
        <v>196</v>
      </c>
      <c r="D96" s="9" t="s">
        <v>197</v>
      </c>
      <c r="E96" s="9" t="n">
        <v>1</v>
      </c>
      <c r="F96" s="9" t="n">
        <v>1</v>
      </c>
      <c r="G96" s="9" t="n">
        <v>2013</v>
      </c>
      <c r="H96" s="10" t="n">
        <v>10514272</v>
      </c>
      <c r="I96" s="11" t="s">
        <v>98</v>
      </c>
      <c r="J96" s="11" t="s">
        <v>99</v>
      </c>
      <c r="K96" s="10" t="n">
        <v>387337</v>
      </c>
      <c r="L96" s="12" t="n">
        <f aca="false">IF(OR($H96="",K96=""),"",K96/$H96)</f>
        <v>0.0368391648989107</v>
      </c>
      <c r="M96" s="9" t="s">
        <v>115</v>
      </c>
      <c r="N96" s="11" t="s">
        <v>116</v>
      </c>
      <c r="O96" s="11" t="s">
        <v>198</v>
      </c>
      <c r="P96" s="11" t="s">
        <v>118</v>
      </c>
      <c r="Q96" s="10" t="n">
        <v>422280</v>
      </c>
      <c r="R96" s="12" t="n">
        <f aca="false">IF(OR($H96="",Q96=""),"",Q96/$H96)</f>
        <v>0.0401625523859379</v>
      </c>
      <c r="S96" s="9" t="s">
        <v>115</v>
      </c>
      <c r="T96" s="11" t="s">
        <v>119</v>
      </c>
      <c r="U96" s="11" t="s">
        <v>199</v>
      </c>
      <c r="V96" s="11" t="s">
        <v>121</v>
      </c>
      <c r="W96" s="10"/>
      <c r="X96" s="12"/>
      <c r="Y96" s="9"/>
      <c r="Z96" s="11"/>
      <c r="AA96" s="11"/>
      <c r="AB96" s="11"/>
      <c r="AC96" s="9"/>
      <c r="AD96" s="10"/>
      <c r="AE96" s="9"/>
      <c r="AF96" s="11"/>
      <c r="AG96" s="11"/>
      <c r="AH96" s="11"/>
      <c r="AI96" s="10" t="n">
        <v>3695</v>
      </c>
      <c r="AJ96" s="9" t="s">
        <v>122</v>
      </c>
      <c r="AK96" s="11" t="s">
        <v>123</v>
      </c>
      <c r="AL96" s="11" t="s">
        <v>124</v>
      </c>
      <c r="AM96" s="11" t="s">
        <v>125</v>
      </c>
    </row>
    <row r="97" customFormat="false" ht="15" hidden="false" customHeight="false" outlineLevel="0" collapsed="false">
      <c r="A97" s="9" t="s">
        <v>194</v>
      </c>
      <c r="B97" s="9" t="s">
        <v>195</v>
      </c>
      <c r="C97" s="9" t="s">
        <v>196</v>
      </c>
      <c r="D97" s="9" t="s">
        <v>197</v>
      </c>
      <c r="E97" s="9" t="n">
        <v>1</v>
      </c>
      <c r="F97" s="9" t="n">
        <v>1</v>
      </c>
      <c r="G97" s="9" t="n">
        <v>2014</v>
      </c>
      <c r="H97" s="10" t="n">
        <v>10525347</v>
      </c>
      <c r="I97" s="11" t="s">
        <v>98</v>
      </c>
      <c r="J97" s="11" t="s">
        <v>99</v>
      </c>
      <c r="K97" s="10" t="n">
        <v>396156</v>
      </c>
      <c r="L97" s="12" t="n">
        <f aca="false">IF(OR($H97="",K97=""),"",K97/$H97)</f>
        <v>0.0376382840394716</v>
      </c>
      <c r="M97" s="9" t="s">
        <v>115</v>
      </c>
      <c r="N97" s="11" t="s">
        <v>116</v>
      </c>
      <c r="O97" s="11" t="s">
        <v>198</v>
      </c>
      <c r="P97" s="11" t="s">
        <v>118</v>
      </c>
      <c r="Q97" s="10" t="n">
        <v>434581</v>
      </c>
      <c r="R97" s="12" t="n">
        <f aca="false">IF(OR($H97="",Q97=""),"",Q97/$H97)</f>
        <v>0.0412889950326578</v>
      </c>
      <c r="S97" s="9" t="s">
        <v>115</v>
      </c>
      <c r="T97" s="11" t="s">
        <v>119</v>
      </c>
      <c r="U97" s="11" t="s">
        <v>199</v>
      </c>
      <c r="V97" s="11" t="s">
        <v>121</v>
      </c>
      <c r="W97" s="10"/>
      <c r="X97" s="12"/>
      <c r="Y97" s="9"/>
      <c r="Z97" s="11"/>
      <c r="AA97" s="11"/>
      <c r="AB97" s="11"/>
      <c r="AC97" s="9"/>
      <c r="AD97" s="10"/>
      <c r="AE97" s="9"/>
      <c r="AF97" s="11"/>
      <c r="AG97" s="11"/>
      <c r="AH97" s="11"/>
      <c r="AI97" s="10" t="n">
        <v>4430</v>
      </c>
      <c r="AJ97" s="9" t="s">
        <v>122</v>
      </c>
      <c r="AK97" s="11" t="s">
        <v>123</v>
      </c>
      <c r="AL97" s="11" t="s">
        <v>124</v>
      </c>
      <c r="AM97" s="11" t="s">
        <v>125</v>
      </c>
    </row>
    <row r="98" customFormat="false" ht="15" hidden="false" customHeight="false" outlineLevel="0" collapsed="false">
      <c r="A98" s="9" t="s">
        <v>194</v>
      </c>
      <c r="B98" s="9" t="s">
        <v>195</v>
      </c>
      <c r="C98" s="9" t="s">
        <v>196</v>
      </c>
      <c r="D98" s="9" t="s">
        <v>197</v>
      </c>
      <c r="E98" s="9" t="n">
        <v>1</v>
      </c>
      <c r="F98" s="9" t="n">
        <v>1</v>
      </c>
      <c r="G98" s="9" t="n">
        <v>2015</v>
      </c>
      <c r="H98" s="10" t="n">
        <v>10546059</v>
      </c>
      <c r="I98" s="11" t="s">
        <v>98</v>
      </c>
      <c r="J98" s="11" t="s">
        <v>99</v>
      </c>
      <c r="K98" s="10" t="n">
        <v>416454</v>
      </c>
      <c r="L98" s="12" t="n">
        <f aca="false">IF(OR($H98="",K98=""),"",K98/$H98)</f>
        <v>0.0394890641139026</v>
      </c>
      <c r="M98" s="9" t="s">
        <v>115</v>
      </c>
      <c r="N98" s="11" t="s">
        <v>116</v>
      </c>
      <c r="O98" s="11" t="s">
        <v>198</v>
      </c>
      <c r="P98" s="11" t="s">
        <v>118</v>
      </c>
      <c r="Q98" s="10" t="n">
        <v>457323</v>
      </c>
      <c r="R98" s="12" t="n">
        <f aca="false">IF(OR($H98="",Q98=""),"",Q98/$H98)</f>
        <v>0.0433643506071794</v>
      </c>
      <c r="S98" s="9" t="s">
        <v>115</v>
      </c>
      <c r="T98" s="11" t="s">
        <v>119</v>
      </c>
      <c r="U98" s="11" t="s">
        <v>199</v>
      </c>
      <c r="V98" s="11" t="s">
        <v>121</v>
      </c>
      <c r="W98" s="10"/>
      <c r="X98" s="12"/>
      <c r="Y98" s="9"/>
      <c r="Z98" s="11"/>
      <c r="AA98" s="11"/>
      <c r="AB98" s="11"/>
      <c r="AC98" s="9"/>
      <c r="AD98" s="10"/>
      <c r="AE98" s="9"/>
      <c r="AF98" s="11"/>
      <c r="AG98" s="11"/>
      <c r="AH98" s="11"/>
      <c r="AI98" s="10" t="n">
        <v>8165</v>
      </c>
      <c r="AJ98" s="9" t="s">
        <v>122</v>
      </c>
      <c r="AK98" s="11" t="s">
        <v>123</v>
      </c>
      <c r="AL98" s="11" t="s">
        <v>124</v>
      </c>
      <c r="AM98" s="11" t="s">
        <v>125</v>
      </c>
    </row>
    <row r="99" customFormat="false" ht="15" hidden="false" customHeight="false" outlineLevel="0" collapsed="false">
      <c r="A99" s="9" t="s">
        <v>194</v>
      </c>
      <c r="B99" s="9" t="s">
        <v>195</v>
      </c>
      <c r="C99" s="9" t="s">
        <v>196</v>
      </c>
      <c r="D99" s="9" t="s">
        <v>197</v>
      </c>
      <c r="E99" s="9" t="n">
        <v>1</v>
      </c>
      <c r="F99" s="9" t="n">
        <v>1</v>
      </c>
      <c r="G99" s="9" t="n">
        <v>2016</v>
      </c>
      <c r="H99" s="10" t="n">
        <v>10566332</v>
      </c>
      <c r="I99" s="11" t="s">
        <v>98</v>
      </c>
      <c r="J99" s="11" t="s">
        <v>99</v>
      </c>
      <c r="K99" s="10" t="n">
        <v>433290</v>
      </c>
      <c r="L99" s="12" t="n">
        <f aca="false">IF(OR($H99="",K99=""),"",K99/$H99)</f>
        <v>0.0410066615359048</v>
      </c>
      <c r="M99" s="9" t="s">
        <v>115</v>
      </c>
      <c r="N99" s="11" t="s">
        <v>116</v>
      </c>
      <c r="O99" s="11" t="s">
        <v>198</v>
      </c>
      <c r="P99" s="11" t="s">
        <v>118</v>
      </c>
      <c r="Q99" s="10" t="n">
        <v>476345</v>
      </c>
      <c r="R99" s="12" t="n">
        <f aca="false">IF(OR($H99="",Q99=""),"",Q99/$H99)</f>
        <v>0.0450813962688282</v>
      </c>
      <c r="S99" s="9" t="s">
        <v>115</v>
      </c>
      <c r="T99" s="11" t="s">
        <v>119</v>
      </c>
      <c r="U99" s="11" t="s">
        <v>199</v>
      </c>
      <c r="V99" s="11" t="s">
        <v>121</v>
      </c>
      <c r="W99" s="10"/>
      <c r="X99" s="12"/>
      <c r="Y99" s="9"/>
      <c r="Z99" s="11"/>
      <c r="AA99" s="11"/>
      <c r="AB99" s="11"/>
      <c r="AC99" s="9"/>
      <c r="AD99" s="10"/>
      <c r="AE99" s="9"/>
      <c r="AF99" s="11"/>
      <c r="AG99" s="11"/>
      <c r="AH99" s="11"/>
      <c r="AI99" s="10" t="n">
        <v>4885</v>
      </c>
      <c r="AJ99" s="9" t="s">
        <v>122</v>
      </c>
      <c r="AK99" s="11" t="s">
        <v>123</v>
      </c>
      <c r="AL99" s="11" t="s">
        <v>124</v>
      </c>
      <c r="AM99" s="11" t="s">
        <v>125</v>
      </c>
    </row>
    <row r="100" customFormat="false" ht="15" hidden="false" customHeight="false" outlineLevel="0" collapsed="false">
      <c r="A100" s="9" t="s">
        <v>194</v>
      </c>
      <c r="B100" s="9" t="s">
        <v>195</v>
      </c>
      <c r="C100" s="9" t="s">
        <v>196</v>
      </c>
      <c r="D100" s="9" t="s">
        <v>197</v>
      </c>
      <c r="E100" s="9" t="n">
        <v>1</v>
      </c>
      <c r="F100" s="9" t="n">
        <v>1</v>
      </c>
      <c r="G100" s="9" t="n">
        <v>2017</v>
      </c>
      <c r="H100" s="10" t="n">
        <v>10594438</v>
      </c>
      <c r="I100" s="11" t="s">
        <v>98</v>
      </c>
      <c r="J100" s="11" t="s">
        <v>99</v>
      </c>
      <c r="K100" s="10" t="n">
        <v>465056</v>
      </c>
      <c r="L100" s="12" t="n">
        <f aca="false">IF(OR($H100="",K100=""),"",K100/$H100)</f>
        <v>0.0438962406500468</v>
      </c>
      <c r="M100" s="9" t="s">
        <v>115</v>
      </c>
      <c r="N100" s="11" t="s">
        <v>116</v>
      </c>
      <c r="O100" s="11" t="s">
        <v>198</v>
      </c>
      <c r="P100" s="11" t="s">
        <v>118</v>
      </c>
      <c r="Q100" s="10" t="n">
        <v>510841</v>
      </c>
      <c r="R100" s="12" t="n">
        <f aca="false">IF(OR($H100="",Q100=""),"",Q100/$H100)</f>
        <v>0.0482178478933946</v>
      </c>
      <c r="S100" s="9" t="s">
        <v>115</v>
      </c>
      <c r="T100" s="11" t="s">
        <v>119</v>
      </c>
      <c r="U100" s="11" t="s">
        <v>199</v>
      </c>
      <c r="V100" s="11" t="s">
        <v>121</v>
      </c>
      <c r="W100" s="10" t="n">
        <v>150000</v>
      </c>
      <c r="X100" s="12" t="n">
        <f aca="false">IF(OR($H100="",W100=""),"",W100/$H100)</f>
        <v>0.0141583725347206</v>
      </c>
      <c r="Y100" s="9" t="s">
        <v>126</v>
      </c>
      <c r="Z100" s="11" t="s">
        <v>127</v>
      </c>
      <c r="AA100" s="11" t="s">
        <v>128</v>
      </c>
      <c r="AB100" s="11" t="s">
        <v>129</v>
      </c>
      <c r="AC100" s="9" t="n">
        <v>1</v>
      </c>
      <c r="AD100" s="10"/>
      <c r="AE100" s="9"/>
      <c r="AF100" s="11"/>
      <c r="AG100" s="11"/>
      <c r="AH100" s="11"/>
      <c r="AI100" s="10" t="n">
        <v>4360</v>
      </c>
      <c r="AJ100" s="9" t="s">
        <v>122</v>
      </c>
      <c r="AK100" s="11" t="s">
        <v>123</v>
      </c>
      <c r="AL100" s="11" t="s">
        <v>124</v>
      </c>
      <c r="AM100" s="11" t="s">
        <v>125</v>
      </c>
    </row>
    <row r="101" customFormat="false" ht="15" hidden="false" customHeight="false" outlineLevel="0" collapsed="false">
      <c r="A101" s="9" t="s">
        <v>194</v>
      </c>
      <c r="B101" s="9" t="s">
        <v>195</v>
      </c>
      <c r="C101" s="9" t="s">
        <v>196</v>
      </c>
      <c r="D101" s="9" t="s">
        <v>197</v>
      </c>
      <c r="E101" s="9" t="n">
        <v>1</v>
      </c>
      <c r="F101" s="9" t="n">
        <v>1</v>
      </c>
      <c r="G101" s="9" t="n">
        <v>2018</v>
      </c>
      <c r="H101" s="10" t="n">
        <v>10629928</v>
      </c>
      <c r="I101" s="11" t="s">
        <v>98</v>
      </c>
      <c r="J101" s="11" t="s">
        <v>99</v>
      </c>
      <c r="K101" s="10" t="n">
        <v>467580</v>
      </c>
      <c r="L101" s="12" t="n">
        <f aca="false">IF(OR($H101="",K101=""),"",K101/$H101)</f>
        <v>0.0439871276644583</v>
      </c>
      <c r="M101" s="9" t="s">
        <v>115</v>
      </c>
      <c r="N101" s="11" t="s">
        <v>116</v>
      </c>
      <c r="O101" s="11" t="s">
        <v>198</v>
      </c>
      <c r="P101" s="11" t="s">
        <v>118</v>
      </c>
      <c r="Q101" s="10" t="n">
        <v>515422</v>
      </c>
      <c r="R101" s="12" t="n">
        <f aca="false">IF(OR($H101="",Q101=""),"",Q101/$H101)</f>
        <v>0.04848781666254</v>
      </c>
      <c r="S101" s="9" t="s">
        <v>115</v>
      </c>
      <c r="T101" s="11" t="s">
        <v>119</v>
      </c>
      <c r="U101" s="11" t="s">
        <v>199</v>
      </c>
      <c r="V101" s="11" t="s">
        <v>121</v>
      </c>
      <c r="W101" s="10"/>
      <c r="X101" s="12"/>
      <c r="Y101" s="9"/>
      <c r="Z101" s="11"/>
      <c r="AA101" s="11"/>
      <c r="AB101" s="11"/>
      <c r="AC101" s="9"/>
      <c r="AD101" s="10"/>
      <c r="AE101" s="9"/>
      <c r="AF101" s="11"/>
      <c r="AG101" s="11"/>
      <c r="AH101" s="11"/>
      <c r="AI101" s="10" t="n">
        <v>4505</v>
      </c>
      <c r="AJ101" s="9" t="s">
        <v>122</v>
      </c>
      <c r="AK101" s="11" t="s">
        <v>123</v>
      </c>
      <c r="AL101" s="11" t="s">
        <v>124</v>
      </c>
      <c r="AM101" s="11" t="s">
        <v>125</v>
      </c>
    </row>
    <row r="102" customFormat="false" ht="15" hidden="false" customHeight="false" outlineLevel="0" collapsed="false">
      <c r="A102" s="9" t="s">
        <v>194</v>
      </c>
      <c r="B102" s="9" t="s">
        <v>195</v>
      </c>
      <c r="C102" s="9" t="s">
        <v>196</v>
      </c>
      <c r="D102" s="9" t="s">
        <v>197</v>
      </c>
      <c r="E102" s="9" t="n">
        <v>1</v>
      </c>
      <c r="F102" s="9" t="n">
        <v>1</v>
      </c>
      <c r="G102" s="9" t="n">
        <v>2019</v>
      </c>
      <c r="H102" s="10" t="n">
        <v>10671870</v>
      </c>
      <c r="I102" s="11" t="s">
        <v>98</v>
      </c>
      <c r="J102" s="11" t="s">
        <v>99</v>
      </c>
      <c r="K102" s="10" t="n">
        <v>507051</v>
      </c>
      <c r="L102" s="12" t="n">
        <f aca="false">IF(OR($H102="",K102=""),"",K102/$H102)</f>
        <v>0.0475128538859638</v>
      </c>
      <c r="M102" s="9" t="s">
        <v>115</v>
      </c>
      <c r="N102" s="11" t="s">
        <v>116</v>
      </c>
      <c r="O102" s="11" t="s">
        <v>198</v>
      </c>
      <c r="P102" s="11" t="s">
        <v>118</v>
      </c>
      <c r="Q102" s="10" t="n">
        <v>557458</v>
      </c>
      <c r="R102" s="12" t="n">
        <f aca="false">IF(OR($H102="",Q102=""),"",Q102/$H102)</f>
        <v>0.0522362060257481</v>
      </c>
      <c r="S102" s="9" t="s">
        <v>115</v>
      </c>
      <c r="T102" s="11" t="s">
        <v>119</v>
      </c>
      <c r="U102" s="11" t="s">
        <v>199</v>
      </c>
      <c r="V102" s="11" t="s">
        <v>121</v>
      </c>
      <c r="W102" s="10"/>
      <c r="X102" s="12"/>
      <c r="Y102" s="9"/>
      <c r="Z102" s="11"/>
      <c r="AA102" s="11"/>
      <c r="AB102" s="11"/>
      <c r="AC102" s="9"/>
      <c r="AD102" s="10"/>
      <c r="AE102" s="9"/>
      <c r="AF102" s="11"/>
      <c r="AG102" s="11"/>
      <c r="AH102" s="11"/>
      <c r="AI102" s="10" t="n">
        <v>4995</v>
      </c>
      <c r="AJ102" s="9" t="s">
        <v>122</v>
      </c>
      <c r="AK102" s="11" t="s">
        <v>123</v>
      </c>
      <c r="AL102" s="11" t="s">
        <v>124</v>
      </c>
      <c r="AM102" s="11" t="s">
        <v>125</v>
      </c>
    </row>
    <row r="103" customFormat="false" ht="15" hidden="false" customHeight="false" outlineLevel="0" collapsed="false">
      <c r="A103" s="9" t="s">
        <v>194</v>
      </c>
      <c r="B103" s="9" t="s">
        <v>195</v>
      </c>
      <c r="C103" s="9" t="s">
        <v>196</v>
      </c>
      <c r="D103" s="9" t="s">
        <v>197</v>
      </c>
      <c r="E103" s="9" t="n">
        <v>1</v>
      </c>
      <c r="F103" s="9" t="n">
        <v>1</v>
      </c>
      <c r="G103" s="9" t="n">
        <v>2020</v>
      </c>
      <c r="H103" s="10" t="n">
        <v>10697858</v>
      </c>
      <c r="I103" s="11" t="s">
        <v>98</v>
      </c>
      <c r="J103" s="11" t="s">
        <v>99</v>
      </c>
      <c r="K103" s="10" t="n">
        <v>533639</v>
      </c>
      <c r="L103" s="12" t="n">
        <f aca="false">IF(OR($H103="",K103=""),"",K103/$H103)</f>
        <v>0.0498827896201277</v>
      </c>
      <c r="M103" s="9" t="s">
        <v>115</v>
      </c>
      <c r="N103" s="11" t="s">
        <v>116</v>
      </c>
      <c r="O103" s="11" t="s">
        <v>198</v>
      </c>
      <c r="P103" s="11" t="s">
        <v>118</v>
      </c>
      <c r="Q103" s="10" t="n">
        <v>586646</v>
      </c>
      <c r="R103" s="12" t="n">
        <f aca="false">IF(OR($H103="",Q103=""),"",Q103/$H103)</f>
        <v>0.0548377067633539</v>
      </c>
      <c r="S103" s="9" t="s">
        <v>115</v>
      </c>
      <c r="T103" s="11" t="s">
        <v>119</v>
      </c>
      <c r="U103" s="11" t="s">
        <v>199</v>
      </c>
      <c r="V103" s="11" t="s">
        <v>121</v>
      </c>
      <c r="W103" s="10"/>
      <c r="X103" s="12"/>
      <c r="Y103" s="9"/>
      <c r="Z103" s="11"/>
      <c r="AA103" s="11"/>
      <c r="AB103" s="11"/>
      <c r="AC103" s="9"/>
      <c r="AD103" s="10"/>
      <c r="AE103" s="9"/>
      <c r="AF103" s="11"/>
      <c r="AG103" s="11"/>
      <c r="AH103" s="11"/>
      <c r="AI103" s="10" t="n">
        <v>6515</v>
      </c>
      <c r="AJ103" s="9" t="s">
        <v>122</v>
      </c>
      <c r="AK103" s="11" t="s">
        <v>123</v>
      </c>
      <c r="AL103" s="11" t="s">
        <v>124</v>
      </c>
      <c r="AM103" s="11" t="s">
        <v>125</v>
      </c>
    </row>
    <row r="104" customFormat="false" ht="15" hidden="false" customHeight="false" outlineLevel="0" collapsed="false">
      <c r="A104" s="9" t="s">
        <v>194</v>
      </c>
      <c r="B104" s="9" t="s">
        <v>195</v>
      </c>
      <c r="C104" s="9" t="s">
        <v>196</v>
      </c>
      <c r="D104" s="9" t="s">
        <v>197</v>
      </c>
      <c r="E104" s="9" t="n">
        <v>1</v>
      </c>
      <c r="F104" s="9" t="n">
        <v>1</v>
      </c>
      <c r="G104" s="9" t="n">
        <v>2021</v>
      </c>
      <c r="H104" s="10" t="n">
        <v>10505772</v>
      </c>
      <c r="I104" s="11" t="s">
        <v>98</v>
      </c>
      <c r="J104" s="11" t="s">
        <v>99</v>
      </c>
      <c r="K104" s="10" t="n">
        <v>409220</v>
      </c>
      <c r="L104" s="12" t="n">
        <f aca="false">IF(OR($H104="",K104=""),"",K104/$H104)</f>
        <v>0.0389519209059553</v>
      </c>
      <c r="M104" s="9" t="s">
        <v>115</v>
      </c>
      <c r="N104" s="11" t="s">
        <v>116</v>
      </c>
      <c r="O104" s="11" t="s">
        <v>198</v>
      </c>
      <c r="P104" s="11" t="s">
        <v>200</v>
      </c>
      <c r="Q104" s="10" t="n">
        <v>488532</v>
      </c>
      <c r="R104" s="12" t="n">
        <f aca="false">IF(OR($H104="",Q104=""),"",Q104/$H104)</f>
        <v>0.0465012947168471</v>
      </c>
      <c r="S104" s="9" t="s">
        <v>115</v>
      </c>
      <c r="T104" s="11" t="s">
        <v>119</v>
      </c>
      <c r="U104" s="11" t="s">
        <v>199</v>
      </c>
      <c r="V104" s="11" t="s">
        <v>144</v>
      </c>
      <c r="W104" s="10"/>
      <c r="X104" s="12"/>
      <c r="Y104" s="9"/>
      <c r="Z104" s="11"/>
      <c r="AA104" s="11"/>
      <c r="AB104" s="11"/>
      <c r="AC104" s="9"/>
      <c r="AD104" s="10"/>
      <c r="AE104" s="9"/>
      <c r="AF104" s="11"/>
      <c r="AG104" s="11"/>
      <c r="AH104" s="11"/>
      <c r="AI104" s="10" t="n">
        <v>11040</v>
      </c>
      <c r="AJ104" s="9" t="s">
        <v>122</v>
      </c>
      <c r="AK104" s="11" t="s">
        <v>123</v>
      </c>
      <c r="AL104" s="11" t="s">
        <v>124</v>
      </c>
      <c r="AM104" s="11" t="s">
        <v>125</v>
      </c>
    </row>
    <row r="105" customFormat="false" ht="15" hidden="false" customHeight="false" outlineLevel="0" collapsed="false">
      <c r="A105" s="9" t="s">
        <v>194</v>
      </c>
      <c r="B105" s="9" t="s">
        <v>195</v>
      </c>
      <c r="C105" s="9" t="s">
        <v>196</v>
      </c>
      <c r="D105" s="9" t="s">
        <v>197</v>
      </c>
      <c r="E105" s="9" t="n">
        <v>1</v>
      </c>
      <c r="F105" s="9" t="n">
        <v>1</v>
      </c>
      <c r="G105" s="9" t="n">
        <v>2022</v>
      </c>
      <c r="H105" s="10" t="n">
        <v>10672118</v>
      </c>
      <c r="I105" s="11" t="s">
        <v>98</v>
      </c>
      <c r="J105" s="11" t="s">
        <v>99</v>
      </c>
      <c r="K105" s="10" t="n">
        <v>685840</v>
      </c>
      <c r="L105" s="12" t="n">
        <f aca="false">IF(OR($H105="",K105=""),"",K105/$H105)</f>
        <v>0.0642646567438628</v>
      </c>
      <c r="M105" s="9" t="s">
        <v>115</v>
      </c>
      <c r="N105" s="11" t="s">
        <v>116</v>
      </c>
      <c r="O105" s="11" t="s">
        <v>198</v>
      </c>
      <c r="P105" s="11" t="s">
        <v>200</v>
      </c>
      <c r="Q105" s="10" t="n">
        <v>538237</v>
      </c>
      <c r="R105" s="12" t="n">
        <f aca="false">IF(OR($H105="",Q105=""),"",Q105/$H105)</f>
        <v>0.0504339438525698</v>
      </c>
      <c r="S105" s="9" t="s">
        <v>115</v>
      </c>
      <c r="T105" s="11" t="s">
        <v>119</v>
      </c>
      <c r="U105" s="11" t="s">
        <v>199</v>
      </c>
      <c r="V105" s="11" t="s">
        <v>121</v>
      </c>
      <c r="W105" s="10"/>
      <c r="X105" s="12"/>
      <c r="Y105" s="9"/>
      <c r="Z105" s="11"/>
      <c r="AA105" s="11"/>
      <c r="AB105" s="11"/>
      <c r="AC105" s="9"/>
      <c r="AD105" s="10"/>
      <c r="AE105" s="9"/>
      <c r="AF105" s="11"/>
      <c r="AG105" s="11"/>
      <c r="AH105" s="11"/>
      <c r="AI105" s="10" t="n">
        <v>29130</v>
      </c>
      <c r="AJ105" s="9" t="s">
        <v>122</v>
      </c>
      <c r="AK105" s="11" t="s">
        <v>123</v>
      </c>
      <c r="AL105" s="11" t="s">
        <v>124</v>
      </c>
      <c r="AM105" s="11" t="s">
        <v>125</v>
      </c>
    </row>
    <row r="106" customFormat="false" ht="15" hidden="false" customHeight="false" outlineLevel="0" collapsed="false">
      <c r="A106" s="9" t="s">
        <v>201</v>
      </c>
      <c r="B106" s="9" t="s">
        <v>202</v>
      </c>
      <c r="C106" s="9" t="s">
        <v>203</v>
      </c>
      <c r="D106" s="9" t="s">
        <v>204</v>
      </c>
      <c r="E106" s="9" t="n">
        <v>1</v>
      </c>
      <c r="F106" s="9" t="n">
        <v>1</v>
      </c>
      <c r="G106" s="9" t="n">
        <v>2010</v>
      </c>
      <c r="H106" s="10" t="n">
        <v>5547683</v>
      </c>
      <c r="I106" s="11" t="s">
        <v>98</v>
      </c>
      <c r="J106" s="11" t="s">
        <v>99</v>
      </c>
      <c r="K106" s="10" t="n">
        <v>500772</v>
      </c>
      <c r="L106" s="12" t="n">
        <f aca="false">IF(OR($H106="",K106=""),"",K106/$H106)</f>
        <v>0.0902668735758694</v>
      </c>
      <c r="M106" s="9" t="s">
        <v>115</v>
      </c>
      <c r="N106" s="11" t="s">
        <v>116</v>
      </c>
      <c r="O106" s="11" t="s">
        <v>205</v>
      </c>
      <c r="P106" s="11" t="s">
        <v>118</v>
      </c>
      <c r="Q106" s="10" t="n">
        <v>329797</v>
      </c>
      <c r="R106" s="12" t="n">
        <f aca="false">IF(OR($H106="",Q106=""),"",Q106/$H106)</f>
        <v>0.0594477009591211</v>
      </c>
      <c r="S106" s="9" t="s">
        <v>115</v>
      </c>
      <c r="T106" s="11" t="s">
        <v>119</v>
      </c>
      <c r="U106" s="11" t="s">
        <v>206</v>
      </c>
      <c r="V106" s="11" t="s">
        <v>121</v>
      </c>
      <c r="W106" s="10"/>
      <c r="X106" s="12"/>
      <c r="Y106" s="9"/>
      <c r="Z106" s="11"/>
      <c r="AA106" s="11"/>
      <c r="AB106" s="11"/>
      <c r="AC106" s="9"/>
      <c r="AD106" s="10"/>
      <c r="AE106" s="9"/>
      <c r="AF106" s="11"/>
      <c r="AG106" s="11"/>
      <c r="AH106" s="11"/>
      <c r="AI106" s="10" t="n">
        <v>665</v>
      </c>
      <c r="AJ106" s="9" t="s">
        <v>122</v>
      </c>
      <c r="AK106" s="11" t="s">
        <v>123</v>
      </c>
      <c r="AL106" s="11" t="s">
        <v>124</v>
      </c>
      <c r="AM106" s="11" t="s">
        <v>125</v>
      </c>
    </row>
    <row r="107" customFormat="false" ht="15" hidden="false" customHeight="false" outlineLevel="0" collapsed="false">
      <c r="A107" s="9" t="s">
        <v>201</v>
      </c>
      <c r="B107" s="9" t="s">
        <v>202</v>
      </c>
      <c r="C107" s="9" t="s">
        <v>203</v>
      </c>
      <c r="D107" s="9" t="s">
        <v>204</v>
      </c>
      <c r="E107" s="9" t="n">
        <v>1</v>
      </c>
      <c r="F107" s="9" t="n">
        <v>1</v>
      </c>
      <c r="G107" s="9" t="n">
        <v>2011</v>
      </c>
      <c r="H107" s="10" t="n">
        <v>5570572</v>
      </c>
      <c r="I107" s="11" t="s">
        <v>98</v>
      </c>
      <c r="J107" s="11" t="s">
        <v>99</v>
      </c>
      <c r="K107" s="10" t="n">
        <v>517230</v>
      </c>
      <c r="L107" s="12" t="n">
        <f aca="false">IF(OR($H107="",K107=""),"",K107/$H107)</f>
        <v>0.0928504290044182</v>
      </c>
      <c r="M107" s="9" t="s">
        <v>115</v>
      </c>
      <c r="N107" s="11" t="s">
        <v>116</v>
      </c>
      <c r="O107" s="11" t="s">
        <v>205</v>
      </c>
      <c r="P107" s="11" t="s">
        <v>118</v>
      </c>
      <c r="Q107" s="10" t="n">
        <v>345884</v>
      </c>
      <c r="R107" s="12" t="n">
        <f aca="false">IF(OR($H107="",Q107=""),"",Q107/$H107)</f>
        <v>0.0620912897275181</v>
      </c>
      <c r="S107" s="9" t="s">
        <v>115</v>
      </c>
      <c r="T107" s="11" t="s">
        <v>119</v>
      </c>
      <c r="U107" s="11" t="s">
        <v>206</v>
      </c>
      <c r="V107" s="11" t="s">
        <v>121</v>
      </c>
      <c r="W107" s="10"/>
      <c r="X107" s="12"/>
      <c r="Y107" s="9"/>
      <c r="Z107" s="11"/>
      <c r="AA107" s="11"/>
      <c r="AB107" s="11"/>
      <c r="AC107" s="9"/>
      <c r="AD107" s="10"/>
      <c r="AE107" s="9"/>
      <c r="AF107" s="11"/>
      <c r="AG107" s="11"/>
      <c r="AH107" s="11"/>
      <c r="AI107" s="10" t="n">
        <v>400</v>
      </c>
      <c r="AJ107" s="9" t="s">
        <v>122</v>
      </c>
      <c r="AK107" s="11" t="s">
        <v>123</v>
      </c>
      <c r="AL107" s="11" t="s">
        <v>124</v>
      </c>
      <c r="AM107" s="11" t="s">
        <v>125</v>
      </c>
    </row>
    <row r="108" customFormat="false" ht="15" hidden="false" customHeight="false" outlineLevel="0" collapsed="false">
      <c r="A108" s="9" t="s">
        <v>201</v>
      </c>
      <c r="B108" s="9" t="s">
        <v>202</v>
      </c>
      <c r="C108" s="9" t="s">
        <v>203</v>
      </c>
      <c r="D108" s="9" t="s">
        <v>204</v>
      </c>
      <c r="E108" s="9" t="n">
        <v>1</v>
      </c>
      <c r="F108" s="9" t="n">
        <v>1</v>
      </c>
      <c r="G108" s="9" t="n">
        <v>2012</v>
      </c>
      <c r="H108" s="10" t="n">
        <v>5591572</v>
      </c>
      <c r="I108" s="11" t="s">
        <v>98</v>
      </c>
      <c r="J108" s="11" t="s">
        <v>99</v>
      </c>
      <c r="K108" s="10" t="n">
        <v>531540</v>
      </c>
      <c r="L108" s="12" t="n">
        <f aca="false">IF(OR($H108="",K108=""),"",K108/$H108)</f>
        <v>0.0950609238332262</v>
      </c>
      <c r="M108" s="9" t="s">
        <v>115</v>
      </c>
      <c r="N108" s="11" t="s">
        <v>116</v>
      </c>
      <c r="O108" s="11" t="s">
        <v>205</v>
      </c>
      <c r="P108" s="11" t="s">
        <v>118</v>
      </c>
      <c r="Q108" s="10" t="n">
        <v>358714</v>
      </c>
      <c r="R108" s="12" t="n">
        <f aca="false">IF(OR($H108="",Q108=""),"",Q108/$H108)</f>
        <v>0.0641526211233621</v>
      </c>
      <c r="S108" s="9" t="s">
        <v>115</v>
      </c>
      <c r="T108" s="11" t="s">
        <v>119</v>
      </c>
      <c r="U108" s="11" t="s">
        <v>206</v>
      </c>
      <c r="V108" s="11" t="s">
        <v>121</v>
      </c>
      <c r="W108" s="10"/>
      <c r="X108" s="12"/>
      <c r="Y108" s="9"/>
      <c r="Z108" s="11"/>
      <c r="AA108" s="11"/>
      <c r="AB108" s="11"/>
      <c r="AC108" s="9"/>
      <c r="AD108" s="10"/>
      <c r="AE108" s="9"/>
      <c r="AF108" s="11"/>
      <c r="AG108" s="11"/>
      <c r="AH108" s="11"/>
      <c r="AI108" s="10" t="n">
        <v>630</v>
      </c>
      <c r="AJ108" s="9" t="s">
        <v>122</v>
      </c>
      <c r="AK108" s="11" t="s">
        <v>123</v>
      </c>
      <c r="AL108" s="11" t="s">
        <v>124</v>
      </c>
      <c r="AM108" s="11" t="s">
        <v>125</v>
      </c>
    </row>
    <row r="109" customFormat="false" ht="15" hidden="false" customHeight="false" outlineLevel="0" collapsed="false">
      <c r="A109" s="9" t="s">
        <v>201</v>
      </c>
      <c r="B109" s="9" t="s">
        <v>202</v>
      </c>
      <c r="C109" s="9" t="s">
        <v>203</v>
      </c>
      <c r="D109" s="9" t="s">
        <v>204</v>
      </c>
      <c r="E109" s="9" t="n">
        <v>1</v>
      </c>
      <c r="F109" s="9" t="n">
        <v>1</v>
      </c>
      <c r="G109" s="9" t="n">
        <v>2013</v>
      </c>
      <c r="H109" s="10" t="n">
        <v>5614932</v>
      </c>
      <c r="I109" s="11" t="s">
        <v>98</v>
      </c>
      <c r="J109" s="11" t="s">
        <v>99</v>
      </c>
      <c r="K109" s="10" t="n">
        <v>548411</v>
      </c>
      <c r="L109" s="12" t="n">
        <f aca="false">IF(OR($H109="",K109=""),"",K109/$H109)</f>
        <v>0.0976701053547933</v>
      </c>
      <c r="M109" s="9" t="s">
        <v>115</v>
      </c>
      <c r="N109" s="11" t="s">
        <v>116</v>
      </c>
      <c r="O109" s="11" t="s">
        <v>205</v>
      </c>
      <c r="P109" s="11" t="s">
        <v>118</v>
      </c>
      <c r="Q109" s="10" t="n">
        <v>374569</v>
      </c>
      <c r="R109" s="12" t="n">
        <f aca="false">IF(OR($H109="",Q109=""),"",Q109/$H109)</f>
        <v>0.0667094454572201</v>
      </c>
      <c r="S109" s="9" t="s">
        <v>115</v>
      </c>
      <c r="T109" s="11" t="s">
        <v>119</v>
      </c>
      <c r="U109" s="11" t="s">
        <v>206</v>
      </c>
      <c r="V109" s="11" t="s">
        <v>121</v>
      </c>
      <c r="W109" s="10"/>
      <c r="X109" s="12"/>
      <c r="Y109" s="9"/>
      <c r="Z109" s="11"/>
      <c r="AA109" s="11"/>
      <c r="AB109" s="11"/>
      <c r="AC109" s="9"/>
      <c r="AD109" s="10"/>
      <c r="AE109" s="9"/>
      <c r="AF109" s="11"/>
      <c r="AG109" s="11"/>
      <c r="AH109" s="11"/>
      <c r="AI109" s="10" t="n">
        <v>395</v>
      </c>
      <c r="AJ109" s="9" t="s">
        <v>122</v>
      </c>
      <c r="AK109" s="11" t="s">
        <v>123</v>
      </c>
      <c r="AL109" s="11" t="s">
        <v>124</v>
      </c>
      <c r="AM109" s="11" t="s">
        <v>125</v>
      </c>
    </row>
    <row r="110" customFormat="false" ht="15" hidden="false" customHeight="false" outlineLevel="0" collapsed="false">
      <c r="A110" s="9" t="s">
        <v>201</v>
      </c>
      <c r="B110" s="9" t="s">
        <v>202</v>
      </c>
      <c r="C110" s="9" t="s">
        <v>203</v>
      </c>
      <c r="D110" s="9" t="s">
        <v>204</v>
      </c>
      <c r="E110" s="9" t="n">
        <v>1</v>
      </c>
      <c r="F110" s="9" t="n">
        <v>1</v>
      </c>
      <c r="G110" s="9" t="n">
        <v>2014</v>
      </c>
      <c r="H110" s="10" t="n">
        <v>5643475</v>
      </c>
      <c r="I110" s="11" t="s">
        <v>98</v>
      </c>
      <c r="J110" s="11" t="s">
        <v>99</v>
      </c>
      <c r="K110" s="10" t="n">
        <v>569596</v>
      </c>
      <c r="L110" s="12" t="n">
        <f aca="false">IF(OR($H110="",K110=""),"",K110/$H110)</f>
        <v>0.100930012093613</v>
      </c>
      <c r="M110" s="9" t="s">
        <v>115</v>
      </c>
      <c r="N110" s="11" t="s">
        <v>116</v>
      </c>
      <c r="O110" s="11" t="s">
        <v>205</v>
      </c>
      <c r="P110" s="11" t="s">
        <v>118</v>
      </c>
      <c r="Q110" s="10" t="n">
        <v>397221</v>
      </c>
      <c r="R110" s="12" t="n">
        <f aca="false">IF(OR($H110="",Q110=""),"",Q110/$H110)</f>
        <v>0.0703858881274392</v>
      </c>
      <c r="S110" s="9" t="s">
        <v>115</v>
      </c>
      <c r="T110" s="11" t="s">
        <v>119</v>
      </c>
      <c r="U110" s="11" t="s">
        <v>206</v>
      </c>
      <c r="V110" s="11" t="s">
        <v>121</v>
      </c>
      <c r="W110" s="10"/>
      <c r="X110" s="12"/>
      <c r="Y110" s="9"/>
      <c r="Z110" s="11"/>
      <c r="AA110" s="11"/>
      <c r="AB110" s="11"/>
      <c r="AC110" s="9"/>
      <c r="AD110" s="10"/>
      <c r="AE110" s="9"/>
      <c r="AF110" s="11"/>
      <c r="AG110" s="11"/>
      <c r="AH110" s="11"/>
      <c r="AI110" s="10" t="n">
        <v>515</v>
      </c>
      <c r="AJ110" s="9" t="s">
        <v>122</v>
      </c>
      <c r="AK110" s="11" t="s">
        <v>123</v>
      </c>
      <c r="AL110" s="11" t="s">
        <v>124</v>
      </c>
      <c r="AM110" s="11" t="s">
        <v>125</v>
      </c>
    </row>
    <row r="111" customFormat="false" ht="15" hidden="false" customHeight="false" outlineLevel="0" collapsed="false">
      <c r="A111" s="9" t="s">
        <v>201</v>
      </c>
      <c r="B111" s="9" t="s">
        <v>202</v>
      </c>
      <c r="C111" s="9" t="s">
        <v>203</v>
      </c>
      <c r="D111" s="9" t="s">
        <v>204</v>
      </c>
      <c r="E111" s="9" t="n">
        <v>1</v>
      </c>
      <c r="F111" s="9" t="n">
        <v>1</v>
      </c>
      <c r="G111" s="9" t="n">
        <v>2015</v>
      </c>
      <c r="H111" s="10" t="n">
        <v>5683483</v>
      </c>
      <c r="I111" s="11" t="s">
        <v>98</v>
      </c>
      <c r="J111" s="11" t="s">
        <v>99</v>
      </c>
      <c r="K111" s="10" t="n">
        <v>595876</v>
      </c>
      <c r="L111" s="12" t="n">
        <f aca="false">IF(OR($H111="",K111=""),"",K111/$H111)</f>
        <v>0.104843456028636</v>
      </c>
      <c r="M111" s="9" t="s">
        <v>115</v>
      </c>
      <c r="N111" s="11" t="s">
        <v>116</v>
      </c>
      <c r="O111" s="11" t="s">
        <v>205</v>
      </c>
      <c r="P111" s="11" t="s">
        <v>118</v>
      </c>
      <c r="Q111" s="10" t="n">
        <v>422492</v>
      </c>
      <c r="R111" s="12" t="n">
        <f aca="false">IF(OR($H111="",Q111=""),"",Q111/$H111)</f>
        <v>0.0743368107197646</v>
      </c>
      <c r="S111" s="9" t="s">
        <v>115</v>
      </c>
      <c r="T111" s="11" t="s">
        <v>119</v>
      </c>
      <c r="U111" s="11" t="s">
        <v>206</v>
      </c>
      <c r="V111" s="11" t="s">
        <v>121</v>
      </c>
      <c r="W111" s="10"/>
      <c r="X111" s="12"/>
      <c r="Y111" s="9"/>
      <c r="Z111" s="11"/>
      <c r="AA111" s="11"/>
      <c r="AB111" s="11"/>
      <c r="AC111" s="9"/>
      <c r="AD111" s="10"/>
      <c r="AE111" s="9"/>
      <c r="AF111" s="11"/>
      <c r="AG111" s="11"/>
      <c r="AH111" s="11"/>
      <c r="AI111" s="10" t="n">
        <v>2165</v>
      </c>
      <c r="AJ111" s="9" t="s">
        <v>122</v>
      </c>
      <c r="AK111" s="11" t="s">
        <v>123</v>
      </c>
      <c r="AL111" s="11" t="s">
        <v>124</v>
      </c>
      <c r="AM111" s="11" t="s">
        <v>125</v>
      </c>
    </row>
    <row r="112" customFormat="false" ht="15" hidden="false" customHeight="false" outlineLevel="0" collapsed="false">
      <c r="A112" s="9" t="s">
        <v>201</v>
      </c>
      <c r="B112" s="9" t="s">
        <v>202</v>
      </c>
      <c r="C112" s="9" t="s">
        <v>203</v>
      </c>
      <c r="D112" s="9" t="s">
        <v>204</v>
      </c>
      <c r="E112" s="9" t="n">
        <v>1</v>
      </c>
      <c r="F112" s="9" t="n">
        <v>1</v>
      </c>
      <c r="G112" s="9" t="n">
        <v>2016</v>
      </c>
      <c r="H112" s="10" t="n">
        <v>5728010</v>
      </c>
      <c r="I112" s="11" t="s">
        <v>98</v>
      </c>
      <c r="J112" s="11" t="s">
        <v>99</v>
      </c>
      <c r="K112" s="10" t="n">
        <v>636666</v>
      </c>
      <c r="L112" s="12" t="n">
        <f aca="false">IF(OR($H112="",K112=""),"",K112/$H112)</f>
        <v>0.11114959645671</v>
      </c>
      <c r="M112" s="9" t="s">
        <v>115</v>
      </c>
      <c r="N112" s="11" t="s">
        <v>116</v>
      </c>
      <c r="O112" s="11" t="s">
        <v>205</v>
      </c>
      <c r="P112" s="11" t="s">
        <v>118</v>
      </c>
      <c r="Q112" s="10" t="n">
        <v>463088</v>
      </c>
      <c r="R112" s="12" t="n">
        <f aca="false">IF(OR($H112="",Q112=""),"",Q112/$H112)</f>
        <v>0.0808462275729267</v>
      </c>
      <c r="S112" s="9" t="s">
        <v>115</v>
      </c>
      <c r="T112" s="11" t="s">
        <v>119</v>
      </c>
      <c r="U112" s="11" t="s">
        <v>206</v>
      </c>
      <c r="V112" s="11" t="s">
        <v>121</v>
      </c>
      <c r="W112" s="10"/>
      <c r="X112" s="12"/>
      <c r="Y112" s="9"/>
      <c r="Z112" s="11"/>
      <c r="AA112" s="11"/>
      <c r="AB112" s="11"/>
      <c r="AC112" s="9"/>
      <c r="AD112" s="10"/>
      <c r="AE112" s="9"/>
      <c r="AF112" s="11"/>
      <c r="AG112" s="11"/>
      <c r="AH112" s="11"/>
      <c r="AI112" s="10" t="n">
        <v>1390</v>
      </c>
      <c r="AJ112" s="9" t="s">
        <v>122</v>
      </c>
      <c r="AK112" s="11" t="s">
        <v>123</v>
      </c>
      <c r="AL112" s="11" t="s">
        <v>124</v>
      </c>
      <c r="AM112" s="11" t="s">
        <v>125</v>
      </c>
    </row>
    <row r="113" customFormat="false" ht="15" hidden="false" customHeight="false" outlineLevel="0" collapsed="false">
      <c r="A113" s="9" t="s">
        <v>201</v>
      </c>
      <c r="B113" s="9" t="s">
        <v>202</v>
      </c>
      <c r="C113" s="9" t="s">
        <v>203</v>
      </c>
      <c r="D113" s="9" t="s">
        <v>204</v>
      </c>
      <c r="E113" s="9" t="n">
        <v>1</v>
      </c>
      <c r="F113" s="9" t="n">
        <v>1</v>
      </c>
      <c r="G113" s="9" t="n">
        <v>2017</v>
      </c>
      <c r="H113" s="10" t="n">
        <v>5764980</v>
      </c>
      <c r="I113" s="11" t="s">
        <v>98</v>
      </c>
      <c r="J113" s="11" t="s">
        <v>99</v>
      </c>
      <c r="K113" s="10" t="n">
        <v>668090</v>
      </c>
      <c r="L113" s="12" t="n">
        <f aca="false">IF(OR($H113="",K113=""),"",K113/$H113)</f>
        <v>0.115887652689168</v>
      </c>
      <c r="M113" s="9" t="s">
        <v>115</v>
      </c>
      <c r="N113" s="11" t="s">
        <v>116</v>
      </c>
      <c r="O113" s="11" t="s">
        <v>205</v>
      </c>
      <c r="P113" s="11" t="s">
        <v>118</v>
      </c>
      <c r="Q113" s="10" t="n">
        <v>484934</v>
      </c>
      <c r="R113" s="12" t="n">
        <f aca="false">IF(OR($H113="",Q113=""),"",Q113/$H113)</f>
        <v>0.084117204222738</v>
      </c>
      <c r="S113" s="9" t="s">
        <v>115</v>
      </c>
      <c r="T113" s="11" t="s">
        <v>119</v>
      </c>
      <c r="U113" s="11" t="s">
        <v>206</v>
      </c>
      <c r="V113" s="11" t="s">
        <v>121</v>
      </c>
      <c r="W113" s="10"/>
      <c r="X113" s="12"/>
      <c r="Y113" s="9"/>
      <c r="Z113" s="11"/>
      <c r="AA113" s="11"/>
      <c r="AB113" s="11"/>
      <c r="AC113" s="9"/>
      <c r="AD113" s="10"/>
      <c r="AE113" s="9"/>
      <c r="AF113" s="11"/>
      <c r="AG113" s="11"/>
      <c r="AH113" s="11"/>
      <c r="AI113" s="10" t="n">
        <v>1105</v>
      </c>
      <c r="AJ113" s="9" t="s">
        <v>122</v>
      </c>
      <c r="AK113" s="11" t="s">
        <v>123</v>
      </c>
      <c r="AL113" s="11" t="s">
        <v>124</v>
      </c>
      <c r="AM113" s="11" t="s">
        <v>125</v>
      </c>
    </row>
    <row r="114" customFormat="false" ht="15" hidden="false" customHeight="false" outlineLevel="0" collapsed="false">
      <c r="A114" s="9" t="s">
        <v>201</v>
      </c>
      <c r="B114" s="9" t="s">
        <v>202</v>
      </c>
      <c r="C114" s="9" t="s">
        <v>203</v>
      </c>
      <c r="D114" s="9" t="s">
        <v>204</v>
      </c>
      <c r="E114" s="9" t="n">
        <v>1</v>
      </c>
      <c r="F114" s="9" t="n">
        <v>1</v>
      </c>
      <c r="G114" s="9" t="n">
        <v>2018</v>
      </c>
      <c r="H114" s="10" t="n">
        <v>5793636</v>
      </c>
      <c r="I114" s="11" t="s">
        <v>98</v>
      </c>
      <c r="J114" s="11" t="s">
        <v>99</v>
      </c>
      <c r="K114" s="10" t="n">
        <v>690549</v>
      </c>
      <c r="L114" s="12" t="n">
        <f aca="false">IF(OR($H114="",K114=""),"",K114/$H114)</f>
        <v>0.119190953660189</v>
      </c>
      <c r="M114" s="9" t="s">
        <v>115</v>
      </c>
      <c r="N114" s="11" t="s">
        <v>116</v>
      </c>
      <c r="O114" s="11" t="s">
        <v>205</v>
      </c>
      <c r="P114" s="11" t="s">
        <v>118</v>
      </c>
      <c r="Q114" s="10" t="n">
        <v>505934</v>
      </c>
      <c r="R114" s="12" t="n">
        <f aca="false">IF(OR($H114="",Q114=""),"",Q114/$H114)</f>
        <v>0.0873258175004436</v>
      </c>
      <c r="S114" s="9" t="s">
        <v>115</v>
      </c>
      <c r="T114" s="11" t="s">
        <v>119</v>
      </c>
      <c r="U114" s="11" t="s">
        <v>206</v>
      </c>
      <c r="V114" s="11" t="s">
        <v>121</v>
      </c>
      <c r="W114" s="10"/>
      <c r="X114" s="12"/>
      <c r="Y114" s="9"/>
      <c r="Z114" s="11"/>
      <c r="AA114" s="11"/>
      <c r="AB114" s="11"/>
      <c r="AC114" s="9"/>
      <c r="AD114" s="10"/>
      <c r="AE114" s="9"/>
      <c r="AF114" s="11"/>
      <c r="AG114" s="11"/>
      <c r="AH114" s="11"/>
      <c r="AI114" s="10" t="n">
        <v>1135</v>
      </c>
      <c r="AJ114" s="9" t="s">
        <v>122</v>
      </c>
      <c r="AK114" s="11" t="s">
        <v>123</v>
      </c>
      <c r="AL114" s="11" t="s">
        <v>124</v>
      </c>
      <c r="AM114" s="11" t="s">
        <v>125</v>
      </c>
    </row>
    <row r="115" customFormat="false" ht="15" hidden="false" customHeight="false" outlineLevel="0" collapsed="false">
      <c r="A115" s="9" t="s">
        <v>201</v>
      </c>
      <c r="B115" s="9" t="s">
        <v>202</v>
      </c>
      <c r="C115" s="9" t="s">
        <v>203</v>
      </c>
      <c r="D115" s="9" t="s">
        <v>204</v>
      </c>
      <c r="E115" s="9" t="n">
        <v>1</v>
      </c>
      <c r="F115" s="9" t="n">
        <v>1</v>
      </c>
      <c r="G115" s="9" t="n">
        <v>2019</v>
      </c>
      <c r="H115" s="10" t="n">
        <v>5814422</v>
      </c>
      <c r="I115" s="11" t="s">
        <v>98</v>
      </c>
      <c r="J115" s="11" t="s">
        <v>99</v>
      </c>
      <c r="K115" s="10" t="n">
        <v>707880</v>
      </c>
      <c r="L115" s="12" t="n">
        <f aca="false">IF(OR($H115="",K115=""),"",K115/$H115)</f>
        <v>0.121745549256659</v>
      </c>
      <c r="M115" s="9" t="s">
        <v>115</v>
      </c>
      <c r="N115" s="11" t="s">
        <v>116</v>
      </c>
      <c r="O115" s="11" t="s">
        <v>205</v>
      </c>
      <c r="P115" s="11" t="s">
        <v>118</v>
      </c>
      <c r="Q115" s="10" t="n">
        <v>525849</v>
      </c>
      <c r="R115" s="12" t="n">
        <f aca="false">IF(OR($H115="",Q115=""),"",Q115/$H115)</f>
        <v>0.090438740084569</v>
      </c>
      <c r="S115" s="9" t="s">
        <v>115</v>
      </c>
      <c r="T115" s="11" t="s">
        <v>119</v>
      </c>
      <c r="U115" s="11" t="s">
        <v>206</v>
      </c>
      <c r="V115" s="11" t="s">
        <v>121</v>
      </c>
      <c r="W115" s="10"/>
      <c r="X115" s="12"/>
      <c r="Y115" s="9"/>
      <c r="Z115" s="11"/>
      <c r="AA115" s="11"/>
      <c r="AB115" s="11"/>
      <c r="AC115" s="9"/>
      <c r="AD115" s="10"/>
      <c r="AE115" s="9"/>
      <c r="AF115" s="11"/>
      <c r="AG115" s="11"/>
      <c r="AH115" s="11"/>
      <c r="AI115" s="10" t="n">
        <v>1195</v>
      </c>
      <c r="AJ115" s="9" t="s">
        <v>122</v>
      </c>
      <c r="AK115" s="11" t="s">
        <v>123</v>
      </c>
      <c r="AL115" s="11" t="s">
        <v>124</v>
      </c>
      <c r="AM115" s="11" t="s">
        <v>125</v>
      </c>
    </row>
    <row r="116" customFormat="false" ht="15" hidden="false" customHeight="false" outlineLevel="0" collapsed="false">
      <c r="A116" s="9" t="s">
        <v>201</v>
      </c>
      <c r="B116" s="9" t="s">
        <v>202</v>
      </c>
      <c r="C116" s="9" t="s">
        <v>203</v>
      </c>
      <c r="D116" s="9" t="s">
        <v>204</v>
      </c>
      <c r="E116" s="9" t="n">
        <v>1</v>
      </c>
      <c r="F116" s="9" t="n">
        <v>1</v>
      </c>
      <c r="G116" s="9" t="n">
        <v>2020</v>
      </c>
      <c r="H116" s="10" t="n">
        <v>5831404</v>
      </c>
      <c r="I116" s="11" t="s">
        <v>98</v>
      </c>
      <c r="J116" s="11" t="s">
        <v>99</v>
      </c>
      <c r="K116" s="10" t="n">
        <v>715936</v>
      </c>
      <c r="L116" s="12" t="n">
        <f aca="false">IF(OR($H116="",K116=""),"",K116/$H116)</f>
        <v>0.122772491839015</v>
      </c>
      <c r="M116" s="9" t="s">
        <v>115</v>
      </c>
      <c r="N116" s="11" t="s">
        <v>116</v>
      </c>
      <c r="O116" s="11" t="s">
        <v>205</v>
      </c>
      <c r="P116" s="11" t="s">
        <v>118</v>
      </c>
      <c r="Q116" s="10" t="n">
        <v>537071</v>
      </c>
      <c r="R116" s="12" t="n">
        <f aca="false">IF(OR($H116="",Q116=""),"",Q116/$H116)</f>
        <v>0.0920997756286479</v>
      </c>
      <c r="S116" s="9" t="s">
        <v>115</v>
      </c>
      <c r="T116" s="11" t="s">
        <v>119</v>
      </c>
      <c r="U116" s="11" t="s">
        <v>206</v>
      </c>
      <c r="V116" s="11" t="s">
        <v>121</v>
      </c>
      <c r="W116" s="10"/>
      <c r="X116" s="12"/>
      <c r="Y116" s="9"/>
      <c r="Z116" s="11"/>
      <c r="AA116" s="11"/>
      <c r="AB116" s="11"/>
      <c r="AC116" s="9"/>
      <c r="AD116" s="10"/>
      <c r="AE116" s="9"/>
      <c r="AF116" s="11"/>
      <c r="AG116" s="11"/>
      <c r="AH116" s="11"/>
      <c r="AI116" s="10" t="n">
        <v>490</v>
      </c>
      <c r="AJ116" s="9" t="s">
        <v>122</v>
      </c>
      <c r="AK116" s="11" t="s">
        <v>123</v>
      </c>
      <c r="AL116" s="11" t="s">
        <v>124</v>
      </c>
      <c r="AM116" s="11" t="s">
        <v>125</v>
      </c>
    </row>
    <row r="117" customFormat="false" ht="15" hidden="false" customHeight="false" outlineLevel="0" collapsed="false">
      <c r="A117" s="9" t="s">
        <v>201</v>
      </c>
      <c r="B117" s="9" t="s">
        <v>202</v>
      </c>
      <c r="C117" s="9" t="s">
        <v>203</v>
      </c>
      <c r="D117" s="9" t="s">
        <v>204</v>
      </c>
      <c r="E117" s="9" t="n">
        <v>1</v>
      </c>
      <c r="F117" s="9" t="n">
        <v>1</v>
      </c>
      <c r="G117" s="9" t="n">
        <v>2021</v>
      </c>
      <c r="H117" s="10" t="n">
        <v>5856733</v>
      </c>
      <c r="I117" s="11" t="s">
        <v>98</v>
      </c>
      <c r="J117" s="11" t="s">
        <v>99</v>
      </c>
      <c r="K117" s="10" t="n">
        <v>721135</v>
      </c>
      <c r="L117" s="12" t="n">
        <f aca="false">IF(OR($H117="",K117=""),"",K117/$H117)</f>
        <v>0.123129225798752</v>
      </c>
      <c r="M117" s="9" t="s">
        <v>115</v>
      </c>
      <c r="N117" s="11" t="s">
        <v>116</v>
      </c>
      <c r="O117" s="11" t="s">
        <v>205</v>
      </c>
      <c r="P117" s="11" t="s">
        <v>118</v>
      </c>
      <c r="Q117" s="10" t="n">
        <v>539443</v>
      </c>
      <c r="R117" s="12" t="n">
        <f aca="false">IF(OR($H117="",Q117=""),"",Q117/$H117)</f>
        <v>0.0921064695966164</v>
      </c>
      <c r="S117" s="9" t="s">
        <v>115</v>
      </c>
      <c r="T117" s="11" t="s">
        <v>119</v>
      </c>
      <c r="U117" s="11" t="s">
        <v>206</v>
      </c>
      <c r="V117" s="11" t="s">
        <v>121</v>
      </c>
      <c r="W117" s="10"/>
      <c r="X117" s="12"/>
      <c r="Y117" s="9"/>
      <c r="Z117" s="11"/>
      <c r="AA117" s="11"/>
      <c r="AB117" s="11"/>
      <c r="AC117" s="9"/>
      <c r="AD117" s="10"/>
      <c r="AE117" s="9"/>
      <c r="AF117" s="11"/>
      <c r="AG117" s="11"/>
      <c r="AH117" s="11"/>
      <c r="AI117" s="10" t="n">
        <v>425</v>
      </c>
      <c r="AJ117" s="9" t="s">
        <v>122</v>
      </c>
      <c r="AK117" s="11" t="s">
        <v>123</v>
      </c>
      <c r="AL117" s="11" t="s">
        <v>124</v>
      </c>
      <c r="AM117" s="11" t="s">
        <v>125</v>
      </c>
    </row>
    <row r="118" customFormat="false" ht="15" hidden="false" customHeight="false" outlineLevel="0" collapsed="false">
      <c r="A118" s="9" t="s">
        <v>201</v>
      </c>
      <c r="B118" s="9" t="s">
        <v>202</v>
      </c>
      <c r="C118" s="9" t="s">
        <v>203</v>
      </c>
      <c r="D118" s="9" t="s">
        <v>204</v>
      </c>
      <c r="E118" s="9" t="n">
        <v>1</v>
      </c>
      <c r="F118" s="9" t="n">
        <v>1</v>
      </c>
      <c r="G118" s="9" t="n">
        <v>2022</v>
      </c>
      <c r="H118" s="10" t="n">
        <v>5903037</v>
      </c>
      <c r="I118" s="11" t="s">
        <v>98</v>
      </c>
      <c r="J118" s="11" t="s">
        <v>99</v>
      </c>
      <c r="K118" s="10" t="n">
        <v>745851</v>
      </c>
      <c r="L118" s="12" t="n">
        <f aca="false">IF(OR($H118="",K118=""),"",K118/$H118)</f>
        <v>0.12635038540331</v>
      </c>
      <c r="M118" s="9" t="s">
        <v>115</v>
      </c>
      <c r="N118" s="11" t="s">
        <v>116</v>
      </c>
      <c r="O118" s="11" t="s">
        <v>205</v>
      </c>
      <c r="P118" s="11" t="s">
        <v>118</v>
      </c>
      <c r="Q118" s="10" t="n">
        <v>562205</v>
      </c>
      <c r="R118" s="12" t="n">
        <f aca="false">IF(OR($H118="",Q118=""),"",Q118/$H118)</f>
        <v>0.0952399586856732</v>
      </c>
      <c r="S118" s="9" t="s">
        <v>115</v>
      </c>
      <c r="T118" s="11" t="s">
        <v>119</v>
      </c>
      <c r="U118" s="11" t="s">
        <v>206</v>
      </c>
      <c r="V118" s="11" t="s">
        <v>121</v>
      </c>
      <c r="W118" s="10"/>
      <c r="X118" s="12"/>
      <c r="Y118" s="9"/>
      <c r="Z118" s="11"/>
      <c r="AA118" s="11"/>
      <c r="AB118" s="11"/>
      <c r="AC118" s="9"/>
      <c r="AD118" s="10"/>
      <c r="AE118" s="9"/>
      <c r="AF118" s="11"/>
      <c r="AG118" s="11"/>
      <c r="AH118" s="11"/>
      <c r="AI118" s="10" t="n">
        <v>510</v>
      </c>
      <c r="AJ118" s="9" t="s">
        <v>122</v>
      </c>
      <c r="AK118" s="11" t="s">
        <v>123</v>
      </c>
      <c r="AL118" s="11" t="s">
        <v>124</v>
      </c>
      <c r="AM118" s="11" t="s">
        <v>125</v>
      </c>
    </row>
    <row r="119" customFormat="false" ht="15" hidden="false" customHeight="false" outlineLevel="0" collapsed="false">
      <c r="A119" s="9" t="s">
        <v>207</v>
      </c>
      <c r="B119" s="9" t="s">
        <v>208</v>
      </c>
      <c r="C119" s="9" t="s">
        <v>209</v>
      </c>
      <c r="D119" s="9" t="s">
        <v>210</v>
      </c>
      <c r="E119" s="9" t="n">
        <v>1</v>
      </c>
      <c r="F119" s="9" t="n">
        <v>1</v>
      </c>
      <c r="G119" s="9" t="n">
        <v>2010</v>
      </c>
      <c r="H119" s="10" t="n">
        <v>5363352</v>
      </c>
      <c r="I119" s="11" t="s">
        <v>98</v>
      </c>
      <c r="J119" s="11" t="s">
        <v>99</v>
      </c>
      <c r="K119" s="10" t="n">
        <v>228481</v>
      </c>
      <c r="L119" s="12" t="n">
        <f aca="false">IF(OR($H119="",K119=""),"",K119/$H119)</f>
        <v>0.0426004110862013</v>
      </c>
      <c r="M119" s="9" t="s">
        <v>115</v>
      </c>
      <c r="N119" s="11" t="s">
        <v>116</v>
      </c>
      <c r="O119" s="11" t="s">
        <v>211</v>
      </c>
      <c r="P119" s="11" t="s">
        <v>118</v>
      </c>
      <c r="Q119" s="10" t="n">
        <v>154623</v>
      </c>
      <c r="R119" s="12" t="n">
        <f aca="false">IF(OR($H119="",Q119=""),"",Q119/$H119)</f>
        <v>0.0288295454036953</v>
      </c>
      <c r="S119" s="9" t="s">
        <v>115</v>
      </c>
      <c r="T119" s="11" t="s">
        <v>119</v>
      </c>
      <c r="U119" s="11" t="s">
        <v>212</v>
      </c>
      <c r="V119" s="11" t="s">
        <v>121</v>
      </c>
      <c r="W119" s="10"/>
      <c r="X119" s="12"/>
      <c r="Y119" s="9"/>
      <c r="Z119" s="11"/>
      <c r="AA119" s="11"/>
      <c r="AB119" s="11"/>
      <c r="AC119" s="9"/>
      <c r="AD119" s="10"/>
      <c r="AE119" s="9"/>
      <c r="AF119" s="11"/>
      <c r="AG119" s="11"/>
      <c r="AH119" s="11"/>
      <c r="AI119" s="10" t="n">
        <v>3755</v>
      </c>
      <c r="AJ119" s="9" t="s">
        <v>122</v>
      </c>
      <c r="AK119" s="11" t="s">
        <v>123</v>
      </c>
      <c r="AL119" s="11" t="s">
        <v>124</v>
      </c>
      <c r="AM119" s="11" t="s">
        <v>125</v>
      </c>
    </row>
    <row r="120" customFormat="false" ht="15" hidden="false" customHeight="false" outlineLevel="0" collapsed="false">
      <c r="A120" s="9" t="s">
        <v>207</v>
      </c>
      <c r="B120" s="9" t="s">
        <v>208</v>
      </c>
      <c r="C120" s="9" t="s">
        <v>209</v>
      </c>
      <c r="D120" s="9" t="s">
        <v>210</v>
      </c>
      <c r="E120" s="9" t="n">
        <v>1</v>
      </c>
      <c r="F120" s="9" t="n">
        <v>1</v>
      </c>
      <c r="G120" s="9" t="n">
        <v>2011</v>
      </c>
      <c r="H120" s="10" t="n">
        <v>5388272</v>
      </c>
      <c r="I120" s="11" t="s">
        <v>98</v>
      </c>
      <c r="J120" s="11" t="s">
        <v>99</v>
      </c>
      <c r="K120" s="10" t="n">
        <v>243217</v>
      </c>
      <c r="L120" s="12" t="n">
        <f aca="false">IF(OR($H120="",K120=""),"",K120/$H120)</f>
        <v>0.0451382187090778</v>
      </c>
      <c r="M120" s="9" t="s">
        <v>115</v>
      </c>
      <c r="N120" s="11" t="s">
        <v>116</v>
      </c>
      <c r="O120" s="11" t="s">
        <v>211</v>
      </c>
      <c r="P120" s="11" t="s">
        <v>118</v>
      </c>
      <c r="Q120" s="10" t="n">
        <v>166627</v>
      </c>
      <c r="R120" s="12" t="n">
        <f aca="false">IF(OR($H120="",Q120=""),"",Q120/$H120)</f>
        <v>0.0309240142294227</v>
      </c>
      <c r="S120" s="9" t="s">
        <v>115</v>
      </c>
      <c r="T120" s="11" t="s">
        <v>119</v>
      </c>
      <c r="U120" s="11" t="s">
        <v>212</v>
      </c>
      <c r="V120" s="11" t="s">
        <v>121</v>
      </c>
      <c r="W120" s="10"/>
      <c r="X120" s="12"/>
      <c r="Y120" s="9"/>
      <c r="Z120" s="11"/>
      <c r="AA120" s="11"/>
      <c r="AB120" s="11"/>
      <c r="AC120" s="9"/>
      <c r="AD120" s="10"/>
      <c r="AE120" s="9"/>
      <c r="AF120" s="11"/>
      <c r="AG120" s="11"/>
      <c r="AH120" s="11"/>
      <c r="AI120" s="10" t="n">
        <v>3305</v>
      </c>
      <c r="AJ120" s="9" t="s">
        <v>122</v>
      </c>
      <c r="AK120" s="11" t="s">
        <v>123</v>
      </c>
      <c r="AL120" s="11" t="s">
        <v>124</v>
      </c>
      <c r="AM120" s="11" t="s">
        <v>125</v>
      </c>
    </row>
    <row r="121" customFormat="false" ht="15" hidden="false" customHeight="false" outlineLevel="0" collapsed="false">
      <c r="A121" s="9" t="s">
        <v>207</v>
      </c>
      <c r="B121" s="9" t="s">
        <v>208</v>
      </c>
      <c r="C121" s="9" t="s">
        <v>209</v>
      </c>
      <c r="D121" s="9" t="s">
        <v>210</v>
      </c>
      <c r="E121" s="9" t="n">
        <v>1</v>
      </c>
      <c r="F121" s="9" t="n">
        <v>1</v>
      </c>
      <c r="G121" s="9" t="n">
        <v>2012</v>
      </c>
      <c r="H121" s="10" t="n">
        <v>5413971</v>
      </c>
      <c r="I121" s="11" t="s">
        <v>98</v>
      </c>
      <c r="J121" s="11" t="s">
        <v>99</v>
      </c>
      <c r="K121" s="10" t="n">
        <v>260856</v>
      </c>
      <c r="L121" s="12" t="n">
        <f aca="false">IF(OR($H121="",K121=""),"",K121/$H121)</f>
        <v>0.0481820091020066</v>
      </c>
      <c r="M121" s="9" t="s">
        <v>115</v>
      </c>
      <c r="N121" s="11" t="s">
        <v>116</v>
      </c>
      <c r="O121" s="11" t="s">
        <v>211</v>
      </c>
      <c r="P121" s="11" t="s">
        <v>118</v>
      </c>
      <c r="Q121" s="10" t="n">
        <v>181697</v>
      </c>
      <c r="R121" s="12" t="n">
        <f aca="false">IF(OR($H121="",Q121=""),"",Q121/$H121)</f>
        <v>0.0335607634396269</v>
      </c>
      <c r="S121" s="9" t="s">
        <v>115</v>
      </c>
      <c r="T121" s="11" t="s">
        <v>119</v>
      </c>
      <c r="U121" s="11" t="s">
        <v>212</v>
      </c>
      <c r="V121" s="11" t="s">
        <v>121</v>
      </c>
      <c r="W121" s="10"/>
      <c r="X121" s="12"/>
      <c r="Y121" s="9"/>
      <c r="Z121" s="11"/>
      <c r="AA121" s="11"/>
      <c r="AB121" s="11"/>
      <c r="AC121" s="9"/>
      <c r="AD121" s="10"/>
      <c r="AE121" s="9"/>
      <c r="AF121" s="11"/>
      <c r="AG121" s="11"/>
      <c r="AH121" s="11"/>
      <c r="AI121" s="10" t="n">
        <v>3620</v>
      </c>
      <c r="AJ121" s="9" t="s">
        <v>122</v>
      </c>
      <c r="AK121" s="11" t="s">
        <v>123</v>
      </c>
      <c r="AL121" s="11" t="s">
        <v>124</v>
      </c>
      <c r="AM121" s="11" t="s">
        <v>125</v>
      </c>
    </row>
    <row r="122" customFormat="false" ht="15" hidden="false" customHeight="false" outlineLevel="0" collapsed="false">
      <c r="A122" s="9" t="s">
        <v>207</v>
      </c>
      <c r="B122" s="9" t="s">
        <v>208</v>
      </c>
      <c r="C122" s="9" t="s">
        <v>209</v>
      </c>
      <c r="D122" s="9" t="s">
        <v>210</v>
      </c>
      <c r="E122" s="9" t="n">
        <v>1</v>
      </c>
      <c r="F122" s="9" t="n">
        <v>1</v>
      </c>
      <c r="G122" s="9" t="n">
        <v>2013</v>
      </c>
      <c r="H122" s="10" t="n">
        <v>5438972</v>
      </c>
      <c r="I122" s="11" t="s">
        <v>98</v>
      </c>
      <c r="J122" s="11" t="s">
        <v>99</v>
      </c>
      <c r="K122" s="10" t="n">
        <v>279743</v>
      </c>
      <c r="L122" s="12" t="n">
        <f aca="false">IF(OR($H122="",K122=""),"",K122/$H122)</f>
        <v>0.0514330649247689</v>
      </c>
      <c r="M122" s="9" t="s">
        <v>115</v>
      </c>
      <c r="N122" s="11" t="s">
        <v>116</v>
      </c>
      <c r="O122" s="11" t="s">
        <v>211</v>
      </c>
      <c r="P122" s="11" t="s">
        <v>118</v>
      </c>
      <c r="Q122" s="10" t="n">
        <v>194250</v>
      </c>
      <c r="R122" s="12" t="n">
        <f aca="false">IF(OR($H122="",Q122=""),"",Q122/$H122)</f>
        <v>0.0357144695725589</v>
      </c>
      <c r="S122" s="9" t="s">
        <v>115</v>
      </c>
      <c r="T122" s="11" t="s">
        <v>119</v>
      </c>
      <c r="U122" s="11" t="s">
        <v>212</v>
      </c>
      <c r="V122" s="11" t="s">
        <v>121</v>
      </c>
      <c r="W122" s="10"/>
      <c r="X122" s="12"/>
      <c r="Y122" s="9"/>
      <c r="Z122" s="11"/>
      <c r="AA122" s="11"/>
      <c r="AB122" s="11"/>
      <c r="AC122" s="9"/>
      <c r="AD122" s="10"/>
      <c r="AE122" s="9"/>
      <c r="AF122" s="11"/>
      <c r="AG122" s="11"/>
      <c r="AH122" s="11"/>
      <c r="AI122" s="10" t="n">
        <v>3365</v>
      </c>
      <c r="AJ122" s="9" t="s">
        <v>122</v>
      </c>
      <c r="AK122" s="11" t="s">
        <v>123</v>
      </c>
      <c r="AL122" s="11" t="s">
        <v>124</v>
      </c>
      <c r="AM122" s="11" t="s">
        <v>125</v>
      </c>
    </row>
    <row r="123" customFormat="false" ht="15" hidden="false" customHeight="false" outlineLevel="0" collapsed="false">
      <c r="A123" s="9" t="s">
        <v>207</v>
      </c>
      <c r="B123" s="9" t="s">
        <v>208</v>
      </c>
      <c r="C123" s="9" t="s">
        <v>209</v>
      </c>
      <c r="D123" s="9" t="s">
        <v>210</v>
      </c>
      <c r="E123" s="9" t="n">
        <v>1</v>
      </c>
      <c r="F123" s="9" t="n">
        <v>1</v>
      </c>
      <c r="G123" s="9" t="n">
        <v>2014</v>
      </c>
      <c r="H123" s="10" t="n">
        <v>5461512</v>
      </c>
      <c r="I123" s="11" t="s">
        <v>98</v>
      </c>
      <c r="J123" s="11" t="s">
        <v>99</v>
      </c>
      <c r="K123" s="10" t="n">
        <v>297812</v>
      </c>
      <c r="L123" s="12" t="n">
        <f aca="false">IF(OR($H123="",K123=""),"",K123/$H123)</f>
        <v>0.0545292219443993</v>
      </c>
      <c r="M123" s="9" t="s">
        <v>115</v>
      </c>
      <c r="N123" s="11" t="s">
        <v>116</v>
      </c>
      <c r="O123" s="11" t="s">
        <v>211</v>
      </c>
      <c r="P123" s="11" t="s">
        <v>118</v>
      </c>
      <c r="Q123" s="10" t="n">
        <v>206168</v>
      </c>
      <c r="R123" s="12" t="n">
        <f aca="false">IF(OR($H123="",Q123=""),"",Q123/$H123)</f>
        <v>0.037749253320326</v>
      </c>
      <c r="S123" s="9" t="s">
        <v>115</v>
      </c>
      <c r="T123" s="11" t="s">
        <v>119</v>
      </c>
      <c r="U123" s="11" t="s">
        <v>212</v>
      </c>
      <c r="V123" s="11" t="s">
        <v>121</v>
      </c>
      <c r="W123" s="10"/>
      <c r="X123" s="12"/>
      <c r="Y123" s="9"/>
      <c r="Z123" s="11"/>
      <c r="AA123" s="11"/>
      <c r="AB123" s="11"/>
      <c r="AC123" s="9"/>
      <c r="AD123" s="10"/>
      <c r="AE123" s="9"/>
      <c r="AF123" s="11"/>
      <c r="AG123" s="11"/>
      <c r="AH123" s="11"/>
      <c r="AI123" s="10" t="n">
        <v>2930</v>
      </c>
      <c r="AJ123" s="9" t="s">
        <v>122</v>
      </c>
      <c r="AK123" s="11" t="s">
        <v>123</v>
      </c>
      <c r="AL123" s="11" t="s">
        <v>124</v>
      </c>
      <c r="AM123" s="11" t="s">
        <v>125</v>
      </c>
    </row>
    <row r="124" customFormat="false" ht="15" hidden="false" customHeight="false" outlineLevel="0" collapsed="false">
      <c r="A124" s="9" t="s">
        <v>207</v>
      </c>
      <c r="B124" s="9" t="s">
        <v>208</v>
      </c>
      <c r="C124" s="9" t="s">
        <v>209</v>
      </c>
      <c r="D124" s="9" t="s">
        <v>210</v>
      </c>
      <c r="E124" s="9" t="n">
        <v>1</v>
      </c>
      <c r="F124" s="9" t="n">
        <v>1</v>
      </c>
      <c r="G124" s="9" t="n">
        <v>2015</v>
      </c>
      <c r="H124" s="10" t="n">
        <v>5479531</v>
      </c>
      <c r="I124" s="11" t="s">
        <v>98</v>
      </c>
      <c r="J124" s="11" t="s">
        <v>99</v>
      </c>
      <c r="K124" s="10" t="n">
        <v>314856</v>
      </c>
      <c r="L124" s="12" t="n">
        <f aca="false">IF(OR($H124="",K124=""),"",K124/$H124)</f>
        <v>0.0574603921394003</v>
      </c>
      <c r="M124" s="9" t="s">
        <v>115</v>
      </c>
      <c r="N124" s="11" t="s">
        <v>116</v>
      </c>
      <c r="O124" s="11" t="s">
        <v>211</v>
      </c>
      <c r="P124" s="11" t="s">
        <v>118</v>
      </c>
      <c r="Q124" s="10" t="n">
        <v>218215</v>
      </c>
      <c r="R124" s="12" t="n">
        <f aca="false">IF(OR($H124="",Q124=""),"",Q124/$H124)</f>
        <v>0.0398236637405647</v>
      </c>
      <c r="S124" s="9" t="s">
        <v>115</v>
      </c>
      <c r="T124" s="11" t="s">
        <v>119</v>
      </c>
      <c r="U124" s="11" t="s">
        <v>212</v>
      </c>
      <c r="V124" s="11" t="s">
        <v>121</v>
      </c>
      <c r="W124" s="10"/>
      <c r="X124" s="12"/>
      <c r="Y124" s="9"/>
      <c r="Z124" s="11"/>
      <c r="AA124" s="11"/>
      <c r="AB124" s="11"/>
      <c r="AC124" s="9"/>
      <c r="AD124" s="10"/>
      <c r="AE124" s="9"/>
      <c r="AF124" s="11"/>
      <c r="AG124" s="11"/>
      <c r="AH124" s="11"/>
      <c r="AI124" s="10" t="n">
        <v>14285</v>
      </c>
      <c r="AJ124" s="9" t="s">
        <v>122</v>
      </c>
      <c r="AK124" s="11" t="s">
        <v>123</v>
      </c>
      <c r="AL124" s="11" t="s">
        <v>124</v>
      </c>
      <c r="AM124" s="11" t="s">
        <v>125</v>
      </c>
    </row>
    <row r="125" customFormat="false" ht="15" hidden="false" customHeight="false" outlineLevel="0" collapsed="false">
      <c r="A125" s="9" t="s">
        <v>207</v>
      </c>
      <c r="B125" s="9" t="s">
        <v>208</v>
      </c>
      <c r="C125" s="9" t="s">
        <v>209</v>
      </c>
      <c r="D125" s="9" t="s">
        <v>210</v>
      </c>
      <c r="E125" s="9" t="n">
        <v>1</v>
      </c>
      <c r="F125" s="9" t="n">
        <v>1</v>
      </c>
      <c r="G125" s="9" t="n">
        <v>2016</v>
      </c>
      <c r="H125" s="10" t="n">
        <v>5495303</v>
      </c>
      <c r="I125" s="11" t="s">
        <v>98</v>
      </c>
      <c r="J125" s="11" t="s">
        <v>99</v>
      </c>
      <c r="K125" s="10" t="n">
        <v>329219</v>
      </c>
      <c r="L125" s="12" t="n">
        <f aca="false">IF(OR($H125="",K125=""),"",K125/$H125)</f>
        <v>0.0599091624247107</v>
      </c>
      <c r="M125" s="9" t="s">
        <v>115</v>
      </c>
      <c r="N125" s="11" t="s">
        <v>116</v>
      </c>
      <c r="O125" s="11" t="s">
        <v>211</v>
      </c>
      <c r="P125" s="11" t="s">
        <v>118</v>
      </c>
      <c r="Q125" s="10" t="n">
        <v>228224</v>
      </c>
      <c r="R125" s="12" t="n">
        <f aca="false">IF(OR($H125="",Q125=""),"",Q125/$H125)</f>
        <v>0.041530739979215</v>
      </c>
      <c r="S125" s="9" t="s">
        <v>115</v>
      </c>
      <c r="T125" s="11" t="s">
        <v>119</v>
      </c>
      <c r="U125" s="11" t="s">
        <v>212</v>
      </c>
      <c r="V125" s="11" t="s">
        <v>121</v>
      </c>
      <c r="W125" s="10"/>
      <c r="X125" s="12"/>
      <c r="Y125" s="9"/>
      <c r="Z125" s="11"/>
      <c r="AA125" s="11"/>
      <c r="AB125" s="11"/>
      <c r="AC125" s="9"/>
      <c r="AD125" s="10"/>
      <c r="AE125" s="9"/>
      <c r="AF125" s="11"/>
      <c r="AG125" s="11"/>
      <c r="AH125" s="11"/>
      <c r="AI125" s="10" t="n">
        <v>2130</v>
      </c>
      <c r="AJ125" s="9" t="s">
        <v>122</v>
      </c>
      <c r="AK125" s="11" t="s">
        <v>123</v>
      </c>
      <c r="AL125" s="11" t="s">
        <v>124</v>
      </c>
      <c r="AM125" s="11" t="s">
        <v>125</v>
      </c>
    </row>
    <row r="126" customFormat="false" ht="15" hidden="false" customHeight="false" outlineLevel="0" collapsed="false">
      <c r="A126" s="9" t="s">
        <v>207</v>
      </c>
      <c r="B126" s="9" t="s">
        <v>208</v>
      </c>
      <c r="C126" s="9" t="s">
        <v>209</v>
      </c>
      <c r="D126" s="9" t="s">
        <v>210</v>
      </c>
      <c r="E126" s="9" t="n">
        <v>1</v>
      </c>
      <c r="F126" s="9" t="n">
        <v>1</v>
      </c>
      <c r="G126" s="9" t="n">
        <v>2017</v>
      </c>
      <c r="H126" s="10" t="n">
        <v>5508214</v>
      </c>
      <c r="I126" s="11" t="s">
        <v>98</v>
      </c>
      <c r="J126" s="11" t="s">
        <v>99</v>
      </c>
      <c r="K126" s="10" t="n">
        <v>348986</v>
      </c>
      <c r="L126" s="12" t="n">
        <f aca="false">IF(OR($H126="",K126=""),"",K126/$H126)</f>
        <v>0.0633573786348896</v>
      </c>
      <c r="M126" s="9" t="s">
        <v>115</v>
      </c>
      <c r="N126" s="11" t="s">
        <v>116</v>
      </c>
      <c r="O126" s="11" t="s">
        <v>211</v>
      </c>
      <c r="P126" s="11" t="s">
        <v>118</v>
      </c>
      <c r="Q126" s="10" t="n">
        <v>242003</v>
      </c>
      <c r="R126" s="12" t="n">
        <f aca="false">IF(OR($H126="",Q126=""),"",Q126/$H126)</f>
        <v>0.0439349306326878</v>
      </c>
      <c r="S126" s="9" t="s">
        <v>115</v>
      </c>
      <c r="T126" s="11" t="s">
        <v>119</v>
      </c>
      <c r="U126" s="11" t="s">
        <v>212</v>
      </c>
      <c r="V126" s="11" t="s">
        <v>121</v>
      </c>
      <c r="W126" s="10"/>
      <c r="X126" s="12"/>
      <c r="Y126" s="9"/>
      <c r="Z126" s="11"/>
      <c r="AA126" s="11"/>
      <c r="AB126" s="11"/>
      <c r="AC126" s="9"/>
      <c r="AD126" s="10"/>
      <c r="AE126" s="9"/>
      <c r="AF126" s="11"/>
      <c r="AG126" s="11"/>
      <c r="AH126" s="11"/>
      <c r="AI126" s="10" t="n">
        <v>930</v>
      </c>
      <c r="AJ126" s="9" t="s">
        <v>122</v>
      </c>
      <c r="AK126" s="11" t="s">
        <v>123</v>
      </c>
      <c r="AL126" s="11" t="s">
        <v>124</v>
      </c>
      <c r="AM126" s="11" t="s">
        <v>125</v>
      </c>
    </row>
    <row r="127" customFormat="false" ht="15" hidden="false" customHeight="false" outlineLevel="0" collapsed="false">
      <c r="A127" s="9" t="s">
        <v>207</v>
      </c>
      <c r="B127" s="9" t="s">
        <v>208</v>
      </c>
      <c r="C127" s="9" t="s">
        <v>209</v>
      </c>
      <c r="D127" s="9" t="s">
        <v>210</v>
      </c>
      <c r="E127" s="9" t="n">
        <v>1</v>
      </c>
      <c r="F127" s="9" t="n">
        <v>1</v>
      </c>
      <c r="G127" s="9" t="n">
        <v>2018</v>
      </c>
      <c r="H127" s="10" t="n">
        <v>5515525</v>
      </c>
      <c r="I127" s="11" t="s">
        <v>98</v>
      </c>
      <c r="J127" s="11" t="s">
        <v>99</v>
      </c>
      <c r="K127" s="10" t="n">
        <v>363717</v>
      </c>
      <c r="L127" s="12" t="n">
        <f aca="false">IF(OR($H127="",K127=""),"",K127/$H127)</f>
        <v>0.0659442210850282</v>
      </c>
      <c r="M127" s="9" t="s">
        <v>115</v>
      </c>
      <c r="N127" s="11" t="s">
        <v>116</v>
      </c>
      <c r="O127" s="11" t="s">
        <v>211</v>
      </c>
      <c r="P127" s="11" t="s">
        <v>118</v>
      </c>
      <c r="Q127" s="10" t="n">
        <v>247848</v>
      </c>
      <c r="R127" s="12" t="n">
        <f aca="false">IF(OR($H127="",Q127=""),"",Q127/$H127)</f>
        <v>0.0449364294423468</v>
      </c>
      <c r="S127" s="9" t="s">
        <v>115</v>
      </c>
      <c r="T127" s="11" t="s">
        <v>119</v>
      </c>
      <c r="U127" s="11" t="s">
        <v>212</v>
      </c>
      <c r="V127" s="11" t="s">
        <v>121</v>
      </c>
      <c r="W127" s="10"/>
      <c r="X127" s="12"/>
      <c r="Y127" s="9"/>
      <c r="Z127" s="11"/>
      <c r="AA127" s="11"/>
      <c r="AB127" s="11"/>
      <c r="AC127" s="9"/>
      <c r="AD127" s="10"/>
      <c r="AE127" s="9"/>
      <c r="AF127" s="11"/>
      <c r="AG127" s="11"/>
      <c r="AH127" s="11"/>
      <c r="AI127" s="10" t="n">
        <v>1305</v>
      </c>
      <c r="AJ127" s="9" t="s">
        <v>122</v>
      </c>
      <c r="AK127" s="11" t="s">
        <v>123</v>
      </c>
      <c r="AL127" s="11" t="s">
        <v>124</v>
      </c>
      <c r="AM127" s="11" t="s">
        <v>125</v>
      </c>
    </row>
    <row r="128" customFormat="false" ht="15" hidden="false" customHeight="false" outlineLevel="0" collapsed="false">
      <c r="A128" s="9" t="s">
        <v>207</v>
      </c>
      <c r="B128" s="9" t="s">
        <v>208</v>
      </c>
      <c r="C128" s="9" t="s">
        <v>209</v>
      </c>
      <c r="D128" s="9" t="s">
        <v>210</v>
      </c>
      <c r="E128" s="9" t="n">
        <v>1</v>
      </c>
      <c r="F128" s="9" t="n">
        <v>1</v>
      </c>
      <c r="G128" s="9" t="n">
        <v>2019</v>
      </c>
      <c r="H128" s="10" t="n">
        <v>5521606</v>
      </c>
      <c r="I128" s="11" t="s">
        <v>98</v>
      </c>
      <c r="J128" s="11" t="s">
        <v>99</v>
      </c>
      <c r="K128" s="10" t="n">
        <v>377360</v>
      </c>
      <c r="L128" s="12" t="n">
        <f aca="false">IF(OR($H128="",K128=""),"",K128/$H128)</f>
        <v>0.0683424351538303</v>
      </c>
      <c r="M128" s="9" t="s">
        <v>115</v>
      </c>
      <c r="N128" s="11" t="s">
        <v>116</v>
      </c>
      <c r="O128" s="11" t="s">
        <v>211</v>
      </c>
      <c r="P128" s="11" t="s">
        <v>118</v>
      </c>
      <c r="Q128" s="10" t="n">
        <v>256026</v>
      </c>
      <c r="R128" s="12" t="n">
        <f aca="false">IF(OR($H128="",Q128=""),"",Q128/$H128)</f>
        <v>0.0463680313300152</v>
      </c>
      <c r="S128" s="9" t="s">
        <v>115</v>
      </c>
      <c r="T128" s="11" t="s">
        <v>119</v>
      </c>
      <c r="U128" s="11" t="s">
        <v>212</v>
      </c>
      <c r="V128" s="11" t="s">
        <v>121</v>
      </c>
      <c r="W128" s="10"/>
      <c r="X128" s="12"/>
      <c r="Y128" s="9"/>
      <c r="Z128" s="11"/>
      <c r="AA128" s="11"/>
      <c r="AB128" s="11"/>
      <c r="AC128" s="9"/>
      <c r="AD128" s="10"/>
      <c r="AE128" s="9"/>
      <c r="AF128" s="11"/>
      <c r="AG128" s="11"/>
      <c r="AH128" s="11"/>
      <c r="AI128" s="10" t="n">
        <v>1220</v>
      </c>
      <c r="AJ128" s="9" t="s">
        <v>122</v>
      </c>
      <c r="AK128" s="11" t="s">
        <v>123</v>
      </c>
      <c r="AL128" s="11" t="s">
        <v>124</v>
      </c>
      <c r="AM128" s="11" t="s">
        <v>125</v>
      </c>
    </row>
    <row r="129" customFormat="false" ht="15" hidden="false" customHeight="false" outlineLevel="0" collapsed="false">
      <c r="A129" s="9" t="s">
        <v>207</v>
      </c>
      <c r="B129" s="9" t="s">
        <v>208</v>
      </c>
      <c r="C129" s="9" t="s">
        <v>209</v>
      </c>
      <c r="D129" s="9" t="s">
        <v>210</v>
      </c>
      <c r="E129" s="9" t="n">
        <v>1</v>
      </c>
      <c r="F129" s="9" t="n">
        <v>1</v>
      </c>
      <c r="G129" s="9" t="n">
        <v>2020</v>
      </c>
      <c r="H129" s="10" t="n">
        <v>5529543</v>
      </c>
      <c r="I129" s="11" t="s">
        <v>98</v>
      </c>
      <c r="J129" s="11" t="s">
        <v>99</v>
      </c>
      <c r="K129" s="10" t="n">
        <v>393555</v>
      </c>
      <c r="L129" s="12" t="n">
        <f aca="false">IF(OR($H129="",K129=""),"",K129/$H129)</f>
        <v>0.0711731511989327</v>
      </c>
      <c r="M129" s="9" t="s">
        <v>115</v>
      </c>
      <c r="N129" s="11" t="s">
        <v>116</v>
      </c>
      <c r="O129" s="11" t="s">
        <v>211</v>
      </c>
      <c r="P129" s="11" t="s">
        <v>118</v>
      </c>
      <c r="Q129" s="10" t="n">
        <v>266079</v>
      </c>
      <c r="R129" s="12" t="n">
        <f aca="false">IF(OR($H129="",Q129=""),"",Q129/$H129)</f>
        <v>0.0481195281418374</v>
      </c>
      <c r="S129" s="9" t="s">
        <v>115</v>
      </c>
      <c r="T129" s="11" t="s">
        <v>119</v>
      </c>
      <c r="U129" s="11" t="s">
        <v>212</v>
      </c>
      <c r="V129" s="11" t="s">
        <v>121</v>
      </c>
      <c r="W129" s="10"/>
      <c r="X129" s="12"/>
      <c r="Y129" s="9"/>
      <c r="Z129" s="11"/>
      <c r="AA129" s="11"/>
      <c r="AB129" s="11"/>
      <c r="AC129" s="9"/>
      <c r="AD129" s="10"/>
      <c r="AE129" s="9"/>
      <c r="AF129" s="11"/>
      <c r="AG129" s="11"/>
      <c r="AH129" s="11"/>
      <c r="AI129" s="10" t="n">
        <v>1145</v>
      </c>
      <c r="AJ129" s="9" t="s">
        <v>122</v>
      </c>
      <c r="AK129" s="11" t="s">
        <v>123</v>
      </c>
      <c r="AL129" s="11" t="s">
        <v>124</v>
      </c>
      <c r="AM129" s="11" t="s">
        <v>125</v>
      </c>
    </row>
    <row r="130" customFormat="false" ht="15" hidden="false" customHeight="false" outlineLevel="0" collapsed="false">
      <c r="A130" s="9" t="s">
        <v>207</v>
      </c>
      <c r="B130" s="9" t="s">
        <v>208</v>
      </c>
      <c r="C130" s="9" t="s">
        <v>209</v>
      </c>
      <c r="D130" s="9" t="s">
        <v>210</v>
      </c>
      <c r="E130" s="9" t="n">
        <v>1</v>
      </c>
      <c r="F130" s="9" t="n">
        <v>1</v>
      </c>
      <c r="G130" s="9" t="n">
        <v>2021</v>
      </c>
      <c r="H130" s="10" t="n">
        <v>5541017</v>
      </c>
      <c r="I130" s="11" t="s">
        <v>98</v>
      </c>
      <c r="J130" s="11" t="s">
        <v>99</v>
      </c>
      <c r="K130" s="10" t="n">
        <v>408676</v>
      </c>
      <c r="L130" s="12" t="n">
        <f aca="false">IF(OR($H130="",K130=""),"",K130/$H130)</f>
        <v>0.0737546916026426</v>
      </c>
      <c r="M130" s="9" t="s">
        <v>115</v>
      </c>
      <c r="N130" s="11" t="s">
        <v>116</v>
      </c>
      <c r="O130" s="11" t="s">
        <v>211</v>
      </c>
      <c r="P130" s="11" t="s">
        <v>118</v>
      </c>
      <c r="Q130" s="10" t="n">
        <v>277217</v>
      </c>
      <c r="R130" s="12" t="n">
        <f aca="false">IF(OR($H130="",Q130=""),"",Q130/$H130)</f>
        <v>0.0500299854701763</v>
      </c>
      <c r="S130" s="9" t="s">
        <v>115</v>
      </c>
      <c r="T130" s="11" t="s">
        <v>119</v>
      </c>
      <c r="U130" s="11" t="s">
        <v>212</v>
      </c>
      <c r="V130" s="11" t="s">
        <v>121</v>
      </c>
      <c r="W130" s="10"/>
      <c r="X130" s="12"/>
      <c r="Y130" s="9"/>
      <c r="Z130" s="11"/>
      <c r="AA130" s="11"/>
      <c r="AB130" s="11"/>
      <c r="AC130" s="9"/>
      <c r="AD130" s="10"/>
      <c r="AE130" s="9"/>
      <c r="AF130" s="11"/>
      <c r="AG130" s="11"/>
      <c r="AH130" s="11"/>
      <c r="AI130" s="10" t="n">
        <v>1090</v>
      </c>
      <c r="AJ130" s="9" t="s">
        <v>122</v>
      </c>
      <c r="AK130" s="11" t="s">
        <v>123</v>
      </c>
      <c r="AL130" s="11" t="s">
        <v>124</v>
      </c>
      <c r="AM130" s="11" t="s">
        <v>125</v>
      </c>
    </row>
    <row r="131" customFormat="false" ht="15" hidden="false" customHeight="false" outlineLevel="0" collapsed="false">
      <c r="A131" s="9" t="s">
        <v>207</v>
      </c>
      <c r="B131" s="9" t="s">
        <v>208</v>
      </c>
      <c r="C131" s="9" t="s">
        <v>209</v>
      </c>
      <c r="D131" s="9" t="s">
        <v>210</v>
      </c>
      <c r="E131" s="9" t="n">
        <v>1</v>
      </c>
      <c r="F131" s="9" t="n">
        <v>1</v>
      </c>
      <c r="G131" s="9" t="n">
        <v>2022</v>
      </c>
      <c r="H131" s="10" t="n">
        <v>5556106</v>
      </c>
      <c r="I131" s="11" t="s">
        <v>98</v>
      </c>
      <c r="J131" s="11" t="s">
        <v>99</v>
      </c>
      <c r="K131" s="10" t="n">
        <v>428409</v>
      </c>
      <c r="L131" s="12" t="n">
        <f aca="false">IF(OR($H131="",K131=""),"",K131/$H131)</f>
        <v>0.077105980339468</v>
      </c>
      <c r="M131" s="9" t="s">
        <v>115</v>
      </c>
      <c r="N131" s="11" t="s">
        <v>116</v>
      </c>
      <c r="O131" s="11" t="s">
        <v>211</v>
      </c>
      <c r="P131" s="11" t="s">
        <v>118</v>
      </c>
      <c r="Q131" s="10" t="n">
        <v>294638</v>
      </c>
      <c r="R131" s="12" t="n">
        <f aca="false">IF(OR($H131="",Q131=""),"",Q131/$H131)</f>
        <v>0.0530295858286361</v>
      </c>
      <c r="S131" s="9" t="s">
        <v>115</v>
      </c>
      <c r="T131" s="11" t="s">
        <v>119</v>
      </c>
      <c r="U131" s="11" t="s">
        <v>212</v>
      </c>
      <c r="V131" s="11" t="s">
        <v>121</v>
      </c>
      <c r="W131" s="10"/>
      <c r="X131" s="12"/>
      <c r="Y131" s="9"/>
      <c r="Z131" s="11"/>
      <c r="AA131" s="11"/>
      <c r="AB131" s="11"/>
      <c r="AC131" s="9"/>
      <c r="AD131" s="10"/>
      <c r="AE131" s="9"/>
      <c r="AF131" s="11"/>
      <c r="AG131" s="11"/>
      <c r="AH131" s="11"/>
      <c r="AI131" s="10" t="n">
        <v>1190</v>
      </c>
      <c r="AJ131" s="9" t="s">
        <v>122</v>
      </c>
      <c r="AK131" s="11" t="s">
        <v>123</v>
      </c>
      <c r="AL131" s="11" t="s">
        <v>124</v>
      </c>
      <c r="AM131" s="11" t="s">
        <v>125</v>
      </c>
    </row>
    <row r="132" customFormat="false" ht="15" hidden="false" customHeight="false" outlineLevel="0" collapsed="false">
      <c r="A132" s="9" t="s">
        <v>213</v>
      </c>
      <c r="B132" s="9" t="s">
        <v>214</v>
      </c>
      <c r="C132" s="9" t="s">
        <v>215</v>
      </c>
      <c r="D132" s="9" t="s">
        <v>216</v>
      </c>
      <c r="E132" s="9" t="n">
        <v>1</v>
      </c>
      <c r="F132" s="9" t="n">
        <v>1</v>
      </c>
      <c r="G132" s="9" t="n">
        <v>2010</v>
      </c>
      <c r="H132" s="10" t="n">
        <v>65026211</v>
      </c>
      <c r="I132" s="11" t="s">
        <v>98</v>
      </c>
      <c r="J132" s="11" t="s">
        <v>99</v>
      </c>
      <c r="K132" s="10" t="n">
        <v>7309986</v>
      </c>
      <c r="L132" s="12" t="n">
        <f aca="false">IF(OR($H132="",K132=""),"",K132/$H132)</f>
        <v>0.112415991760615</v>
      </c>
      <c r="M132" s="9" t="s">
        <v>115</v>
      </c>
      <c r="N132" s="11" t="s">
        <v>116</v>
      </c>
      <c r="O132" s="11" t="s">
        <v>217</v>
      </c>
      <c r="P132" s="11" t="s">
        <v>118</v>
      </c>
      <c r="Q132" s="10" t="n">
        <v>3824590</v>
      </c>
      <c r="R132" s="12" t="n">
        <f aca="false">IF(OR($H132="",Q132=""),"",Q132/$H132)</f>
        <v>0.0588161287761331</v>
      </c>
      <c r="S132" s="9" t="s">
        <v>115</v>
      </c>
      <c r="T132" s="11" t="s">
        <v>119</v>
      </c>
      <c r="U132" s="11" t="s">
        <v>218</v>
      </c>
      <c r="V132" s="11" t="s">
        <v>121</v>
      </c>
      <c r="W132" s="10"/>
      <c r="X132" s="12"/>
      <c r="Y132" s="9"/>
      <c r="Z132" s="11"/>
      <c r="AA132" s="11"/>
      <c r="AB132" s="11"/>
      <c r="AC132" s="9"/>
      <c r="AD132" s="10"/>
      <c r="AE132" s="9"/>
      <c r="AF132" s="11"/>
      <c r="AG132" s="11"/>
      <c r="AH132" s="11"/>
      <c r="AI132" s="10" t="n">
        <v>56220</v>
      </c>
      <c r="AJ132" s="9" t="s">
        <v>122</v>
      </c>
      <c r="AK132" s="11" t="s">
        <v>123</v>
      </c>
      <c r="AL132" s="11" t="s">
        <v>124</v>
      </c>
      <c r="AM132" s="11" t="s">
        <v>125</v>
      </c>
    </row>
    <row r="133" customFormat="false" ht="15" hidden="false" customHeight="false" outlineLevel="0" collapsed="false">
      <c r="A133" s="9" t="s">
        <v>213</v>
      </c>
      <c r="B133" s="9" t="s">
        <v>214</v>
      </c>
      <c r="C133" s="9" t="s">
        <v>215</v>
      </c>
      <c r="D133" s="9" t="s">
        <v>216</v>
      </c>
      <c r="E133" s="9" t="n">
        <v>1</v>
      </c>
      <c r="F133" s="9" t="n">
        <v>1</v>
      </c>
      <c r="G133" s="9" t="n">
        <v>2011</v>
      </c>
      <c r="H133" s="10" t="n">
        <v>65340830</v>
      </c>
      <c r="I133" s="11" t="s">
        <v>98</v>
      </c>
      <c r="J133" s="11" t="s">
        <v>99</v>
      </c>
      <c r="K133" s="10" t="n">
        <v>7335966</v>
      </c>
      <c r="L133" s="12" t="n">
        <f aca="false">IF(OR($H133="",K133=""),"",K133/$H133)</f>
        <v>0.112272311202658</v>
      </c>
      <c r="M133" s="9" t="s">
        <v>115</v>
      </c>
      <c r="N133" s="11" t="s">
        <v>116</v>
      </c>
      <c r="O133" s="11" t="s">
        <v>217</v>
      </c>
      <c r="P133" s="11" t="s">
        <v>118</v>
      </c>
      <c r="Q133" s="10" t="n">
        <v>3875096</v>
      </c>
      <c r="R133" s="12" t="n">
        <f aca="false">IF(OR($H133="",Q133=""),"",Q133/$H133)</f>
        <v>0.0593058888293889</v>
      </c>
      <c r="S133" s="9" t="s">
        <v>115</v>
      </c>
      <c r="T133" s="11" t="s">
        <v>119</v>
      </c>
      <c r="U133" s="11" t="s">
        <v>218</v>
      </c>
      <c r="V133" s="11" t="s">
        <v>121</v>
      </c>
      <c r="W133" s="10"/>
      <c r="X133" s="12"/>
      <c r="Y133" s="9"/>
      <c r="Z133" s="11"/>
      <c r="AA133" s="11"/>
      <c r="AB133" s="11"/>
      <c r="AC133" s="9"/>
      <c r="AD133" s="10"/>
      <c r="AE133" s="9"/>
      <c r="AF133" s="11"/>
      <c r="AG133" s="11"/>
      <c r="AH133" s="11"/>
      <c r="AI133" s="10" t="n">
        <v>57975</v>
      </c>
      <c r="AJ133" s="9" t="s">
        <v>122</v>
      </c>
      <c r="AK133" s="11" t="s">
        <v>123</v>
      </c>
      <c r="AL133" s="11" t="s">
        <v>124</v>
      </c>
      <c r="AM133" s="11" t="s">
        <v>125</v>
      </c>
    </row>
    <row r="134" customFormat="false" ht="15" hidden="false" customHeight="false" outlineLevel="0" collapsed="false">
      <c r="A134" s="9" t="s">
        <v>213</v>
      </c>
      <c r="B134" s="9" t="s">
        <v>214</v>
      </c>
      <c r="C134" s="9" t="s">
        <v>215</v>
      </c>
      <c r="D134" s="9" t="s">
        <v>216</v>
      </c>
      <c r="E134" s="9" t="n">
        <v>1</v>
      </c>
      <c r="F134" s="9" t="n">
        <v>1</v>
      </c>
      <c r="G134" s="9" t="n">
        <v>2012</v>
      </c>
      <c r="H134" s="10" t="n">
        <v>65657659</v>
      </c>
      <c r="I134" s="11" t="s">
        <v>98</v>
      </c>
      <c r="J134" s="11" t="s">
        <v>99</v>
      </c>
      <c r="K134" s="10" t="n">
        <v>7463157</v>
      </c>
      <c r="L134" s="12" t="n">
        <f aca="false">IF(OR($H134="",K134=""),"",K134/$H134)</f>
        <v>0.113667729152512</v>
      </c>
      <c r="M134" s="9" t="s">
        <v>115</v>
      </c>
      <c r="N134" s="11" t="s">
        <v>116</v>
      </c>
      <c r="O134" s="11" t="s">
        <v>217</v>
      </c>
      <c r="P134" s="11" t="s">
        <v>118</v>
      </c>
      <c r="Q134" s="10" t="n">
        <v>3944725</v>
      </c>
      <c r="R134" s="12" t="n">
        <f aca="false">IF(OR($H134="",Q134=""),"",Q134/$H134)</f>
        <v>0.0600801956706985</v>
      </c>
      <c r="S134" s="9" t="s">
        <v>115</v>
      </c>
      <c r="T134" s="11" t="s">
        <v>119</v>
      </c>
      <c r="U134" s="11" t="s">
        <v>218</v>
      </c>
      <c r="V134" s="11" t="s">
        <v>121</v>
      </c>
      <c r="W134" s="10"/>
      <c r="X134" s="12"/>
      <c r="Y134" s="9"/>
      <c r="Z134" s="11"/>
      <c r="AA134" s="11"/>
      <c r="AB134" s="11"/>
      <c r="AC134" s="9"/>
      <c r="AD134" s="10"/>
      <c r="AE134" s="9"/>
      <c r="AF134" s="11"/>
      <c r="AG134" s="11"/>
      <c r="AH134" s="11"/>
      <c r="AI134" s="10" t="n">
        <v>49760</v>
      </c>
      <c r="AJ134" s="9" t="s">
        <v>122</v>
      </c>
      <c r="AK134" s="11" t="s">
        <v>123</v>
      </c>
      <c r="AL134" s="11" t="s">
        <v>124</v>
      </c>
      <c r="AM134" s="11" t="s">
        <v>125</v>
      </c>
    </row>
    <row r="135" customFormat="false" ht="15" hidden="false" customHeight="false" outlineLevel="0" collapsed="false">
      <c r="A135" s="9" t="s">
        <v>213</v>
      </c>
      <c r="B135" s="9" t="s">
        <v>214</v>
      </c>
      <c r="C135" s="9" t="s">
        <v>215</v>
      </c>
      <c r="D135" s="9" t="s">
        <v>216</v>
      </c>
      <c r="E135" s="9" t="n">
        <v>1</v>
      </c>
      <c r="F135" s="9" t="n">
        <v>1</v>
      </c>
      <c r="G135" s="9" t="n">
        <v>2013</v>
      </c>
      <c r="H135" s="10" t="n">
        <v>65997932</v>
      </c>
      <c r="I135" s="11" t="s">
        <v>98</v>
      </c>
      <c r="J135" s="11" t="s">
        <v>99</v>
      </c>
      <c r="K135" s="10" t="n">
        <v>7543950</v>
      </c>
      <c r="L135" s="12" t="n">
        <f aca="false">IF(OR($H135="",K135=""),"",K135/$H135)</f>
        <v>0.114305854310708</v>
      </c>
      <c r="M135" s="9" t="s">
        <v>115</v>
      </c>
      <c r="N135" s="11" t="s">
        <v>116</v>
      </c>
      <c r="O135" s="11" t="s">
        <v>217</v>
      </c>
      <c r="P135" s="11" t="s">
        <v>118</v>
      </c>
      <c r="Q135" s="10" t="n">
        <v>4092106</v>
      </c>
      <c r="R135" s="12" t="n">
        <f aca="false">IF(OR($H135="",Q135=""),"",Q135/$H135)</f>
        <v>0.0620035488384697</v>
      </c>
      <c r="S135" s="9" t="s">
        <v>115</v>
      </c>
      <c r="T135" s="11" t="s">
        <v>119</v>
      </c>
      <c r="U135" s="11" t="s">
        <v>218</v>
      </c>
      <c r="V135" s="11" t="s">
        <v>121</v>
      </c>
      <c r="W135" s="10"/>
      <c r="X135" s="12"/>
      <c r="Y135" s="9"/>
      <c r="Z135" s="11"/>
      <c r="AA135" s="11"/>
      <c r="AB135" s="11"/>
      <c r="AC135" s="9"/>
      <c r="AD135" s="10"/>
      <c r="AE135" s="9"/>
      <c r="AF135" s="11"/>
      <c r="AG135" s="11"/>
      <c r="AH135" s="11"/>
      <c r="AI135" s="10" t="n">
        <v>48965</v>
      </c>
      <c r="AJ135" s="9" t="s">
        <v>122</v>
      </c>
      <c r="AK135" s="11" t="s">
        <v>123</v>
      </c>
      <c r="AL135" s="11" t="s">
        <v>124</v>
      </c>
      <c r="AM135" s="11" t="s">
        <v>125</v>
      </c>
    </row>
    <row r="136" customFormat="false" ht="15" hidden="false" customHeight="false" outlineLevel="0" collapsed="false">
      <c r="A136" s="9" t="s">
        <v>213</v>
      </c>
      <c r="B136" s="9" t="s">
        <v>214</v>
      </c>
      <c r="C136" s="9" t="s">
        <v>215</v>
      </c>
      <c r="D136" s="9" t="s">
        <v>216</v>
      </c>
      <c r="E136" s="9" t="n">
        <v>1</v>
      </c>
      <c r="F136" s="9" t="n">
        <v>1</v>
      </c>
      <c r="G136" s="9" t="n">
        <v>2014</v>
      </c>
      <c r="H136" s="10" t="n">
        <v>66312067</v>
      </c>
      <c r="I136" s="11" t="s">
        <v>98</v>
      </c>
      <c r="J136" s="11" t="s">
        <v>99</v>
      </c>
      <c r="K136" s="10" t="n">
        <v>7746520</v>
      </c>
      <c r="L136" s="12" t="n">
        <f aca="false">IF(OR($H136="",K136=""),"",K136/$H136)</f>
        <v>0.116819160530767</v>
      </c>
      <c r="M136" s="9" t="s">
        <v>115</v>
      </c>
      <c r="N136" s="11" t="s">
        <v>116</v>
      </c>
      <c r="O136" s="11" t="s">
        <v>217</v>
      </c>
      <c r="P136" s="11" t="s">
        <v>118</v>
      </c>
      <c r="Q136" s="10" t="n">
        <v>4227226</v>
      </c>
      <c r="R136" s="12" t="n">
        <f aca="false">IF(OR($H136="",Q136=""),"",Q136/$H136)</f>
        <v>0.0637474624339489</v>
      </c>
      <c r="S136" s="9" t="s">
        <v>115</v>
      </c>
      <c r="T136" s="11" t="s">
        <v>119</v>
      </c>
      <c r="U136" s="11" t="s">
        <v>218</v>
      </c>
      <c r="V136" s="11" t="s">
        <v>121</v>
      </c>
      <c r="W136" s="10" t="n">
        <v>250000</v>
      </c>
      <c r="X136" s="12" t="n">
        <f aca="false">IF(OR($H136="",W136=""),"",W136/$H136)</f>
        <v>0.00377005289248486</v>
      </c>
      <c r="Y136" s="9" t="s">
        <v>126</v>
      </c>
      <c r="Z136" s="11" t="s">
        <v>127</v>
      </c>
      <c r="AA136" s="11" t="s">
        <v>128</v>
      </c>
      <c r="AB136" s="11" t="s">
        <v>219</v>
      </c>
      <c r="AC136" s="9" t="n">
        <v>1</v>
      </c>
      <c r="AD136" s="10"/>
      <c r="AE136" s="9"/>
      <c r="AF136" s="11"/>
      <c r="AG136" s="11"/>
      <c r="AH136" s="11"/>
      <c r="AI136" s="10" t="n">
        <v>96375</v>
      </c>
      <c r="AJ136" s="9" t="s">
        <v>122</v>
      </c>
      <c r="AK136" s="11" t="s">
        <v>123</v>
      </c>
      <c r="AL136" s="11" t="s">
        <v>124</v>
      </c>
      <c r="AM136" s="11" t="s">
        <v>125</v>
      </c>
    </row>
    <row r="137" customFormat="false" ht="15" hidden="false" customHeight="false" outlineLevel="0" collapsed="false">
      <c r="A137" s="9" t="s">
        <v>213</v>
      </c>
      <c r="B137" s="9" t="s">
        <v>214</v>
      </c>
      <c r="C137" s="9" t="s">
        <v>215</v>
      </c>
      <c r="D137" s="9" t="s">
        <v>216</v>
      </c>
      <c r="E137" s="9" t="n">
        <v>1</v>
      </c>
      <c r="F137" s="9" t="n">
        <v>1</v>
      </c>
      <c r="G137" s="9" t="n">
        <v>2015</v>
      </c>
      <c r="H137" s="10" t="n">
        <v>66548272</v>
      </c>
      <c r="I137" s="11" t="s">
        <v>98</v>
      </c>
      <c r="J137" s="11" t="s">
        <v>99</v>
      </c>
      <c r="K137" s="10" t="n">
        <v>7915838</v>
      </c>
      <c r="L137" s="12" t="n">
        <f aca="false">IF(OR($H137="",K137=""),"",K137/$H137)</f>
        <v>0.118948813577008</v>
      </c>
      <c r="M137" s="9" t="s">
        <v>115</v>
      </c>
      <c r="N137" s="11" t="s">
        <v>116</v>
      </c>
      <c r="O137" s="11" t="s">
        <v>217</v>
      </c>
      <c r="P137" s="11" t="s">
        <v>118</v>
      </c>
      <c r="Q137" s="10" t="n">
        <v>4431376</v>
      </c>
      <c r="R137" s="12" t="n">
        <f aca="false">IF(OR($H137="",Q137=""),"",Q137/$H137)</f>
        <v>0.0665888965531667</v>
      </c>
      <c r="S137" s="9" t="s">
        <v>115</v>
      </c>
      <c r="T137" s="11" t="s">
        <v>119</v>
      </c>
      <c r="U137" s="11" t="s">
        <v>218</v>
      </c>
      <c r="V137" s="11" t="s">
        <v>121</v>
      </c>
      <c r="W137" s="10" t="n">
        <v>250000</v>
      </c>
      <c r="X137" s="12" t="n">
        <f aca="false">IF(OR($H137="",W137=""),"",W137/$H137)</f>
        <v>0.00375667154813577</v>
      </c>
      <c r="Y137" s="9" t="s">
        <v>126</v>
      </c>
      <c r="Z137" s="11" t="s">
        <v>127</v>
      </c>
      <c r="AA137" s="11" t="s">
        <v>128</v>
      </c>
      <c r="AB137" s="11" t="s">
        <v>219</v>
      </c>
      <c r="AC137" s="9" t="n">
        <v>1</v>
      </c>
      <c r="AD137" s="10"/>
      <c r="AE137" s="9"/>
      <c r="AF137" s="11"/>
      <c r="AG137" s="11"/>
      <c r="AH137" s="11"/>
      <c r="AI137" s="10" t="n">
        <v>109720</v>
      </c>
      <c r="AJ137" s="9" t="s">
        <v>122</v>
      </c>
      <c r="AK137" s="11" t="s">
        <v>123</v>
      </c>
      <c r="AL137" s="11" t="s">
        <v>124</v>
      </c>
      <c r="AM137" s="11" t="s">
        <v>125</v>
      </c>
    </row>
    <row r="138" customFormat="false" ht="15" hidden="false" customHeight="false" outlineLevel="0" collapsed="false">
      <c r="A138" s="9" t="s">
        <v>213</v>
      </c>
      <c r="B138" s="9" t="s">
        <v>214</v>
      </c>
      <c r="C138" s="9" t="s">
        <v>215</v>
      </c>
      <c r="D138" s="9" t="s">
        <v>216</v>
      </c>
      <c r="E138" s="9" t="n">
        <v>1</v>
      </c>
      <c r="F138" s="9" t="n">
        <v>1</v>
      </c>
      <c r="G138" s="9" t="n">
        <v>2016</v>
      </c>
      <c r="H138" s="10" t="n">
        <v>66724104</v>
      </c>
      <c r="I138" s="11" t="s">
        <v>98</v>
      </c>
      <c r="J138" s="11" t="s">
        <v>99</v>
      </c>
      <c r="K138" s="10" t="n">
        <v>8028227</v>
      </c>
      <c r="L138" s="12" t="n">
        <f aca="false">IF(OR($H138="",K138=""),"",K138/$H138)</f>
        <v>0.120319742322804</v>
      </c>
      <c r="M138" s="9" t="s">
        <v>115</v>
      </c>
      <c r="N138" s="11" t="s">
        <v>116</v>
      </c>
      <c r="O138" s="11" t="s">
        <v>217</v>
      </c>
      <c r="P138" s="11" t="s">
        <v>118</v>
      </c>
      <c r="Q138" s="10" t="n">
        <v>4544793</v>
      </c>
      <c r="R138" s="12" t="n">
        <f aca="false">IF(OR($H138="",Q138=""),"",Q138/$H138)</f>
        <v>0.0681132113816021</v>
      </c>
      <c r="S138" s="9" t="s">
        <v>115</v>
      </c>
      <c r="T138" s="11" t="s">
        <v>119</v>
      </c>
      <c r="U138" s="11" t="s">
        <v>218</v>
      </c>
      <c r="V138" s="11" t="s">
        <v>121</v>
      </c>
      <c r="W138" s="10" t="n">
        <v>350000</v>
      </c>
      <c r="X138" s="12" t="n">
        <f aca="false">IF(OR($H138="",W138=""),"",W138/$H138)</f>
        <v>0.00524548070364497</v>
      </c>
      <c r="Y138" s="9" t="s">
        <v>126</v>
      </c>
      <c r="Z138" s="11" t="s">
        <v>127</v>
      </c>
      <c r="AA138" s="11" t="s">
        <v>128</v>
      </c>
      <c r="AB138" s="11" t="s">
        <v>220</v>
      </c>
      <c r="AC138" s="9" t="n">
        <v>1</v>
      </c>
      <c r="AD138" s="10"/>
      <c r="AE138" s="9"/>
      <c r="AF138" s="11"/>
      <c r="AG138" s="11"/>
      <c r="AH138" s="11"/>
      <c r="AI138" s="10" t="n">
        <v>91985</v>
      </c>
      <c r="AJ138" s="9" t="s">
        <v>122</v>
      </c>
      <c r="AK138" s="11" t="s">
        <v>123</v>
      </c>
      <c r="AL138" s="11" t="s">
        <v>124</v>
      </c>
      <c r="AM138" s="11" t="s">
        <v>125</v>
      </c>
    </row>
    <row r="139" customFormat="false" ht="15" hidden="false" customHeight="false" outlineLevel="0" collapsed="false">
      <c r="A139" s="9" t="s">
        <v>213</v>
      </c>
      <c r="B139" s="9" t="s">
        <v>214</v>
      </c>
      <c r="C139" s="9" t="s">
        <v>215</v>
      </c>
      <c r="D139" s="9" t="s">
        <v>216</v>
      </c>
      <c r="E139" s="9" t="n">
        <v>1</v>
      </c>
      <c r="F139" s="9" t="n">
        <v>1</v>
      </c>
      <c r="G139" s="9" t="n">
        <v>2017</v>
      </c>
      <c r="H139" s="10" t="n">
        <v>66918020</v>
      </c>
      <c r="I139" s="11" t="s">
        <v>98</v>
      </c>
      <c r="J139" s="11" t="s">
        <v>99</v>
      </c>
      <c r="K139" s="10" t="n">
        <v>8098872</v>
      </c>
      <c r="L139" s="12" t="n">
        <f aca="false">IF(OR($H139="",K139=""),"",K139/$H139)</f>
        <v>0.121026772758668</v>
      </c>
      <c r="M139" s="9" t="s">
        <v>115</v>
      </c>
      <c r="N139" s="11" t="s">
        <v>116</v>
      </c>
      <c r="O139" s="11" t="s">
        <v>217</v>
      </c>
      <c r="P139" s="11" t="s">
        <v>118</v>
      </c>
      <c r="Q139" s="10" t="n">
        <v>4605669</v>
      </c>
      <c r="R139" s="12" t="n">
        <f aca="false">IF(OR($H139="",Q139=""),"",Q139/$H139)</f>
        <v>0.0688255420587758</v>
      </c>
      <c r="S139" s="9" t="s">
        <v>115</v>
      </c>
      <c r="T139" s="11" t="s">
        <v>119</v>
      </c>
      <c r="U139" s="11" t="s">
        <v>218</v>
      </c>
      <c r="V139" s="11" t="s">
        <v>121</v>
      </c>
      <c r="W139" s="10" t="n">
        <v>350000</v>
      </c>
      <c r="X139" s="12" t="n">
        <f aca="false">IF(OR($H139="",W139=""),"",W139/$H139)</f>
        <v>0.00523028027428188</v>
      </c>
      <c r="Y139" s="9" t="s">
        <v>126</v>
      </c>
      <c r="Z139" s="11" t="s">
        <v>127</v>
      </c>
      <c r="AA139" s="11" t="s">
        <v>128</v>
      </c>
      <c r="AB139" s="11" t="s">
        <v>220</v>
      </c>
      <c r="AC139" s="9" t="n">
        <v>1</v>
      </c>
      <c r="AD139" s="10"/>
      <c r="AE139" s="9"/>
      <c r="AF139" s="11"/>
      <c r="AG139" s="11"/>
      <c r="AH139" s="11"/>
      <c r="AI139" s="10" t="n">
        <v>115085</v>
      </c>
      <c r="AJ139" s="9" t="s">
        <v>122</v>
      </c>
      <c r="AK139" s="11" t="s">
        <v>123</v>
      </c>
      <c r="AL139" s="11" t="s">
        <v>124</v>
      </c>
      <c r="AM139" s="11" t="s">
        <v>125</v>
      </c>
    </row>
    <row r="140" customFormat="false" ht="15" hidden="false" customHeight="false" outlineLevel="0" collapsed="false">
      <c r="A140" s="9" t="s">
        <v>213</v>
      </c>
      <c r="B140" s="9" t="s">
        <v>214</v>
      </c>
      <c r="C140" s="9" t="s">
        <v>215</v>
      </c>
      <c r="D140" s="9" t="s">
        <v>216</v>
      </c>
      <c r="E140" s="9" t="n">
        <v>1</v>
      </c>
      <c r="F140" s="9" t="n">
        <v>1</v>
      </c>
      <c r="G140" s="9" t="n">
        <v>2018</v>
      </c>
      <c r="H140" s="10" t="n">
        <v>67158348</v>
      </c>
      <c r="I140" s="11" t="s">
        <v>98</v>
      </c>
      <c r="J140" s="11" t="s">
        <v>99</v>
      </c>
      <c r="K140" s="10" t="n">
        <v>8199663</v>
      </c>
      <c r="L140" s="12" t="n">
        <f aca="false">IF(OR($H140="",K140=""),"",K140/$H140)</f>
        <v>0.122094471412549</v>
      </c>
      <c r="M140" s="9" t="s">
        <v>115</v>
      </c>
      <c r="N140" s="11" t="s">
        <v>116</v>
      </c>
      <c r="O140" s="11" t="s">
        <v>217</v>
      </c>
      <c r="P140" s="11" t="s">
        <v>118</v>
      </c>
      <c r="Q140" s="10" t="n">
        <v>4950717</v>
      </c>
      <c r="R140" s="12" t="n">
        <f aca="false">IF(OR($H140="",Q140=""),"",Q140/$H140)</f>
        <v>0.0737170753515259</v>
      </c>
      <c r="S140" s="9" t="s">
        <v>115</v>
      </c>
      <c r="T140" s="11" t="s">
        <v>119</v>
      </c>
      <c r="U140" s="11" t="s">
        <v>218</v>
      </c>
      <c r="V140" s="11" t="s">
        <v>121</v>
      </c>
      <c r="W140" s="10"/>
      <c r="X140" s="12"/>
      <c r="Y140" s="9"/>
      <c r="Z140" s="11"/>
      <c r="AA140" s="11"/>
      <c r="AB140" s="11"/>
      <c r="AC140" s="9"/>
      <c r="AD140" s="10"/>
      <c r="AE140" s="9"/>
      <c r="AF140" s="11"/>
      <c r="AG140" s="11"/>
      <c r="AH140" s="11"/>
      <c r="AI140" s="10" t="n">
        <v>105880</v>
      </c>
      <c r="AJ140" s="9" t="s">
        <v>122</v>
      </c>
      <c r="AK140" s="11" t="s">
        <v>123</v>
      </c>
      <c r="AL140" s="11" t="s">
        <v>124</v>
      </c>
      <c r="AM140" s="11" t="s">
        <v>125</v>
      </c>
    </row>
    <row r="141" customFormat="false" ht="15" hidden="false" customHeight="false" outlineLevel="0" collapsed="false">
      <c r="A141" s="9" t="s">
        <v>213</v>
      </c>
      <c r="B141" s="9" t="s">
        <v>214</v>
      </c>
      <c r="C141" s="9" t="s">
        <v>215</v>
      </c>
      <c r="D141" s="9" t="s">
        <v>216</v>
      </c>
      <c r="E141" s="9" t="n">
        <v>1</v>
      </c>
      <c r="F141" s="9" t="n">
        <v>1</v>
      </c>
      <c r="G141" s="9" t="n">
        <v>2019</v>
      </c>
      <c r="H141" s="10" t="n">
        <v>67382061</v>
      </c>
      <c r="I141" s="11" t="s">
        <v>98</v>
      </c>
      <c r="J141" s="11" t="s">
        <v>99</v>
      </c>
      <c r="K141" s="10" t="n">
        <v>8368280</v>
      </c>
      <c r="L141" s="12" t="n">
        <f aca="false">IF(OR($H141="",K141=""),"",K141/$H141)</f>
        <v>0.124191511446941</v>
      </c>
      <c r="M141" s="9" t="s">
        <v>115</v>
      </c>
      <c r="N141" s="11" t="s">
        <v>116</v>
      </c>
      <c r="O141" s="11" t="s">
        <v>217</v>
      </c>
      <c r="P141" s="11" t="s">
        <v>118</v>
      </c>
      <c r="Q141" s="10" t="n">
        <v>5042171</v>
      </c>
      <c r="R141" s="12" t="n">
        <f aca="false">IF(OR($H141="",Q141=""),"",Q141/$H141)</f>
        <v>0.074829575189159</v>
      </c>
      <c r="S141" s="9" t="s">
        <v>115</v>
      </c>
      <c r="T141" s="11" t="s">
        <v>119</v>
      </c>
      <c r="U141" s="11" t="s">
        <v>218</v>
      </c>
      <c r="V141" s="11" t="s">
        <v>121</v>
      </c>
      <c r="W141" s="10"/>
      <c r="X141" s="12"/>
      <c r="Y141" s="9"/>
      <c r="Z141" s="11"/>
      <c r="AA141" s="11"/>
      <c r="AB141" s="11"/>
      <c r="AC141" s="9"/>
      <c r="AD141" s="10"/>
      <c r="AE141" s="9"/>
      <c r="AF141" s="11"/>
      <c r="AG141" s="11"/>
      <c r="AH141" s="11"/>
      <c r="AI141" s="10" t="n">
        <v>120455</v>
      </c>
      <c r="AJ141" s="9" t="s">
        <v>122</v>
      </c>
      <c r="AK141" s="11" t="s">
        <v>123</v>
      </c>
      <c r="AL141" s="11" t="s">
        <v>124</v>
      </c>
      <c r="AM141" s="11" t="s">
        <v>125</v>
      </c>
    </row>
    <row r="142" customFormat="false" ht="15" hidden="false" customHeight="false" outlineLevel="0" collapsed="false">
      <c r="A142" s="9" t="s">
        <v>213</v>
      </c>
      <c r="B142" s="9" t="s">
        <v>214</v>
      </c>
      <c r="C142" s="9" t="s">
        <v>215</v>
      </c>
      <c r="D142" s="9" t="s">
        <v>216</v>
      </c>
      <c r="E142" s="9" t="n">
        <v>1</v>
      </c>
      <c r="F142" s="9" t="n">
        <v>1</v>
      </c>
      <c r="G142" s="9" t="n">
        <v>2020</v>
      </c>
      <c r="H142" s="10" t="n">
        <v>67601110</v>
      </c>
      <c r="I142" s="11" t="s">
        <v>98</v>
      </c>
      <c r="J142" s="11" t="s">
        <v>99</v>
      </c>
      <c r="K142" s="10" t="n">
        <v>8473346</v>
      </c>
      <c r="L142" s="12" t="n">
        <f aca="false">IF(OR($H142="",K142=""),"",K142/$H142)</f>
        <v>0.125343296877818</v>
      </c>
      <c r="M142" s="9" t="s">
        <v>115</v>
      </c>
      <c r="N142" s="11" t="s">
        <v>116</v>
      </c>
      <c r="O142" s="11" t="s">
        <v>217</v>
      </c>
      <c r="P142" s="11" t="s">
        <v>118</v>
      </c>
      <c r="Q142" s="10" t="n">
        <v>5173605</v>
      </c>
      <c r="R142" s="12" t="n">
        <f aca="false">IF(OR($H142="",Q142=""),"",Q142/$H142)</f>
        <v>0.0765313616891794</v>
      </c>
      <c r="S142" s="9" t="s">
        <v>115</v>
      </c>
      <c r="T142" s="11" t="s">
        <v>119</v>
      </c>
      <c r="U142" s="11" t="s">
        <v>218</v>
      </c>
      <c r="V142" s="11" t="s">
        <v>121</v>
      </c>
      <c r="W142" s="10"/>
      <c r="X142" s="12"/>
      <c r="Y142" s="9"/>
      <c r="Z142" s="11"/>
      <c r="AA142" s="11"/>
      <c r="AB142" s="11"/>
      <c r="AC142" s="9"/>
      <c r="AD142" s="10"/>
      <c r="AE142" s="9"/>
      <c r="AF142" s="11"/>
      <c r="AG142" s="11"/>
      <c r="AH142" s="11"/>
      <c r="AI142" s="10" t="n">
        <v>103915</v>
      </c>
      <c r="AJ142" s="9" t="s">
        <v>122</v>
      </c>
      <c r="AK142" s="11" t="s">
        <v>123</v>
      </c>
      <c r="AL142" s="11" t="s">
        <v>124</v>
      </c>
      <c r="AM142" s="11" t="s">
        <v>125</v>
      </c>
    </row>
    <row r="143" customFormat="false" ht="15" hidden="false" customHeight="false" outlineLevel="0" collapsed="false">
      <c r="A143" s="9" t="s">
        <v>213</v>
      </c>
      <c r="B143" s="9" t="s">
        <v>214</v>
      </c>
      <c r="C143" s="9" t="s">
        <v>215</v>
      </c>
      <c r="D143" s="9" t="s">
        <v>216</v>
      </c>
      <c r="E143" s="9" t="n">
        <v>1</v>
      </c>
      <c r="F143" s="9" t="n">
        <v>1</v>
      </c>
      <c r="G143" s="9" t="n">
        <v>2021</v>
      </c>
      <c r="H143" s="10" t="n">
        <v>67842811</v>
      </c>
      <c r="I143" s="11" t="s">
        <v>98</v>
      </c>
      <c r="J143" s="11" t="s">
        <v>99</v>
      </c>
      <c r="K143" s="10" t="n">
        <v>8548924</v>
      </c>
      <c r="L143" s="12" t="n">
        <f aca="false">IF(OR($H143="",K143=""),"",K143/$H143)</f>
        <v>0.12601075742572</v>
      </c>
      <c r="M143" s="9" t="s">
        <v>115</v>
      </c>
      <c r="N143" s="11" t="s">
        <v>116</v>
      </c>
      <c r="O143" s="11" t="s">
        <v>217</v>
      </c>
      <c r="P143" s="11" t="s">
        <v>118</v>
      </c>
      <c r="Q143" s="10" t="n">
        <v>5302510</v>
      </c>
      <c r="R143" s="12" t="n">
        <f aca="false">IF(OR($H143="",Q143=""),"",Q143/$H143)</f>
        <v>0.0781587602553792</v>
      </c>
      <c r="S143" s="9" t="s">
        <v>115</v>
      </c>
      <c r="T143" s="11" t="s">
        <v>119</v>
      </c>
      <c r="U143" s="11" t="s">
        <v>218</v>
      </c>
      <c r="V143" s="11" t="s">
        <v>121</v>
      </c>
      <c r="W143" s="10"/>
      <c r="X143" s="12"/>
      <c r="Y143" s="9"/>
      <c r="Z143" s="11"/>
      <c r="AA143" s="11"/>
      <c r="AB143" s="11"/>
      <c r="AC143" s="9"/>
      <c r="AD143" s="10"/>
      <c r="AE143" s="9"/>
      <c r="AF143" s="11"/>
      <c r="AG143" s="11"/>
      <c r="AH143" s="11"/>
      <c r="AI143" s="10" t="n">
        <v>117265</v>
      </c>
      <c r="AJ143" s="9" t="s">
        <v>122</v>
      </c>
      <c r="AK143" s="11" t="s">
        <v>123</v>
      </c>
      <c r="AL143" s="11" t="s">
        <v>124</v>
      </c>
      <c r="AM143" s="11" t="s">
        <v>125</v>
      </c>
    </row>
    <row r="144" customFormat="false" ht="15" hidden="false" customHeight="false" outlineLevel="0" collapsed="false">
      <c r="A144" s="9" t="s">
        <v>213</v>
      </c>
      <c r="B144" s="9" t="s">
        <v>214</v>
      </c>
      <c r="C144" s="9" t="s">
        <v>215</v>
      </c>
      <c r="D144" s="9" t="s">
        <v>216</v>
      </c>
      <c r="E144" s="9" t="n">
        <v>1</v>
      </c>
      <c r="F144" s="9" t="n">
        <v>1</v>
      </c>
      <c r="G144" s="9" t="n">
        <v>2022</v>
      </c>
      <c r="H144" s="10" t="n">
        <v>68184457</v>
      </c>
      <c r="I144" s="11" t="s">
        <v>98</v>
      </c>
      <c r="J144" s="11" t="s">
        <v>99</v>
      </c>
      <c r="K144" s="10" t="n">
        <v>8635504</v>
      </c>
      <c r="L144" s="12" t="n">
        <f aca="false">IF(OR($H144="",K144=""),"",K144/$H144)</f>
        <v>0.126649157006559</v>
      </c>
      <c r="M144" s="9" t="s">
        <v>115</v>
      </c>
      <c r="N144" s="11" t="s">
        <v>116</v>
      </c>
      <c r="O144" s="11" t="s">
        <v>217</v>
      </c>
      <c r="P144" s="11" t="s">
        <v>118</v>
      </c>
      <c r="Q144" s="10" t="n">
        <v>5458039</v>
      </c>
      <c r="R144" s="12" t="n">
        <f aca="false">IF(OR($H144="",Q144=""),"",Q144/$H144)</f>
        <v>0.0800481405901641</v>
      </c>
      <c r="S144" s="9" t="s">
        <v>115</v>
      </c>
      <c r="T144" s="11" t="s">
        <v>119</v>
      </c>
      <c r="U144" s="11" t="s">
        <v>218</v>
      </c>
      <c r="V144" s="11" t="s">
        <v>121</v>
      </c>
      <c r="W144" s="10"/>
      <c r="X144" s="12"/>
      <c r="Y144" s="9"/>
      <c r="Z144" s="11"/>
      <c r="AA144" s="11"/>
      <c r="AB144" s="11"/>
      <c r="AC144" s="9"/>
      <c r="AD144" s="10"/>
      <c r="AE144" s="9"/>
      <c r="AF144" s="11"/>
      <c r="AG144" s="11"/>
      <c r="AH144" s="11"/>
      <c r="AI144" s="10" t="n">
        <v>115135</v>
      </c>
      <c r="AJ144" s="9" t="s">
        <v>122</v>
      </c>
      <c r="AK144" s="11" t="s">
        <v>123</v>
      </c>
      <c r="AL144" s="11" t="s">
        <v>124</v>
      </c>
      <c r="AM144" s="11" t="s">
        <v>125</v>
      </c>
    </row>
    <row r="145" customFormat="false" ht="15" hidden="false" customHeight="false" outlineLevel="0" collapsed="false">
      <c r="A145" s="9" t="s">
        <v>221</v>
      </c>
      <c r="B145" s="9" t="s">
        <v>222</v>
      </c>
      <c r="C145" s="9" t="s">
        <v>223</v>
      </c>
      <c r="D145" s="9" t="s">
        <v>224</v>
      </c>
      <c r="E145" s="9" t="n">
        <v>1</v>
      </c>
      <c r="F145" s="9" t="n">
        <v>1</v>
      </c>
      <c r="G145" s="9" t="n">
        <v>2010</v>
      </c>
      <c r="H145" s="10" t="n">
        <v>81776930</v>
      </c>
      <c r="I145" s="11" t="s">
        <v>98</v>
      </c>
      <c r="J145" s="11" t="s">
        <v>99</v>
      </c>
      <c r="K145" s="10" t="n">
        <v>9812263</v>
      </c>
      <c r="L145" s="12" t="n">
        <f aca="false">IF(OR($H145="",K145=""),"",K145/$H145)</f>
        <v>0.119988155583732</v>
      </c>
      <c r="M145" s="9" t="s">
        <v>115</v>
      </c>
      <c r="N145" s="11" t="s">
        <v>116</v>
      </c>
      <c r="O145" s="11" t="s">
        <v>225</v>
      </c>
      <c r="P145" s="11" t="s">
        <v>118</v>
      </c>
      <c r="Q145" s="10" t="n">
        <v>7130919</v>
      </c>
      <c r="R145" s="12" t="n">
        <f aca="false">IF(OR($H145="",Q145=""),"",Q145/$H145)</f>
        <v>0.0871996417571557</v>
      </c>
      <c r="S145" s="9" t="s">
        <v>115</v>
      </c>
      <c r="T145" s="11" t="s">
        <v>119</v>
      </c>
      <c r="U145" s="11" t="s">
        <v>226</v>
      </c>
      <c r="V145" s="11" t="s">
        <v>121</v>
      </c>
      <c r="W145" s="10"/>
      <c r="X145" s="12"/>
      <c r="Y145" s="9"/>
      <c r="Z145" s="11"/>
      <c r="AA145" s="11"/>
      <c r="AB145" s="11"/>
      <c r="AC145" s="9"/>
      <c r="AD145" s="10"/>
      <c r="AE145" s="9"/>
      <c r="AF145" s="11"/>
      <c r="AG145" s="11"/>
      <c r="AH145" s="11"/>
      <c r="AI145" s="10" t="n">
        <v>50250</v>
      </c>
      <c r="AJ145" s="9" t="s">
        <v>122</v>
      </c>
      <c r="AK145" s="11" t="s">
        <v>123</v>
      </c>
      <c r="AL145" s="11" t="s">
        <v>124</v>
      </c>
      <c r="AM145" s="11" t="s">
        <v>125</v>
      </c>
    </row>
    <row r="146" customFormat="false" ht="15" hidden="false" customHeight="false" outlineLevel="0" collapsed="false">
      <c r="A146" s="9" t="s">
        <v>221</v>
      </c>
      <c r="B146" s="9" t="s">
        <v>222</v>
      </c>
      <c r="C146" s="9" t="s">
        <v>223</v>
      </c>
      <c r="D146" s="9" t="s">
        <v>224</v>
      </c>
      <c r="E146" s="9" t="n">
        <v>1</v>
      </c>
      <c r="F146" s="9" t="n">
        <v>1</v>
      </c>
      <c r="G146" s="9" t="n">
        <v>2011</v>
      </c>
      <c r="H146" s="10" t="n">
        <v>80274983</v>
      </c>
      <c r="I146" s="11" t="s">
        <v>98</v>
      </c>
      <c r="J146" s="11" t="s">
        <v>99</v>
      </c>
      <c r="K146" s="10" t="n">
        <v>8935603</v>
      </c>
      <c r="L146" s="12" t="n">
        <f aca="false">IF(OR($H146="",K146=""),"",K146/$H146)</f>
        <v>0.111312424694005</v>
      </c>
      <c r="M146" s="9" t="s">
        <v>115</v>
      </c>
      <c r="N146" s="11" t="s">
        <v>116</v>
      </c>
      <c r="O146" s="11" t="s">
        <v>225</v>
      </c>
      <c r="P146" s="11" t="s">
        <v>200</v>
      </c>
      <c r="Q146" s="10" t="n">
        <v>6107216</v>
      </c>
      <c r="R146" s="12" t="n">
        <f aca="false">IF(OR($H146="",Q146=""),"",Q146/$H146)</f>
        <v>0.0760786956504245</v>
      </c>
      <c r="S146" s="9" t="s">
        <v>115</v>
      </c>
      <c r="T146" s="11" t="s">
        <v>119</v>
      </c>
      <c r="U146" s="11" t="s">
        <v>226</v>
      </c>
      <c r="V146" s="11" t="s">
        <v>144</v>
      </c>
      <c r="W146" s="10"/>
      <c r="X146" s="12"/>
      <c r="Y146" s="9"/>
      <c r="Z146" s="11"/>
      <c r="AA146" s="11"/>
      <c r="AB146" s="11"/>
      <c r="AC146" s="9"/>
      <c r="AD146" s="10"/>
      <c r="AE146" s="9"/>
      <c r="AF146" s="11"/>
      <c r="AG146" s="11"/>
      <c r="AH146" s="11"/>
      <c r="AI146" s="10" t="n">
        <v>56345</v>
      </c>
      <c r="AJ146" s="9" t="s">
        <v>122</v>
      </c>
      <c r="AK146" s="11" t="s">
        <v>123</v>
      </c>
      <c r="AL146" s="11" t="s">
        <v>124</v>
      </c>
      <c r="AM146" s="11" t="s">
        <v>125</v>
      </c>
    </row>
    <row r="147" customFormat="false" ht="15" hidden="false" customHeight="false" outlineLevel="0" collapsed="false">
      <c r="A147" s="9" t="s">
        <v>221</v>
      </c>
      <c r="B147" s="9" t="s">
        <v>222</v>
      </c>
      <c r="C147" s="9" t="s">
        <v>223</v>
      </c>
      <c r="D147" s="9" t="s">
        <v>224</v>
      </c>
      <c r="E147" s="9" t="n">
        <v>1</v>
      </c>
      <c r="F147" s="9" t="n">
        <v>1</v>
      </c>
      <c r="G147" s="9" t="n">
        <v>2012</v>
      </c>
      <c r="H147" s="10" t="n">
        <v>80425823</v>
      </c>
      <c r="I147" s="11" t="s">
        <v>98</v>
      </c>
      <c r="J147" s="11" t="s">
        <v>99</v>
      </c>
      <c r="K147" s="10" t="n">
        <v>9117874</v>
      </c>
      <c r="L147" s="12" t="n">
        <f aca="false">IF(OR($H147="",K147=""),"",K147/$H147)</f>
        <v>0.11336998068394</v>
      </c>
      <c r="M147" s="9" t="s">
        <v>115</v>
      </c>
      <c r="N147" s="11" t="s">
        <v>116</v>
      </c>
      <c r="O147" s="11" t="s">
        <v>225</v>
      </c>
      <c r="P147" s="11" t="s">
        <v>118</v>
      </c>
      <c r="Q147" s="10" t="n">
        <v>6342394</v>
      </c>
      <c r="R147" s="12" t="n">
        <f aca="false">IF(OR($H147="",Q147=""),"",Q147/$H147)</f>
        <v>0.0788601690777849</v>
      </c>
      <c r="S147" s="9" t="s">
        <v>115</v>
      </c>
      <c r="T147" s="11" t="s">
        <v>119</v>
      </c>
      <c r="U147" s="11" t="s">
        <v>226</v>
      </c>
      <c r="V147" s="11" t="s">
        <v>121</v>
      </c>
      <c r="W147" s="10"/>
      <c r="X147" s="12"/>
      <c r="Y147" s="9"/>
      <c r="Z147" s="11"/>
      <c r="AA147" s="11"/>
      <c r="AB147" s="11"/>
      <c r="AC147" s="9"/>
      <c r="AD147" s="10"/>
      <c r="AE147" s="9"/>
      <c r="AF147" s="11"/>
      <c r="AG147" s="11"/>
      <c r="AH147" s="11"/>
      <c r="AI147" s="10" t="n">
        <v>64815</v>
      </c>
      <c r="AJ147" s="9" t="s">
        <v>122</v>
      </c>
      <c r="AK147" s="11" t="s">
        <v>123</v>
      </c>
      <c r="AL147" s="11" t="s">
        <v>124</v>
      </c>
      <c r="AM147" s="11" t="s">
        <v>125</v>
      </c>
    </row>
    <row r="148" customFormat="false" ht="15" hidden="false" customHeight="false" outlineLevel="0" collapsed="false">
      <c r="A148" s="9" t="s">
        <v>221</v>
      </c>
      <c r="B148" s="9" t="s">
        <v>222</v>
      </c>
      <c r="C148" s="9" t="s">
        <v>223</v>
      </c>
      <c r="D148" s="9" t="s">
        <v>224</v>
      </c>
      <c r="E148" s="9" t="n">
        <v>1</v>
      </c>
      <c r="F148" s="9" t="n">
        <v>1</v>
      </c>
      <c r="G148" s="9" t="n">
        <v>2013</v>
      </c>
      <c r="H148" s="10" t="n">
        <v>80645605</v>
      </c>
      <c r="I148" s="11" t="s">
        <v>98</v>
      </c>
      <c r="J148" s="11" t="s">
        <v>99</v>
      </c>
      <c r="K148" s="10" t="n">
        <v>9456225</v>
      </c>
      <c r="L148" s="12" t="n">
        <f aca="false">IF(OR($H148="",K148=""),"",K148/$H148)</f>
        <v>0.11725654485449</v>
      </c>
      <c r="M148" s="9" t="s">
        <v>115</v>
      </c>
      <c r="N148" s="11" t="s">
        <v>116</v>
      </c>
      <c r="O148" s="11" t="s">
        <v>225</v>
      </c>
      <c r="P148" s="11" t="s">
        <v>118</v>
      </c>
      <c r="Q148" s="10" t="n">
        <v>6643699</v>
      </c>
      <c r="R148" s="12" t="n">
        <f aca="false">IF(OR($H148="",Q148=""),"",Q148/$H148)</f>
        <v>0.0823814143374583</v>
      </c>
      <c r="S148" s="9" t="s">
        <v>115</v>
      </c>
      <c r="T148" s="11" t="s">
        <v>119</v>
      </c>
      <c r="U148" s="11" t="s">
        <v>226</v>
      </c>
      <c r="V148" s="11" t="s">
        <v>121</v>
      </c>
      <c r="W148" s="10"/>
      <c r="X148" s="12"/>
      <c r="Y148" s="9"/>
      <c r="Z148" s="11"/>
      <c r="AA148" s="11"/>
      <c r="AB148" s="11"/>
      <c r="AC148" s="9"/>
      <c r="AD148" s="10"/>
      <c r="AE148" s="9"/>
      <c r="AF148" s="11"/>
      <c r="AG148" s="11"/>
      <c r="AH148" s="11"/>
      <c r="AI148" s="10" t="n">
        <v>86305</v>
      </c>
      <c r="AJ148" s="9" t="s">
        <v>122</v>
      </c>
      <c r="AK148" s="11" t="s">
        <v>123</v>
      </c>
      <c r="AL148" s="11" t="s">
        <v>124</v>
      </c>
      <c r="AM148" s="11" t="s">
        <v>125</v>
      </c>
    </row>
    <row r="149" customFormat="false" ht="15" hidden="false" customHeight="false" outlineLevel="0" collapsed="false">
      <c r="A149" s="9" t="s">
        <v>221</v>
      </c>
      <c r="B149" s="9" t="s">
        <v>222</v>
      </c>
      <c r="C149" s="9" t="s">
        <v>223</v>
      </c>
      <c r="D149" s="9" t="s">
        <v>224</v>
      </c>
      <c r="E149" s="9" t="n">
        <v>1</v>
      </c>
      <c r="F149" s="9" t="n">
        <v>1</v>
      </c>
      <c r="G149" s="9" t="n">
        <v>2014</v>
      </c>
      <c r="H149" s="10" t="n">
        <v>80982500</v>
      </c>
      <c r="I149" s="11" t="s">
        <v>98</v>
      </c>
      <c r="J149" s="11" t="s">
        <v>99</v>
      </c>
      <c r="K149" s="10" t="n">
        <v>9807877</v>
      </c>
      <c r="L149" s="12" t="n">
        <f aca="false">IF(OR($H149="",K149=""),"",K149/$H149)</f>
        <v>0.121111067205878</v>
      </c>
      <c r="M149" s="9" t="s">
        <v>115</v>
      </c>
      <c r="N149" s="11" t="s">
        <v>116</v>
      </c>
      <c r="O149" s="11" t="s">
        <v>225</v>
      </c>
      <c r="P149" s="11" t="s">
        <v>118</v>
      </c>
      <c r="Q149" s="10" t="n">
        <v>7015236</v>
      </c>
      <c r="R149" s="12" t="n">
        <f aca="false">IF(OR($H149="",Q149=""),"",Q149/$H149)</f>
        <v>0.0866265674682802</v>
      </c>
      <c r="S149" s="9" t="s">
        <v>115</v>
      </c>
      <c r="T149" s="11" t="s">
        <v>119</v>
      </c>
      <c r="U149" s="11" t="s">
        <v>226</v>
      </c>
      <c r="V149" s="11" t="s">
        <v>121</v>
      </c>
      <c r="W149" s="10" t="n">
        <v>550000</v>
      </c>
      <c r="X149" s="12" t="n">
        <f aca="false">IF(OR($H149="",W149=""),"",W149/$H149)</f>
        <v>0.00679159077578489</v>
      </c>
      <c r="Y149" s="9" t="s">
        <v>126</v>
      </c>
      <c r="Z149" s="11" t="s">
        <v>127</v>
      </c>
      <c r="AA149" s="11" t="s">
        <v>128</v>
      </c>
      <c r="AB149" s="11" t="s">
        <v>227</v>
      </c>
      <c r="AC149" s="9" t="n">
        <v>2</v>
      </c>
      <c r="AD149" s="10"/>
      <c r="AE149" s="9"/>
      <c r="AF149" s="11"/>
      <c r="AG149" s="11"/>
      <c r="AH149" s="11"/>
      <c r="AI149" s="10" t="n">
        <v>128290</v>
      </c>
      <c r="AJ149" s="9" t="s">
        <v>122</v>
      </c>
      <c r="AK149" s="11" t="s">
        <v>123</v>
      </c>
      <c r="AL149" s="11" t="s">
        <v>124</v>
      </c>
      <c r="AM149" s="11" t="s">
        <v>125</v>
      </c>
    </row>
    <row r="150" customFormat="false" ht="15" hidden="false" customHeight="false" outlineLevel="0" collapsed="false">
      <c r="A150" s="9" t="s">
        <v>221</v>
      </c>
      <c r="B150" s="9" t="s">
        <v>222</v>
      </c>
      <c r="C150" s="9" t="s">
        <v>223</v>
      </c>
      <c r="D150" s="9" t="s">
        <v>224</v>
      </c>
      <c r="E150" s="9" t="n">
        <v>1</v>
      </c>
      <c r="F150" s="9" t="n">
        <v>1</v>
      </c>
      <c r="G150" s="9" t="n">
        <v>2015</v>
      </c>
      <c r="H150" s="10" t="n">
        <v>81686611</v>
      </c>
      <c r="I150" s="11" t="s">
        <v>98</v>
      </c>
      <c r="J150" s="11" t="s">
        <v>99</v>
      </c>
      <c r="K150" s="10" t="n">
        <v>10220418</v>
      </c>
      <c r="L150" s="12" t="n">
        <f aca="false">IF(OR($H150="",K150=""),"",K150/$H150)</f>
        <v>0.125117419793557</v>
      </c>
      <c r="M150" s="9" t="s">
        <v>115</v>
      </c>
      <c r="N150" s="11" t="s">
        <v>116</v>
      </c>
      <c r="O150" s="11" t="s">
        <v>225</v>
      </c>
      <c r="P150" s="11" t="s">
        <v>118</v>
      </c>
      <c r="Q150" s="10" t="n">
        <v>7539774</v>
      </c>
      <c r="R150" s="12" t="n">
        <f aca="false">IF(OR($H150="",Q150=""),"",Q150/$H150)</f>
        <v>0.0923012217999839</v>
      </c>
      <c r="S150" s="9" t="s">
        <v>115</v>
      </c>
      <c r="T150" s="11" t="s">
        <v>119</v>
      </c>
      <c r="U150" s="11" t="s">
        <v>226</v>
      </c>
      <c r="V150" s="11" t="s">
        <v>121</v>
      </c>
      <c r="W150" s="10" t="n">
        <v>900000</v>
      </c>
      <c r="X150" s="12" t="n">
        <f aca="false">IF(OR($H150="",W150=""),"",W150/$H150)</f>
        <v>0.0110177174567813</v>
      </c>
      <c r="Y150" s="9" t="s">
        <v>126</v>
      </c>
      <c r="Z150" s="11" t="s">
        <v>127</v>
      </c>
      <c r="AA150" s="11" t="s">
        <v>128</v>
      </c>
      <c r="AB150" s="11" t="s">
        <v>228</v>
      </c>
      <c r="AC150" s="9" t="n">
        <v>1</v>
      </c>
      <c r="AD150" s="10"/>
      <c r="AE150" s="9"/>
      <c r="AF150" s="11"/>
      <c r="AG150" s="11"/>
      <c r="AH150" s="11"/>
      <c r="AI150" s="10" t="n">
        <v>376435</v>
      </c>
      <c r="AJ150" s="9" t="s">
        <v>122</v>
      </c>
      <c r="AK150" s="11" t="s">
        <v>123</v>
      </c>
      <c r="AL150" s="11" t="s">
        <v>124</v>
      </c>
      <c r="AM150" s="11" t="s">
        <v>125</v>
      </c>
    </row>
    <row r="151" customFormat="false" ht="15" hidden="false" customHeight="false" outlineLevel="0" collapsed="false">
      <c r="A151" s="9" t="s">
        <v>221</v>
      </c>
      <c r="B151" s="9" t="s">
        <v>222</v>
      </c>
      <c r="C151" s="9" t="s">
        <v>223</v>
      </c>
      <c r="D151" s="9" t="s">
        <v>224</v>
      </c>
      <c r="E151" s="9" t="n">
        <v>1</v>
      </c>
      <c r="F151" s="9" t="n">
        <v>1</v>
      </c>
      <c r="G151" s="9" t="n">
        <v>2016</v>
      </c>
      <c r="H151" s="10" t="n">
        <v>82348669</v>
      </c>
      <c r="I151" s="11" t="s">
        <v>98</v>
      </c>
      <c r="J151" s="11" t="s">
        <v>99</v>
      </c>
      <c r="K151" s="10" t="n">
        <v>10908255</v>
      </c>
      <c r="L151" s="12" t="n">
        <f aca="false">IF(OR($H151="",K151=""),"",K151/$H151)</f>
        <v>0.132464253915264</v>
      </c>
      <c r="M151" s="9" t="s">
        <v>115</v>
      </c>
      <c r="N151" s="11" t="s">
        <v>116</v>
      </c>
      <c r="O151" s="11" t="s">
        <v>225</v>
      </c>
      <c r="P151" s="11" t="s">
        <v>118</v>
      </c>
      <c r="Q151" s="10" t="n">
        <v>8651958</v>
      </c>
      <c r="R151" s="12" t="n">
        <f aca="false">IF(OR($H151="",Q151=""),"",Q151/$H151)</f>
        <v>0.105064940393876</v>
      </c>
      <c r="S151" s="9" t="s">
        <v>115</v>
      </c>
      <c r="T151" s="11" t="s">
        <v>119</v>
      </c>
      <c r="U151" s="11" t="s">
        <v>226</v>
      </c>
      <c r="V151" s="11" t="s">
        <v>121</v>
      </c>
      <c r="W151" s="10" t="n">
        <v>1250000</v>
      </c>
      <c r="X151" s="12" t="n">
        <f aca="false">IF(OR($H151="",W151=""),"",W151/$H151)</f>
        <v>0.0151793588794981</v>
      </c>
      <c r="Y151" s="9" t="s">
        <v>126</v>
      </c>
      <c r="Z151" s="11" t="s">
        <v>127</v>
      </c>
      <c r="AA151" s="11" t="s">
        <v>128</v>
      </c>
      <c r="AB151" s="11" t="s">
        <v>229</v>
      </c>
      <c r="AC151" s="9" t="n">
        <v>1</v>
      </c>
      <c r="AD151" s="10"/>
      <c r="AE151" s="9"/>
      <c r="AF151" s="11"/>
      <c r="AG151" s="11"/>
      <c r="AH151" s="11"/>
      <c r="AI151" s="10" t="n">
        <v>370555</v>
      </c>
      <c r="AJ151" s="9" t="s">
        <v>122</v>
      </c>
      <c r="AK151" s="11" t="s">
        <v>123</v>
      </c>
      <c r="AL151" s="11" t="s">
        <v>124</v>
      </c>
      <c r="AM151" s="11" t="s">
        <v>125</v>
      </c>
    </row>
    <row r="152" customFormat="false" ht="15" hidden="false" customHeight="false" outlineLevel="0" collapsed="false">
      <c r="A152" s="9" t="s">
        <v>221</v>
      </c>
      <c r="B152" s="9" t="s">
        <v>222</v>
      </c>
      <c r="C152" s="9" t="s">
        <v>223</v>
      </c>
      <c r="D152" s="9" t="s">
        <v>224</v>
      </c>
      <c r="E152" s="9" t="n">
        <v>1</v>
      </c>
      <c r="F152" s="9" t="n">
        <v>1</v>
      </c>
      <c r="G152" s="9" t="n">
        <v>2017</v>
      </c>
      <c r="H152" s="10" t="n">
        <v>82657002</v>
      </c>
      <c r="I152" s="11" t="s">
        <v>98</v>
      </c>
      <c r="J152" s="11" t="s">
        <v>99</v>
      </c>
      <c r="K152" s="10" t="n">
        <v>12105436</v>
      </c>
      <c r="L152" s="12" t="n">
        <f aca="false">IF(OR($H152="",K152=""),"",K152/$H152)</f>
        <v>0.146453847914784</v>
      </c>
      <c r="M152" s="9" t="s">
        <v>115</v>
      </c>
      <c r="N152" s="11" t="s">
        <v>116</v>
      </c>
      <c r="O152" s="11" t="s">
        <v>225</v>
      </c>
      <c r="P152" s="11" t="s">
        <v>118</v>
      </c>
      <c r="Q152" s="10" t="n">
        <v>9219989</v>
      </c>
      <c r="R152" s="12" t="n">
        <f aca="false">IF(OR($H152="",Q152=""),"",Q152/$H152)</f>
        <v>0.111545165889273</v>
      </c>
      <c r="S152" s="9" t="s">
        <v>115</v>
      </c>
      <c r="T152" s="11" t="s">
        <v>119</v>
      </c>
      <c r="U152" s="11" t="s">
        <v>226</v>
      </c>
      <c r="V152" s="11" t="s">
        <v>121</v>
      </c>
      <c r="W152" s="10" t="n">
        <v>1100000</v>
      </c>
      <c r="X152" s="12" t="n">
        <f aca="false">IF(OR($H152="",W152=""),"",W152/$H152)</f>
        <v>0.0133080074692281</v>
      </c>
      <c r="Y152" s="9" t="s">
        <v>126</v>
      </c>
      <c r="Z152" s="11" t="s">
        <v>127</v>
      </c>
      <c r="AA152" s="11" t="s">
        <v>128</v>
      </c>
      <c r="AB152" s="11" t="s">
        <v>230</v>
      </c>
      <c r="AC152" s="9" t="n">
        <v>1</v>
      </c>
      <c r="AD152" s="10"/>
      <c r="AE152" s="9"/>
      <c r="AF152" s="11"/>
      <c r="AG152" s="11"/>
      <c r="AH152" s="11"/>
      <c r="AI152" s="10" t="n">
        <v>156710</v>
      </c>
      <c r="AJ152" s="9" t="s">
        <v>122</v>
      </c>
      <c r="AK152" s="11" t="s">
        <v>123</v>
      </c>
      <c r="AL152" s="11" t="s">
        <v>124</v>
      </c>
      <c r="AM152" s="11" t="s">
        <v>125</v>
      </c>
    </row>
    <row r="153" customFormat="false" ht="15" hidden="false" customHeight="false" outlineLevel="0" collapsed="false">
      <c r="A153" s="9" t="s">
        <v>221</v>
      </c>
      <c r="B153" s="9" t="s">
        <v>222</v>
      </c>
      <c r="C153" s="9" t="s">
        <v>223</v>
      </c>
      <c r="D153" s="9" t="s">
        <v>224</v>
      </c>
      <c r="E153" s="9" t="n">
        <v>1</v>
      </c>
      <c r="F153" s="9" t="n">
        <v>1</v>
      </c>
      <c r="G153" s="9" t="n">
        <v>2018</v>
      </c>
      <c r="H153" s="10" t="n">
        <v>82905782</v>
      </c>
      <c r="I153" s="11" t="s">
        <v>98</v>
      </c>
      <c r="J153" s="11" t="s">
        <v>99</v>
      </c>
      <c r="K153" s="10" t="n">
        <v>13745843</v>
      </c>
      <c r="L153" s="12" t="n">
        <f aca="false">IF(OR($H153="",K153=""),"",K153/$H153)</f>
        <v>0.165800776114747</v>
      </c>
      <c r="M153" s="9" t="s">
        <v>115</v>
      </c>
      <c r="N153" s="11" t="s">
        <v>116</v>
      </c>
      <c r="O153" s="11" t="s">
        <v>225</v>
      </c>
      <c r="P153" s="11" t="s">
        <v>118</v>
      </c>
      <c r="Q153" s="10" t="n">
        <v>9678868</v>
      </c>
      <c r="R153" s="12" t="n">
        <f aca="false">IF(OR($H153="",Q153=""),"",Q153/$H153)</f>
        <v>0.116745391774967</v>
      </c>
      <c r="S153" s="9" t="s">
        <v>115</v>
      </c>
      <c r="T153" s="11" t="s">
        <v>119</v>
      </c>
      <c r="U153" s="11" t="s">
        <v>226</v>
      </c>
      <c r="V153" s="11" t="s">
        <v>121</v>
      </c>
      <c r="W153" s="10"/>
      <c r="X153" s="12"/>
      <c r="Y153" s="9"/>
      <c r="Z153" s="11"/>
      <c r="AA153" s="11"/>
      <c r="AB153" s="11"/>
      <c r="AC153" s="9"/>
      <c r="AD153" s="10"/>
      <c r="AE153" s="9"/>
      <c r="AF153" s="11"/>
      <c r="AG153" s="11"/>
      <c r="AH153" s="11"/>
      <c r="AI153" s="10" t="n">
        <v>134125</v>
      </c>
      <c r="AJ153" s="9" t="s">
        <v>122</v>
      </c>
      <c r="AK153" s="11" t="s">
        <v>123</v>
      </c>
      <c r="AL153" s="11" t="s">
        <v>124</v>
      </c>
      <c r="AM153" s="11" t="s">
        <v>125</v>
      </c>
    </row>
    <row r="154" customFormat="false" ht="15" hidden="false" customHeight="false" outlineLevel="0" collapsed="false">
      <c r="A154" s="9" t="s">
        <v>221</v>
      </c>
      <c r="B154" s="9" t="s">
        <v>222</v>
      </c>
      <c r="C154" s="9" t="s">
        <v>223</v>
      </c>
      <c r="D154" s="9" t="s">
        <v>224</v>
      </c>
      <c r="E154" s="9" t="n">
        <v>1</v>
      </c>
      <c r="F154" s="9" t="n">
        <v>1</v>
      </c>
      <c r="G154" s="9" t="n">
        <v>2019</v>
      </c>
      <c r="H154" s="10" t="n">
        <v>83092962</v>
      </c>
      <c r="I154" s="11" t="s">
        <v>98</v>
      </c>
      <c r="J154" s="11" t="s">
        <v>99</v>
      </c>
      <c r="K154" s="10" t="n">
        <v>14879635</v>
      </c>
      <c r="L154" s="12" t="n">
        <f aca="false">IF(OR($H154="",K154=""),"",K154/$H154)</f>
        <v>0.17907214572517</v>
      </c>
      <c r="M154" s="9" t="s">
        <v>115</v>
      </c>
      <c r="N154" s="11" t="s">
        <v>116</v>
      </c>
      <c r="O154" s="11" t="s">
        <v>225</v>
      </c>
      <c r="P154" s="11" t="s">
        <v>118</v>
      </c>
      <c r="Q154" s="10" t="n">
        <v>10089292</v>
      </c>
      <c r="R154" s="12" t="n">
        <f aca="false">IF(OR($H154="",Q154=""),"",Q154/$H154)</f>
        <v>0.121421739665509</v>
      </c>
      <c r="S154" s="9" t="s">
        <v>115</v>
      </c>
      <c r="T154" s="11" t="s">
        <v>119</v>
      </c>
      <c r="U154" s="11" t="s">
        <v>226</v>
      </c>
      <c r="V154" s="11" t="s">
        <v>121</v>
      </c>
      <c r="W154" s="10"/>
      <c r="X154" s="12"/>
      <c r="Y154" s="9"/>
      <c r="Z154" s="11"/>
      <c r="AA154" s="11"/>
      <c r="AB154" s="11"/>
      <c r="AC154" s="9"/>
      <c r="AD154" s="10"/>
      <c r="AE154" s="9"/>
      <c r="AF154" s="11"/>
      <c r="AG154" s="11"/>
      <c r="AH154" s="11"/>
      <c r="AI154" s="10" t="n">
        <v>133525</v>
      </c>
      <c r="AJ154" s="9" t="s">
        <v>122</v>
      </c>
      <c r="AK154" s="11" t="s">
        <v>123</v>
      </c>
      <c r="AL154" s="11" t="s">
        <v>124</v>
      </c>
      <c r="AM154" s="11" t="s">
        <v>125</v>
      </c>
    </row>
    <row r="155" customFormat="false" ht="15" hidden="false" customHeight="false" outlineLevel="0" collapsed="false">
      <c r="A155" s="9" t="s">
        <v>221</v>
      </c>
      <c r="B155" s="9" t="s">
        <v>222</v>
      </c>
      <c r="C155" s="9" t="s">
        <v>223</v>
      </c>
      <c r="D155" s="9" t="s">
        <v>224</v>
      </c>
      <c r="E155" s="9" t="n">
        <v>1</v>
      </c>
      <c r="F155" s="9" t="n">
        <v>1</v>
      </c>
      <c r="G155" s="9" t="n">
        <v>2020</v>
      </c>
      <c r="H155" s="10" t="n">
        <v>83160871</v>
      </c>
      <c r="I155" s="11" t="s">
        <v>98</v>
      </c>
      <c r="J155" s="11" t="s">
        <v>99</v>
      </c>
      <c r="K155" s="10" t="n">
        <v>15040708</v>
      </c>
      <c r="L155" s="12" t="n">
        <f aca="false">IF(OR($H155="",K155=""),"",K155/$H155)</f>
        <v>0.180862800246525</v>
      </c>
      <c r="M155" s="9" t="s">
        <v>115</v>
      </c>
      <c r="N155" s="11" t="s">
        <v>116</v>
      </c>
      <c r="O155" s="11" t="s">
        <v>225</v>
      </c>
      <c r="P155" s="11" t="s">
        <v>118</v>
      </c>
      <c r="Q155" s="10" t="n">
        <v>10398022</v>
      </c>
      <c r="R155" s="12" t="n">
        <f aca="false">IF(OR($H155="",Q155=""),"",Q155/$H155)</f>
        <v>0.125035029996259</v>
      </c>
      <c r="S155" s="9" t="s">
        <v>115</v>
      </c>
      <c r="T155" s="11" t="s">
        <v>119</v>
      </c>
      <c r="U155" s="11" t="s">
        <v>226</v>
      </c>
      <c r="V155" s="11" t="s">
        <v>121</v>
      </c>
      <c r="W155" s="10"/>
      <c r="X155" s="12"/>
      <c r="Y155" s="9"/>
      <c r="Z155" s="11"/>
      <c r="AA155" s="11"/>
      <c r="AB155" s="11"/>
      <c r="AC155" s="9"/>
      <c r="AD155" s="10"/>
      <c r="AE155" s="9"/>
      <c r="AF155" s="11"/>
      <c r="AG155" s="11"/>
      <c r="AH155" s="11"/>
      <c r="AI155" s="10" t="n">
        <v>117930</v>
      </c>
      <c r="AJ155" s="9" t="s">
        <v>122</v>
      </c>
      <c r="AK155" s="11" t="s">
        <v>123</v>
      </c>
      <c r="AL155" s="11" t="s">
        <v>124</v>
      </c>
      <c r="AM155" s="11" t="s">
        <v>125</v>
      </c>
    </row>
    <row r="156" customFormat="false" ht="15" hidden="false" customHeight="false" outlineLevel="0" collapsed="false">
      <c r="A156" s="9" t="s">
        <v>221</v>
      </c>
      <c r="B156" s="9" t="s">
        <v>222</v>
      </c>
      <c r="C156" s="9" t="s">
        <v>223</v>
      </c>
      <c r="D156" s="9" t="s">
        <v>224</v>
      </c>
      <c r="E156" s="9" t="n">
        <v>1</v>
      </c>
      <c r="F156" s="9" t="n">
        <v>1</v>
      </c>
      <c r="G156" s="9" t="n">
        <v>2021</v>
      </c>
      <c r="H156" s="10" t="n">
        <v>83196078</v>
      </c>
      <c r="I156" s="11" t="s">
        <v>98</v>
      </c>
      <c r="J156" s="11" t="s">
        <v>99</v>
      </c>
      <c r="K156" s="10" t="n">
        <v>15162728</v>
      </c>
      <c r="L156" s="12" t="n">
        <f aca="false">IF(OR($H156="",K156=""),"",K156/$H156)</f>
        <v>0.182252918220496</v>
      </c>
      <c r="M156" s="9" t="s">
        <v>115</v>
      </c>
      <c r="N156" s="11" t="s">
        <v>116</v>
      </c>
      <c r="O156" s="11" t="s">
        <v>225</v>
      </c>
      <c r="P156" s="11" t="s">
        <v>118</v>
      </c>
      <c r="Q156" s="10" t="n">
        <v>10585053</v>
      </c>
      <c r="R156" s="12" t="n">
        <f aca="false">IF(OR($H156="",Q156=""),"",Q156/$H156)</f>
        <v>0.1272301922694</v>
      </c>
      <c r="S156" s="9" t="s">
        <v>115</v>
      </c>
      <c r="T156" s="11" t="s">
        <v>119</v>
      </c>
      <c r="U156" s="11" t="s">
        <v>226</v>
      </c>
      <c r="V156" s="11" t="s">
        <v>121</v>
      </c>
      <c r="W156" s="10"/>
      <c r="X156" s="12"/>
      <c r="Y156" s="9"/>
      <c r="Z156" s="11"/>
      <c r="AA156" s="11"/>
      <c r="AB156" s="11"/>
      <c r="AC156" s="9"/>
      <c r="AD156" s="10"/>
      <c r="AE156" s="9"/>
      <c r="AF156" s="11"/>
      <c r="AG156" s="11"/>
      <c r="AH156" s="11"/>
      <c r="AI156" s="10" t="n">
        <v>120285</v>
      </c>
      <c r="AJ156" s="9" t="s">
        <v>122</v>
      </c>
      <c r="AK156" s="11" t="s">
        <v>123</v>
      </c>
      <c r="AL156" s="11" t="s">
        <v>124</v>
      </c>
      <c r="AM156" s="11" t="s">
        <v>125</v>
      </c>
    </row>
    <row r="157" customFormat="false" ht="15" hidden="false" customHeight="false" outlineLevel="0" collapsed="false">
      <c r="A157" s="9" t="s">
        <v>221</v>
      </c>
      <c r="B157" s="9" t="s">
        <v>222</v>
      </c>
      <c r="C157" s="9" t="s">
        <v>223</v>
      </c>
      <c r="D157" s="9" t="s">
        <v>224</v>
      </c>
      <c r="E157" s="9" t="n">
        <v>1</v>
      </c>
      <c r="F157" s="9" t="n">
        <v>1</v>
      </c>
      <c r="G157" s="9" t="n">
        <v>2022</v>
      </c>
      <c r="H157" s="10" t="n">
        <v>83177813</v>
      </c>
      <c r="I157" s="11" t="s">
        <v>98</v>
      </c>
      <c r="J157" s="11" t="s">
        <v>99</v>
      </c>
      <c r="K157" s="10" t="n">
        <v>15287650</v>
      </c>
      <c r="L157" s="12" t="n">
        <f aca="false">IF(OR($H157="",K157=""),"",K157/$H157)</f>
        <v>0.183794805953843</v>
      </c>
      <c r="M157" s="9" t="s">
        <v>115</v>
      </c>
      <c r="N157" s="11" t="s">
        <v>116</v>
      </c>
      <c r="O157" s="11" t="s">
        <v>225</v>
      </c>
      <c r="P157" s="11" t="s">
        <v>118</v>
      </c>
      <c r="Q157" s="10" t="n">
        <v>10893053</v>
      </c>
      <c r="R157" s="12" t="n">
        <f aca="false">IF(OR($H157="",Q157=""),"",Q157/$H157)</f>
        <v>0.130961041257481</v>
      </c>
      <c r="S157" s="9" t="s">
        <v>115</v>
      </c>
      <c r="T157" s="11" t="s">
        <v>119</v>
      </c>
      <c r="U157" s="11" t="s">
        <v>226</v>
      </c>
      <c r="V157" s="11" t="s">
        <v>121</v>
      </c>
      <c r="W157" s="10"/>
      <c r="X157" s="12"/>
      <c r="Y157" s="9"/>
      <c r="Z157" s="11"/>
      <c r="AA157" s="11"/>
      <c r="AB157" s="11"/>
      <c r="AC157" s="9"/>
      <c r="AD157" s="10"/>
      <c r="AE157" s="9"/>
      <c r="AF157" s="11"/>
      <c r="AG157" s="11"/>
      <c r="AH157" s="11"/>
      <c r="AI157" s="10" t="n">
        <v>198310</v>
      </c>
      <c r="AJ157" s="9" t="s">
        <v>122</v>
      </c>
      <c r="AK157" s="11" t="s">
        <v>123</v>
      </c>
      <c r="AL157" s="11" t="s">
        <v>124</v>
      </c>
      <c r="AM157" s="11" t="s">
        <v>125</v>
      </c>
    </row>
    <row r="158" customFormat="false" ht="15" hidden="false" customHeight="false" outlineLevel="0" collapsed="false">
      <c r="A158" s="9" t="s">
        <v>231</v>
      </c>
      <c r="B158" s="9" t="s">
        <v>232</v>
      </c>
      <c r="C158" s="9" t="s">
        <v>233</v>
      </c>
      <c r="D158" s="9" t="s">
        <v>234</v>
      </c>
      <c r="E158" s="9" t="n">
        <v>0</v>
      </c>
      <c r="F158" s="9" t="n">
        <v>1</v>
      </c>
      <c r="G158" s="9" t="n">
        <v>2010</v>
      </c>
      <c r="H158" s="10" t="n">
        <v>10000023</v>
      </c>
      <c r="I158" s="11" t="s">
        <v>98</v>
      </c>
      <c r="J158" s="11" t="s">
        <v>99</v>
      </c>
      <c r="K158" s="10" t="n">
        <v>436616</v>
      </c>
      <c r="L158" s="12" t="n">
        <f aca="false">IF(OR($H158="",K158=""),"",K158/$H158)</f>
        <v>0.043661499578551</v>
      </c>
      <c r="M158" s="9" t="s">
        <v>115</v>
      </c>
      <c r="N158" s="11" t="s">
        <v>116</v>
      </c>
      <c r="O158" s="11" t="s">
        <v>235</v>
      </c>
      <c r="P158" s="11" t="s">
        <v>118</v>
      </c>
      <c r="Q158" s="10" t="n">
        <v>200005</v>
      </c>
      <c r="R158" s="12" t="n">
        <f aca="false">IF(OR($H158="",Q158=""),"",Q158/$H158)</f>
        <v>0.0200004539989558</v>
      </c>
      <c r="S158" s="9" t="s">
        <v>115</v>
      </c>
      <c r="T158" s="11" t="s">
        <v>119</v>
      </c>
      <c r="U158" s="11" t="s">
        <v>236</v>
      </c>
      <c r="V158" s="11" t="s">
        <v>121</v>
      </c>
      <c r="W158" s="10"/>
      <c r="X158" s="12"/>
      <c r="Y158" s="9"/>
      <c r="Z158" s="11"/>
      <c r="AA158" s="11"/>
      <c r="AB158" s="11"/>
      <c r="AC158" s="9"/>
      <c r="AD158" s="10"/>
      <c r="AE158" s="9"/>
      <c r="AF158" s="11"/>
      <c r="AG158" s="11"/>
      <c r="AH158" s="11"/>
      <c r="AI158" s="10" t="n">
        <v>6970</v>
      </c>
      <c r="AJ158" s="9" t="s">
        <v>122</v>
      </c>
      <c r="AK158" s="11" t="s">
        <v>123</v>
      </c>
      <c r="AL158" s="11" t="s">
        <v>124</v>
      </c>
      <c r="AM158" s="11" t="s">
        <v>125</v>
      </c>
    </row>
    <row r="159" customFormat="false" ht="15" hidden="false" customHeight="false" outlineLevel="0" collapsed="false">
      <c r="A159" s="9" t="s">
        <v>231</v>
      </c>
      <c r="B159" s="9" t="s">
        <v>232</v>
      </c>
      <c r="C159" s="9" t="s">
        <v>233</v>
      </c>
      <c r="D159" s="9" t="s">
        <v>234</v>
      </c>
      <c r="E159" s="9" t="n">
        <v>0</v>
      </c>
      <c r="F159" s="9" t="n">
        <v>1</v>
      </c>
      <c r="G159" s="9" t="n">
        <v>2011</v>
      </c>
      <c r="H159" s="10" t="n">
        <v>9971727</v>
      </c>
      <c r="I159" s="11" t="s">
        <v>98</v>
      </c>
      <c r="J159" s="11" t="s">
        <v>99</v>
      </c>
      <c r="K159" s="10" t="n">
        <v>443295</v>
      </c>
      <c r="L159" s="12" t="n">
        <f aca="false">IF(OR($H159="",K159=""),"",K159/$H159)</f>
        <v>0.0444551881534663</v>
      </c>
      <c r="M159" s="9" t="s">
        <v>115</v>
      </c>
      <c r="N159" s="11" t="s">
        <v>116</v>
      </c>
      <c r="O159" s="11" t="s">
        <v>235</v>
      </c>
      <c r="P159" s="11" t="s">
        <v>118</v>
      </c>
      <c r="Q159" s="10" t="n">
        <v>209202</v>
      </c>
      <c r="R159" s="12" t="n">
        <f aca="false">IF(OR($H159="",Q159=""),"",Q159/$H159)</f>
        <v>0.0209795153838447</v>
      </c>
      <c r="S159" s="9" t="s">
        <v>115</v>
      </c>
      <c r="T159" s="11" t="s">
        <v>119</v>
      </c>
      <c r="U159" s="11" t="s">
        <v>236</v>
      </c>
      <c r="V159" s="11" t="s">
        <v>121</v>
      </c>
      <c r="W159" s="10"/>
      <c r="X159" s="12"/>
      <c r="Y159" s="9"/>
      <c r="Z159" s="11"/>
      <c r="AA159" s="11"/>
      <c r="AB159" s="11"/>
      <c r="AC159" s="9"/>
      <c r="AD159" s="10"/>
      <c r="AE159" s="9"/>
      <c r="AF159" s="11"/>
      <c r="AG159" s="11"/>
      <c r="AH159" s="11"/>
      <c r="AI159" s="10" t="n">
        <v>9655</v>
      </c>
      <c r="AJ159" s="9" t="s">
        <v>122</v>
      </c>
      <c r="AK159" s="11" t="s">
        <v>123</v>
      </c>
      <c r="AL159" s="11" t="s">
        <v>124</v>
      </c>
      <c r="AM159" s="11" t="s">
        <v>125</v>
      </c>
    </row>
    <row r="160" customFormat="false" ht="15" hidden="false" customHeight="false" outlineLevel="0" collapsed="false">
      <c r="A160" s="9" t="s">
        <v>231</v>
      </c>
      <c r="B160" s="9" t="s">
        <v>232</v>
      </c>
      <c r="C160" s="9" t="s">
        <v>233</v>
      </c>
      <c r="D160" s="9" t="s">
        <v>234</v>
      </c>
      <c r="E160" s="9" t="n">
        <v>0</v>
      </c>
      <c r="F160" s="9" t="n">
        <v>1</v>
      </c>
      <c r="G160" s="9" t="n">
        <v>2012</v>
      </c>
      <c r="H160" s="10" t="n">
        <v>9920362</v>
      </c>
      <c r="I160" s="11" t="s">
        <v>98</v>
      </c>
      <c r="J160" s="11" t="s">
        <v>99</v>
      </c>
      <c r="K160" s="10" t="n">
        <v>401769</v>
      </c>
      <c r="L160" s="12" t="n">
        <f aca="false">IF(OR($H160="",K160=""),"",K160/$H160)</f>
        <v>0.0404994293555013</v>
      </c>
      <c r="M160" s="9" t="s">
        <v>115</v>
      </c>
      <c r="N160" s="11" t="s">
        <v>116</v>
      </c>
      <c r="O160" s="11" t="s">
        <v>235</v>
      </c>
      <c r="P160" s="11" t="s">
        <v>200</v>
      </c>
      <c r="Q160" s="10" t="n">
        <v>143125</v>
      </c>
      <c r="R160" s="12" t="n">
        <f aca="false">IF(OR($H160="",Q160=""),"",Q160/$H160)</f>
        <v>0.0144273969034598</v>
      </c>
      <c r="S160" s="9" t="s">
        <v>115</v>
      </c>
      <c r="T160" s="11" t="s">
        <v>119</v>
      </c>
      <c r="U160" s="11" t="s">
        <v>236</v>
      </c>
      <c r="V160" s="11" t="s">
        <v>144</v>
      </c>
      <c r="W160" s="10"/>
      <c r="X160" s="12"/>
      <c r="Y160" s="9"/>
      <c r="Z160" s="11"/>
      <c r="AA160" s="11"/>
      <c r="AB160" s="11"/>
      <c r="AC160" s="9"/>
      <c r="AD160" s="10"/>
      <c r="AE160" s="9"/>
      <c r="AF160" s="11"/>
      <c r="AG160" s="11"/>
      <c r="AH160" s="11"/>
      <c r="AI160" s="10" t="n">
        <v>12175</v>
      </c>
      <c r="AJ160" s="9" t="s">
        <v>122</v>
      </c>
      <c r="AK160" s="11" t="s">
        <v>123</v>
      </c>
      <c r="AL160" s="11" t="s">
        <v>124</v>
      </c>
      <c r="AM160" s="11" t="s">
        <v>125</v>
      </c>
    </row>
    <row r="161" customFormat="false" ht="15" hidden="false" customHeight="false" outlineLevel="0" collapsed="false">
      <c r="A161" s="9" t="s">
        <v>231</v>
      </c>
      <c r="B161" s="9" t="s">
        <v>232</v>
      </c>
      <c r="C161" s="9" t="s">
        <v>233</v>
      </c>
      <c r="D161" s="9" t="s">
        <v>234</v>
      </c>
      <c r="E161" s="9" t="n">
        <v>0</v>
      </c>
      <c r="F161" s="9" t="n">
        <v>1</v>
      </c>
      <c r="G161" s="9" t="n">
        <v>2013</v>
      </c>
      <c r="H161" s="10" t="n">
        <v>9872734</v>
      </c>
      <c r="I161" s="11" t="s">
        <v>98</v>
      </c>
      <c r="J161" s="11" t="s">
        <v>99</v>
      </c>
      <c r="K161" s="10" t="n">
        <v>423317</v>
      </c>
      <c r="L161" s="12" t="n">
        <f aca="false">IF(OR($H161="",K161=""),"",K161/$H161)</f>
        <v>0.0428773833063871</v>
      </c>
      <c r="M161" s="9" t="s">
        <v>115</v>
      </c>
      <c r="N161" s="11" t="s">
        <v>116</v>
      </c>
      <c r="O161" s="11" t="s">
        <v>235</v>
      </c>
      <c r="P161" s="11" t="s">
        <v>118</v>
      </c>
      <c r="Q161" s="10" t="n">
        <v>141122</v>
      </c>
      <c r="R161" s="12" t="n">
        <f aca="false">IF(OR($H161="",Q161=""),"",Q161/$H161)</f>
        <v>0.0142941154901975</v>
      </c>
      <c r="S161" s="9" t="s">
        <v>115</v>
      </c>
      <c r="T161" s="11" t="s">
        <v>119</v>
      </c>
      <c r="U161" s="11" t="s">
        <v>236</v>
      </c>
      <c r="V161" s="11" t="s">
        <v>121</v>
      </c>
      <c r="W161" s="10"/>
      <c r="X161" s="12"/>
      <c r="Y161" s="9"/>
      <c r="Z161" s="11"/>
      <c r="AA161" s="11"/>
      <c r="AB161" s="11"/>
      <c r="AC161" s="9"/>
      <c r="AD161" s="10"/>
      <c r="AE161" s="9"/>
      <c r="AF161" s="11"/>
      <c r="AG161" s="11"/>
      <c r="AH161" s="11"/>
      <c r="AI161" s="10" t="n">
        <v>28755</v>
      </c>
      <c r="AJ161" s="9" t="s">
        <v>122</v>
      </c>
      <c r="AK161" s="11" t="s">
        <v>123</v>
      </c>
      <c r="AL161" s="11" t="s">
        <v>124</v>
      </c>
      <c r="AM161" s="11" t="s">
        <v>125</v>
      </c>
    </row>
    <row r="162" customFormat="false" ht="15" hidden="false" customHeight="false" outlineLevel="0" collapsed="false">
      <c r="A162" s="9" t="s">
        <v>231</v>
      </c>
      <c r="B162" s="9" t="s">
        <v>232</v>
      </c>
      <c r="C162" s="9" t="s">
        <v>233</v>
      </c>
      <c r="D162" s="9" t="s">
        <v>234</v>
      </c>
      <c r="E162" s="9" t="n">
        <v>0</v>
      </c>
      <c r="F162" s="9" t="n">
        <v>1</v>
      </c>
      <c r="G162" s="9" t="n">
        <v>2014</v>
      </c>
      <c r="H162" s="10" t="n">
        <v>9833038</v>
      </c>
      <c r="I162" s="11" t="s">
        <v>98</v>
      </c>
      <c r="J162" s="11" t="s">
        <v>99</v>
      </c>
      <c r="K162" s="10" t="n">
        <v>447029</v>
      </c>
      <c r="L162" s="12" t="n">
        <f aca="false">IF(OR($H162="",K162=""),"",K162/$H162)</f>
        <v>0.0454619416705193</v>
      </c>
      <c r="M162" s="9" t="s">
        <v>115</v>
      </c>
      <c r="N162" s="11" t="s">
        <v>116</v>
      </c>
      <c r="O162" s="11" t="s">
        <v>235</v>
      </c>
      <c r="P162" s="11" t="s">
        <v>118</v>
      </c>
      <c r="Q162" s="10" t="n">
        <v>140301</v>
      </c>
      <c r="R162" s="12" t="n">
        <f aca="false">IF(OR($H162="",Q162=""),"",Q162/$H162)</f>
        <v>0.014268326838562</v>
      </c>
      <c r="S162" s="9" t="s">
        <v>115</v>
      </c>
      <c r="T162" s="11" t="s">
        <v>119</v>
      </c>
      <c r="U162" s="11" t="s">
        <v>236</v>
      </c>
      <c r="V162" s="11" t="s">
        <v>121</v>
      </c>
      <c r="W162" s="10"/>
      <c r="X162" s="12"/>
      <c r="Y162" s="9"/>
      <c r="Z162" s="11"/>
      <c r="AA162" s="11"/>
      <c r="AB162" s="11"/>
      <c r="AC162" s="9"/>
      <c r="AD162" s="10"/>
      <c r="AE162" s="9"/>
      <c r="AF162" s="11"/>
      <c r="AG162" s="11"/>
      <c r="AH162" s="11"/>
      <c r="AI162" s="10" t="n">
        <v>56170</v>
      </c>
      <c r="AJ162" s="9" t="s">
        <v>122</v>
      </c>
      <c r="AK162" s="11" t="s">
        <v>123</v>
      </c>
      <c r="AL162" s="11" t="s">
        <v>124</v>
      </c>
      <c r="AM162" s="11" t="s">
        <v>125</v>
      </c>
    </row>
    <row r="163" customFormat="false" ht="15" hidden="false" customHeight="false" outlineLevel="0" collapsed="false">
      <c r="A163" s="9" t="s">
        <v>231</v>
      </c>
      <c r="B163" s="9" t="s">
        <v>232</v>
      </c>
      <c r="C163" s="9" t="s">
        <v>233</v>
      </c>
      <c r="D163" s="9" t="s">
        <v>234</v>
      </c>
      <c r="E163" s="9" t="n">
        <v>0</v>
      </c>
      <c r="F163" s="9" t="n">
        <v>1</v>
      </c>
      <c r="G163" s="9" t="n">
        <v>2015</v>
      </c>
      <c r="H163" s="10" t="n">
        <v>9797755</v>
      </c>
      <c r="I163" s="11" t="s">
        <v>98</v>
      </c>
      <c r="J163" s="11" t="s">
        <v>99</v>
      </c>
      <c r="K163" s="10" t="n">
        <v>475508</v>
      </c>
      <c r="L163" s="12" t="n">
        <f aca="false">IF(OR($H163="",K163=""),"",K163/$H163)</f>
        <v>0.0485323423580198</v>
      </c>
      <c r="M163" s="9" t="s">
        <v>115</v>
      </c>
      <c r="N163" s="11" t="s">
        <v>116</v>
      </c>
      <c r="O163" s="11" t="s">
        <v>235</v>
      </c>
      <c r="P163" s="11" t="s">
        <v>118</v>
      </c>
      <c r="Q163" s="10" t="n">
        <v>145727</v>
      </c>
      <c r="R163" s="12" t="n">
        <f aca="false">IF(OR($H163="",Q163=""),"",Q163/$H163)</f>
        <v>0.0148735092886074</v>
      </c>
      <c r="S163" s="9" t="s">
        <v>115</v>
      </c>
      <c r="T163" s="11" t="s">
        <v>119</v>
      </c>
      <c r="U163" s="11" t="s">
        <v>236</v>
      </c>
      <c r="V163" s="11" t="s">
        <v>121</v>
      </c>
      <c r="W163" s="10"/>
      <c r="X163" s="12"/>
      <c r="Y163" s="9"/>
      <c r="Z163" s="11"/>
      <c r="AA163" s="11"/>
      <c r="AB163" s="11"/>
      <c r="AC163" s="9"/>
      <c r="AD163" s="10"/>
      <c r="AE163" s="9"/>
      <c r="AF163" s="11"/>
      <c r="AG163" s="11"/>
      <c r="AH163" s="11"/>
      <c r="AI163" s="10" t="n">
        <v>424055</v>
      </c>
      <c r="AJ163" s="9" t="s">
        <v>122</v>
      </c>
      <c r="AK163" s="11" t="s">
        <v>123</v>
      </c>
      <c r="AL163" s="11" t="s">
        <v>124</v>
      </c>
      <c r="AM163" s="11" t="s">
        <v>125</v>
      </c>
    </row>
    <row r="164" customFormat="false" ht="15" hidden="false" customHeight="false" outlineLevel="0" collapsed="false">
      <c r="A164" s="9" t="s">
        <v>231</v>
      </c>
      <c r="B164" s="9" t="s">
        <v>232</v>
      </c>
      <c r="C164" s="9" t="s">
        <v>233</v>
      </c>
      <c r="D164" s="9" t="s">
        <v>234</v>
      </c>
      <c r="E164" s="9" t="n">
        <v>0</v>
      </c>
      <c r="F164" s="9" t="n">
        <v>1</v>
      </c>
      <c r="G164" s="9" t="n">
        <v>2016</v>
      </c>
      <c r="H164" s="10" t="n">
        <v>9759755</v>
      </c>
      <c r="I164" s="11" t="s">
        <v>98</v>
      </c>
      <c r="J164" s="11" t="s">
        <v>99</v>
      </c>
      <c r="K164" s="10" t="n">
        <v>503787</v>
      </c>
      <c r="L164" s="12" t="n">
        <f aca="false">IF(OR($H164="",K164=""),"",K164/$H164)</f>
        <v>0.0516188162510227</v>
      </c>
      <c r="M164" s="9" t="s">
        <v>115</v>
      </c>
      <c r="N164" s="11" t="s">
        <v>116</v>
      </c>
      <c r="O164" s="11" t="s">
        <v>235</v>
      </c>
      <c r="P164" s="11" t="s">
        <v>118</v>
      </c>
      <c r="Q164" s="10" t="n">
        <v>156366</v>
      </c>
      <c r="R164" s="12" t="n">
        <f aca="false">IF(OR($H164="",Q164=""),"",Q164/$H164)</f>
        <v>0.0160215087366435</v>
      </c>
      <c r="S164" s="9" t="s">
        <v>115</v>
      </c>
      <c r="T164" s="11" t="s">
        <v>119</v>
      </c>
      <c r="U164" s="11" t="s">
        <v>236</v>
      </c>
      <c r="V164" s="11" t="s">
        <v>121</v>
      </c>
      <c r="W164" s="10"/>
      <c r="X164" s="12"/>
      <c r="Y164" s="9"/>
      <c r="Z164" s="11"/>
      <c r="AA164" s="11"/>
      <c r="AB164" s="11"/>
      <c r="AC164" s="9"/>
      <c r="AD164" s="10"/>
      <c r="AE164" s="9"/>
      <c r="AF164" s="11"/>
      <c r="AG164" s="11"/>
      <c r="AH164" s="11"/>
      <c r="AI164" s="10" t="n">
        <v>41560</v>
      </c>
      <c r="AJ164" s="9" t="s">
        <v>122</v>
      </c>
      <c r="AK164" s="11" t="s">
        <v>123</v>
      </c>
      <c r="AL164" s="11" t="s">
        <v>124</v>
      </c>
      <c r="AM164" s="11" t="s">
        <v>125</v>
      </c>
    </row>
    <row r="165" customFormat="false" ht="15" hidden="false" customHeight="false" outlineLevel="0" collapsed="false">
      <c r="A165" s="9" t="s">
        <v>231</v>
      </c>
      <c r="B165" s="9" t="s">
        <v>232</v>
      </c>
      <c r="C165" s="9" t="s">
        <v>233</v>
      </c>
      <c r="D165" s="9" t="s">
        <v>234</v>
      </c>
      <c r="E165" s="9" t="n">
        <v>0</v>
      </c>
      <c r="F165" s="9" t="n">
        <v>1</v>
      </c>
      <c r="G165" s="9" t="n">
        <v>2017</v>
      </c>
      <c r="H165" s="10" t="n">
        <v>9726756</v>
      </c>
      <c r="I165" s="11" t="s">
        <v>98</v>
      </c>
      <c r="J165" s="11" t="s">
        <v>99</v>
      </c>
      <c r="K165" s="10" t="n">
        <v>513649</v>
      </c>
      <c r="L165" s="12" t="n">
        <f aca="false">IF(OR($H165="",K165=""),"",K165/$H165)</f>
        <v>0.0528078426147423</v>
      </c>
      <c r="M165" s="9" t="s">
        <v>115</v>
      </c>
      <c r="N165" s="11" t="s">
        <v>116</v>
      </c>
      <c r="O165" s="11" t="s">
        <v>235</v>
      </c>
      <c r="P165" s="11" t="s">
        <v>118</v>
      </c>
      <c r="Q165" s="10" t="n">
        <v>150885</v>
      </c>
      <c r="R165" s="12" t="n">
        <f aca="false">IF(OR($H165="",Q165=""),"",Q165/$H165)</f>
        <v>0.0155123660961579</v>
      </c>
      <c r="S165" s="9" t="s">
        <v>115</v>
      </c>
      <c r="T165" s="11" t="s">
        <v>119</v>
      </c>
      <c r="U165" s="11" t="s">
        <v>236</v>
      </c>
      <c r="V165" s="11" t="s">
        <v>121</v>
      </c>
      <c r="W165" s="10"/>
      <c r="X165" s="12"/>
      <c r="Y165" s="9"/>
      <c r="Z165" s="11"/>
      <c r="AA165" s="11"/>
      <c r="AB165" s="11"/>
      <c r="AC165" s="9"/>
      <c r="AD165" s="10"/>
      <c r="AE165" s="9"/>
      <c r="AF165" s="11"/>
      <c r="AG165" s="11"/>
      <c r="AH165" s="11"/>
      <c r="AI165" s="10" t="n">
        <v>25730</v>
      </c>
      <c r="AJ165" s="9" t="s">
        <v>122</v>
      </c>
      <c r="AK165" s="11" t="s">
        <v>123</v>
      </c>
      <c r="AL165" s="11" t="s">
        <v>124</v>
      </c>
      <c r="AM165" s="11" t="s">
        <v>125</v>
      </c>
    </row>
    <row r="166" customFormat="false" ht="15" hidden="false" customHeight="false" outlineLevel="0" collapsed="false">
      <c r="A166" s="9" t="s">
        <v>231</v>
      </c>
      <c r="B166" s="9" t="s">
        <v>232</v>
      </c>
      <c r="C166" s="9" t="s">
        <v>233</v>
      </c>
      <c r="D166" s="9" t="s">
        <v>234</v>
      </c>
      <c r="E166" s="9" t="n">
        <v>0</v>
      </c>
      <c r="F166" s="9" t="n">
        <v>1</v>
      </c>
      <c r="G166" s="9" t="n">
        <v>2018</v>
      </c>
      <c r="H166" s="10" t="n">
        <v>9706964</v>
      </c>
      <c r="I166" s="11" t="s">
        <v>98</v>
      </c>
      <c r="J166" s="11" t="s">
        <v>99</v>
      </c>
      <c r="K166" s="10" t="n">
        <v>536182</v>
      </c>
      <c r="L166" s="12" t="n">
        <f aca="false">IF(OR($H166="",K166=""),"",K166/$H166)</f>
        <v>0.0552368382122361</v>
      </c>
      <c r="M166" s="9" t="s">
        <v>115</v>
      </c>
      <c r="N166" s="11" t="s">
        <v>116</v>
      </c>
      <c r="O166" s="11" t="s">
        <v>235</v>
      </c>
      <c r="P166" s="11" t="s">
        <v>118</v>
      </c>
      <c r="Q166" s="10" t="n">
        <v>161549</v>
      </c>
      <c r="R166" s="12" t="n">
        <f aca="false">IF(OR($H166="",Q166=""),"",Q166/$H166)</f>
        <v>0.0166425877339197</v>
      </c>
      <c r="S166" s="9" t="s">
        <v>115</v>
      </c>
      <c r="T166" s="11" t="s">
        <v>119</v>
      </c>
      <c r="U166" s="11" t="s">
        <v>236</v>
      </c>
      <c r="V166" s="11" t="s">
        <v>121</v>
      </c>
      <c r="W166" s="10"/>
      <c r="X166" s="12"/>
      <c r="Y166" s="9"/>
      <c r="Z166" s="11"/>
      <c r="AA166" s="11"/>
      <c r="AB166" s="11"/>
      <c r="AC166" s="9"/>
      <c r="AD166" s="10"/>
      <c r="AE166" s="9"/>
      <c r="AF166" s="11"/>
      <c r="AG166" s="11"/>
      <c r="AH166" s="11"/>
      <c r="AI166" s="10" t="n">
        <v>18915</v>
      </c>
      <c r="AJ166" s="9" t="s">
        <v>122</v>
      </c>
      <c r="AK166" s="11" t="s">
        <v>123</v>
      </c>
      <c r="AL166" s="11" t="s">
        <v>124</v>
      </c>
      <c r="AM166" s="11" t="s">
        <v>125</v>
      </c>
    </row>
    <row r="167" customFormat="false" ht="15" hidden="false" customHeight="false" outlineLevel="0" collapsed="false">
      <c r="A167" s="9" t="s">
        <v>231</v>
      </c>
      <c r="B167" s="9" t="s">
        <v>232</v>
      </c>
      <c r="C167" s="9" t="s">
        <v>233</v>
      </c>
      <c r="D167" s="9" t="s">
        <v>234</v>
      </c>
      <c r="E167" s="9" t="n">
        <v>0</v>
      </c>
      <c r="F167" s="9" t="n">
        <v>1</v>
      </c>
      <c r="G167" s="9" t="n">
        <v>2019</v>
      </c>
      <c r="H167" s="10" t="n">
        <v>9694824</v>
      </c>
      <c r="I167" s="11" t="s">
        <v>98</v>
      </c>
      <c r="J167" s="11" t="s">
        <v>99</v>
      </c>
      <c r="K167" s="10" t="n">
        <v>564761</v>
      </c>
      <c r="L167" s="12" t="n">
        <f aca="false">IF(OR($H167="",K167=""),"",K167/$H167)</f>
        <v>0.058253868249697</v>
      </c>
      <c r="M167" s="9" t="s">
        <v>115</v>
      </c>
      <c r="N167" s="11" t="s">
        <v>116</v>
      </c>
      <c r="O167" s="11" t="s">
        <v>235</v>
      </c>
      <c r="P167" s="11" t="s">
        <v>118</v>
      </c>
      <c r="Q167" s="10" t="n">
        <v>180525</v>
      </c>
      <c r="R167" s="12" t="n">
        <f aca="false">IF(OR($H167="",Q167=""),"",Q167/$H167)</f>
        <v>0.0186207609338756</v>
      </c>
      <c r="S167" s="9" t="s">
        <v>115</v>
      </c>
      <c r="T167" s="11" t="s">
        <v>119</v>
      </c>
      <c r="U167" s="11" t="s">
        <v>236</v>
      </c>
      <c r="V167" s="11" t="s">
        <v>121</v>
      </c>
      <c r="W167" s="10"/>
      <c r="X167" s="12"/>
      <c r="Y167" s="9"/>
      <c r="Z167" s="11"/>
      <c r="AA167" s="11"/>
      <c r="AB167" s="11"/>
      <c r="AC167" s="9"/>
      <c r="AD167" s="10"/>
      <c r="AE167" s="9"/>
      <c r="AF167" s="11"/>
      <c r="AG167" s="11"/>
      <c r="AH167" s="11"/>
      <c r="AI167" s="10" t="n">
        <v>36440</v>
      </c>
      <c r="AJ167" s="9" t="s">
        <v>122</v>
      </c>
      <c r="AK167" s="11" t="s">
        <v>123</v>
      </c>
      <c r="AL167" s="11" t="s">
        <v>124</v>
      </c>
      <c r="AM167" s="11" t="s">
        <v>125</v>
      </c>
    </row>
    <row r="168" customFormat="false" ht="15" hidden="false" customHeight="false" outlineLevel="0" collapsed="false">
      <c r="A168" s="9" t="s">
        <v>231</v>
      </c>
      <c r="B168" s="9" t="s">
        <v>232</v>
      </c>
      <c r="C168" s="9" t="s">
        <v>233</v>
      </c>
      <c r="D168" s="9" t="s">
        <v>234</v>
      </c>
      <c r="E168" s="9" t="n">
        <v>0</v>
      </c>
      <c r="F168" s="9" t="n">
        <v>1</v>
      </c>
      <c r="G168" s="9" t="n">
        <v>2020</v>
      </c>
      <c r="H168" s="10" t="n">
        <v>9670419</v>
      </c>
      <c r="I168" s="11" t="s">
        <v>98</v>
      </c>
      <c r="J168" s="11" t="s">
        <v>99</v>
      </c>
      <c r="K168" s="10" t="n">
        <v>593937</v>
      </c>
      <c r="L168" s="12" t="n">
        <f aca="false">IF(OR($H168="",K168=""),"",K168/$H168)</f>
        <v>0.0614179178792563</v>
      </c>
      <c r="M168" s="9" t="s">
        <v>115</v>
      </c>
      <c r="N168" s="11" t="s">
        <v>116</v>
      </c>
      <c r="O168" s="11" t="s">
        <v>235</v>
      </c>
      <c r="P168" s="11" t="s">
        <v>118</v>
      </c>
      <c r="Q168" s="10" t="n">
        <v>199707</v>
      </c>
      <c r="R168" s="12" t="n">
        <f aca="false">IF(OR($H168="",Q168=""),"",Q168/$H168)</f>
        <v>0.0206513285515343</v>
      </c>
      <c r="S168" s="9" t="s">
        <v>115</v>
      </c>
      <c r="T168" s="11" t="s">
        <v>119</v>
      </c>
      <c r="U168" s="11" t="s">
        <v>236</v>
      </c>
      <c r="V168" s="11" t="s">
        <v>121</v>
      </c>
      <c r="W168" s="10"/>
      <c r="X168" s="12"/>
      <c r="Y168" s="9"/>
      <c r="Z168" s="11"/>
      <c r="AA168" s="11"/>
      <c r="AB168" s="11"/>
      <c r="AC168" s="9"/>
      <c r="AD168" s="10"/>
      <c r="AE168" s="9"/>
      <c r="AF168" s="11"/>
      <c r="AG168" s="11"/>
      <c r="AH168" s="11"/>
      <c r="AI168" s="10" t="n">
        <v>89370</v>
      </c>
      <c r="AJ168" s="9" t="s">
        <v>122</v>
      </c>
      <c r="AK168" s="11" t="s">
        <v>123</v>
      </c>
      <c r="AL168" s="11" t="s">
        <v>124</v>
      </c>
      <c r="AM168" s="11" t="s">
        <v>125</v>
      </c>
    </row>
    <row r="169" customFormat="false" ht="15" hidden="false" customHeight="false" outlineLevel="0" collapsed="false">
      <c r="A169" s="9" t="s">
        <v>231</v>
      </c>
      <c r="B169" s="9" t="s">
        <v>232</v>
      </c>
      <c r="C169" s="9" t="s">
        <v>233</v>
      </c>
      <c r="D169" s="9" t="s">
        <v>234</v>
      </c>
      <c r="E169" s="9" t="n">
        <v>0</v>
      </c>
      <c r="F169" s="9" t="n">
        <v>1</v>
      </c>
      <c r="G169" s="9" t="n">
        <v>2021</v>
      </c>
      <c r="H169" s="10" t="n">
        <v>9630932</v>
      </c>
      <c r="I169" s="11" t="s">
        <v>98</v>
      </c>
      <c r="J169" s="11" t="s">
        <v>99</v>
      </c>
      <c r="K169" s="10" t="n">
        <v>597440</v>
      </c>
      <c r="L169" s="12" t="n">
        <f aca="false">IF(OR($H169="",K169=""),"",K169/$H169)</f>
        <v>0.0620334563674627</v>
      </c>
      <c r="M169" s="9" t="s">
        <v>115</v>
      </c>
      <c r="N169" s="11" t="s">
        <v>116</v>
      </c>
      <c r="O169" s="11" t="s">
        <v>235</v>
      </c>
      <c r="P169" s="11" t="s">
        <v>118</v>
      </c>
      <c r="Q169" s="10" t="n">
        <v>194240</v>
      </c>
      <c r="R169" s="12" t="n">
        <f aca="false">IF(OR($H169="",Q169=""),"",Q169/$H169)</f>
        <v>0.020168349231414</v>
      </c>
      <c r="S169" s="9" t="s">
        <v>115</v>
      </c>
      <c r="T169" s="11" t="s">
        <v>119</v>
      </c>
      <c r="U169" s="11" t="s">
        <v>236</v>
      </c>
      <c r="V169" s="11" t="s">
        <v>121</v>
      </c>
      <c r="W169" s="10"/>
      <c r="X169" s="12"/>
      <c r="Y169" s="9"/>
      <c r="Z169" s="11"/>
      <c r="AA169" s="11"/>
      <c r="AB169" s="11"/>
      <c r="AC169" s="9"/>
      <c r="AD169" s="10"/>
      <c r="AE169" s="9"/>
      <c r="AF169" s="11"/>
      <c r="AG169" s="11"/>
      <c r="AH169" s="11"/>
      <c r="AI169" s="10" t="n">
        <v>134140</v>
      </c>
      <c r="AJ169" s="9" t="s">
        <v>122</v>
      </c>
      <c r="AK169" s="11" t="s">
        <v>123</v>
      </c>
      <c r="AL169" s="11" t="s">
        <v>124</v>
      </c>
      <c r="AM169" s="11" t="s">
        <v>125</v>
      </c>
    </row>
    <row r="170" customFormat="false" ht="15" hidden="false" customHeight="false" outlineLevel="0" collapsed="false">
      <c r="A170" s="9" t="s">
        <v>231</v>
      </c>
      <c r="B170" s="9" t="s">
        <v>232</v>
      </c>
      <c r="C170" s="9" t="s">
        <v>233</v>
      </c>
      <c r="D170" s="9" t="s">
        <v>234</v>
      </c>
      <c r="E170" s="9" t="n">
        <v>0</v>
      </c>
      <c r="F170" s="9" t="n">
        <v>1</v>
      </c>
      <c r="G170" s="9" t="n">
        <v>2022</v>
      </c>
      <c r="H170" s="10" t="n">
        <v>9605074</v>
      </c>
      <c r="I170" s="11" t="s">
        <v>98</v>
      </c>
      <c r="J170" s="11" t="s">
        <v>99</v>
      </c>
      <c r="K170" s="10" t="n">
        <v>612618</v>
      </c>
      <c r="L170" s="12" t="n">
        <f aca="false">IF(OR($H170="",K170=""),"",K170/$H170)</f>
        <v>0.0637806642614102</v>
      </c>
      <c r="M170" s="9" t="s">
        <v>115</v>
      </c>
      <c r="N170" s="11" t="s">
        <v>116</v>
      </c>
      <c r="O170" s="11" t="s">
        <v>235</v>
      </c>
      <c r="P170" s="11" t="s">
        <v>118</v>
      </c>
      <c r="Q170" s="10" t="n">
        <v>202299</v>
      </c>
      <c r="R170" s="12" t="n">
        <f aca="false">IF(OR($H170="",Q170=""),"",Q170/$H170)</f>
        <v>0.0210616805242729</v>
      </c>
      <c r="S170" s="9" t="s">
        <v>115</v>
      </c>
      <c r="T170" s="11" t="s">
        <v>119</v>
      </c>
      <c r="U170" s="11" t="s">
        <v>236</v>
      </c>
      <c r="V170" s="11" t="s">
        <v>121</v>
      </c>
      <c r="W170" s="10"/>
      <c r="X170" s="12"/>
      <c r="Y170" s="9"/>
      <c r="Z170" s="11"/>
      <c r="AA170" s="11"/>
      <c r="AB170" s="11"/>
      <c r="AC170" s="9"/>
      <c r="AD170" s="10"/>
      <c r="AE170" s="9"/>
      <c r="AF170" s="11"/>
      <c r="AG170" s="11"/>
      <c r="AH170" s="11"/>
      <c r="AI170" s="10" t="n">
        <v>222515</v>
      </c>
      <c r="AJ170" s="9" t="s">
        <v>122</v>
      </c>
      <c r="AK170" s="11" t="s">
        <v>123</v>
      </c>
      <c r="AL170" s="11" t="s">
        <v>124</v>
      </c>
      <c r="AM170" s="11" t="s">
        <v>125</v>
      </c>
    </row>
    <row r="171" customFormat="false" ht="15" hidden="false" customHeight="false" outlineLevel="0" collapsed="false">
      <c r="A171" s="9" t="s">
        <v>237</v>
      </c>
      <c r="B171" s="9" t="s">
        <v>238</v>
      </c>
      <c r="C171" s="9" t="s">
        <v>239</v>
      </c>
      <c r="D171" s="9" t="s">
        <v>240</v>
      </c>
      <c r="E171" s="9" t="n">
        <v>0</v>
      </c>
      <c r="F171" s="9" t="n">
        <v>1</v>
      </c>
      <c r="G171" s="9" t="n">
        <v>2010</v>
      </c>
      <c r="H171" s="10" t="n">
        <v>318041</v>
      </c>
      <c r="I171" s="11" t="s">
        <v>98</v>
      </c>
      <c r="J171" s="11" t="s">
        <v>99</v>
      </c>
      <c r="K171" s="10" t="n">
        <v>35091</v>
      </c>
      <c r="L171" s="12" t="n">
        <f aca="false">IF(OR($H171="",K171=""),"",K171/$H171)</f>
        <v>0.110334831043796</v>
      </c>
      <c r="M171" s="9" t="s">
        <v>115</v>
      </c>
      <c r="N171" s="11" t="s">
        <v>116</v>
      </c>
      <c r="O171" s="11" t="s">
        <v>241</v>
      </c>
      <c r="P171" s="11" t="s">
        <v>118</v>
      </c>
      <c r="Q171" s="10" t="n">
        <v>21701</v>
      </c>
      <c r="R171" s="12" t="n">
        <f aca="false">IF(OR($H171="",Q171=""),"",Q171/$H171)</f>
        <v>0.0682333409843385</v>
      </c>
      <c r="S171" s="9" t="s">
        <v>115</v>
      </c>
      <c r="T171" s="11" t="s">
        <v>119</v>
      </c>
      <c r="U171" s="11" t="s">
        <v>242</v>
      </c>
      <c r="V171" s="11" t="s">
        <v>121</v>
      </c>
      <c r="W171" s="10"/>
      <c r="X171" s="12"/>
      <c r="Y171" s="9"/>
      <c r="Z171" s="11"/>
      <c r="AA171" s="11"/>
      <c r="AB171" s="11"/>
      <c r="AC171" s="9"/>
      <c r="AD171" s="10"/>
      <c r="AE171" s="9"/>
      <c r="AF171" s="11"/>
      <c r="AG171" s="11"/>
      <c r="AH171" s="11"/>
      <c r="AI171" s="10"/>
      <c r="AJ171" s="9"/>
      <c r="AK171" s="11"/>
      <c r="AL171" s="11"/>
      <c r="AM171" s="11"/>
    </row>
    <row r="172" customFormat="false" ht="15" hidden="false" customHeight="false" outlineLevel="0" collapsed="false">
      <c r="A172" s="9" t="s">
        <v>237</v>
      </c>
      <c r="B172" s="9" t="s">
        <v>238</v>
      </c>
      <c r="C172" s="9" t="s">
        <v>239</v>
      </c>
      <c r="D172" s="9" t="s">
        <v>240</v>
      </c>
      <c r="E172" s="9" t="n">
        <v>0</v>
      </c>
      <c r="F172" s="9" t="n">
        <v>1</v>
      </c>
      <c r="G172" s="9" t="n">
        <v>2011</v>
      </c>
      <c r="H172" s="10" t="n">
        <v>319014</v>
      </c>
      <c r="I172" s="11" t="s">
        <v>98</v>
      </c>
      <c r="J172" s="11" t="s">
        <v>99</v>
      </c>
      <c r="K172" s="10" t="n">
        <v>34650</v>
      </c>
      <c r="L172" s="12" t="n">
        <f aca="false">IF(OR($H172="",K172=""),"",K172/$H172)</f>
        <v>0.108615922812165</v>
      </c>
      <c r="M172" s="9" t="s">
        <v>115</v>
      </c>
      <c r="N172" s="11" t="s">
        <v>116</v>
      </c>
      <c r="O172" s="11" t="s">
        <v>241</v>
      </c>
      <c r="P172" s="11" t="s">
        <v>118</v>
      </c>
      <c r="Q172" s="10" t="n">
        <v>21143</v>
      </c>
      <c r="R172" s="12" t="n">
        <f aca="false">IF(OR($H172="",Q172=""),"",Q172/$H172)</f>
        <v>0.0662760881967563</v>
      </c>
      <c r="S172" s="9" t="s">
        <v>115</v>
      </c>
      <c r="T172" s="11" t="s">
        <v>119</v>
      </c>
      <c r="U172" s="11" t="s">
        <v>242</v>
      </c>
      <c r="V172" s="11" t="s">
        <v>121</v>
      </c>
      <c r="W172" s="10"/>
      <c r="X172" s="12"/>
      <c r="Y172" s="9"/>
      <c r="Z172" s="11"/>
      <c r="AA172" s="11"/>
      <c r="AB172" s="11"/>
      <c r="AC172" s="9"/>
      <c r="AD172" s="10"/>
      <c r="AE172" s="9"/>
      <c r="AF172" s="11"/>
      <c r="AG172" s="11"/>
      <c r="AH172" s="11"/>
      <c r="AI172" s="10"/>
      <c r="AJ172" s="9"/>
      <c r="AK172" s="11"/>
      <c r="AL172" s="11"/>
      <c r="AM172" s="11"/>
    </row>
    <row r="173" customFormat="false" ht="15" hidden="false" customHeight="false" outlineLevel="0" collapsed="false">
      <c r="A173" s="9" t="s">
        <v>237</v>
      </c>
      <c r="B173" s="9" t="s">
        <v>238</v>
      </c>
      <c r="C173" s="9" t="s">
        <v>239</v>
      </c>
      <c r="D173" s="9" t="s">
        <v>240</v>
      </c>
      <c r="E173" s="9" t="n">
        <v>0</v>
      </c>
      <c r="F173" s="9" t="n">
        <v>1</v>
      </c>
      <c r="G173" s="9" t="n">
        <v>2012</v>
      </c>
      <c r="H173" s="10" t="n">
        <v>320716</v>
      </c>
      <c r="I173" s="11" t="s">
        <v>98</v>
      </c>
      <c r="J173" s="11" t="s">
        <v>99</v>
      </c>
      <c r="K173" s="10" t="n">
        <v>34550</v>
      </c>
      <c r="L173" s="12" t="n">
        <f aca="false">IF(OR($H173="",K173=""),"",K173/$H173)</f>
        <v>0.107727709250552</v>
      </c>
      <c r="M173" s="9" t="s">
        <v>115</v>
      </c>
      <c r="N173" s="11" t="s">
        <v>116</v>
      </c>
      <c r="O173" s="11" t="s">
        <v>241</v>
      </c>
      <c r="P173" s="11" t="s">
        <v>118</v>
      </c>
      <c r="Q173" s="10" t="n">
        <v>20957</v>
      </c>
      <c r="R173" s="12" t="n">
        <f aca="false">IF(OR($H173="",Q173=""),"",Q173/$H173)</f>
        <v>0.0653444168672595</v>
      </c>
      <c r="S173" s="9" t="s">
        <v>115</v>
      </c>
      <c r="T173" s="11" t="s">
        <v>119</v>
      </c>
      <c r="U173" s="11" t="s">
        <v>242</v>
      </c>
      <c r="V173" s="11" t="s">
        <v>121</v>
      </c>
      <c r="W173" s="10"/>
      <c r="X173" s="12"/>
      <c r="Y173" s="9"/>
      <c r="Z173" s="11"/>
      <c r="AA173" s="11"/>
      <c r="AB173" s="11"/>
      <c r="AC173" s="9"/>
      <c r="AD173" s="10"/>
      <c r="AE173" s="9"/>
      <c r="AF173" s="11"/>
      <c r="AG173" s="11"/>
      <c r="AH173" s="11"/>
      <c r="AI173" s="10"/>
      <c r="AJ173" s="9"/>
      <c r="AK173" s="11"/>
      <c r="AL173" s="11"/>
      <c r="AM173" s="11"/>
    </row>
    <row r="174" customFormat="false" ht="15" hidden="false" customHeight="false" outlineLevel="0" collapsed="false">
      <c r="A174" s="9" t="s">
        <v>237</v>
      </c>
      <c r="B174" s="9" t="s">
        <v>238</v>
      </c>
      <c r="C174" s="9" t="s">
        <v>239</v>
      </c>
      <c r="D174" s="9" t="s">
        <v>240</v>
      </c>
      <c r="E174" s="9" t="n">
        <v>0</v>
      </c>
      <c r="F174" s="9" t="n">
        <v>1</v>
      </c>
      <c r="G174" s="9" t="n">
        <v>2013</v>
      </c>
      <c r="H174" s="10" t="n">
        <v>323764</v>
      </c>
      <c r="I174" s="11" t="s">
        <v>98</v>
      </c>
      <c r="J174" s="11" t="s">
        <v>99</v>
      </c>
      <c r="K174" s="10" t="n">
        <v>35319</v>
      </c>
      <c r="L174" s="12" t="n">
        <f aca="false">IF(OR($H174="",K174=""),"",K174/$H174)</f>
        <v>0.109088718943428</v>
      </c>
      <c r="M174" s="9" t="s">
        <v>115</v>
      </c>
      <c r="N174" s="11" t="s">
        <v>116</v>
      </c>
      <c r="O174" s="11" t="s">
        <v>241</v>
      </c>
      <c r="P174" s="11" t="s">
        <v>118</v>
      </c>
      <c r="Q174" s="10" t="n">
        <v>21446</v>
      </c>
      <c r="R174" s="12" t="n">
        <f aca="false">IF(OR($H174="",Q174=""),"",Q174/$H174)</f>
        <v>0.0662396066270493</v>
      </c>
      <c r="S174" s="9" t="s">
        <v>115</v>
      </c>
      <c r="T174" s="11" t="s">
        <v>119</v>
      </c>
      <c r="U174" s="11" t="s">
        <v>242</v>
      </c>
      <c r="V174" s="11" t="s">
        <v>121</v>
      </c>
      <c r="W174" s="10"/>
      <c r="X174" s="12"/>
      <c r="Y174" s="9"/>
      <c r="Z174" s="11"/>
      <c r="AA174" s="11"/>
      <c r="AB174" s="11"/>
      <c r="AC174" s="9"/>
      <c r="AD174" s="10"/>
      <c r="AE174" s="9"/>
      <c r="AF174" s="11"/>
      <c r="AG174" s="11"/>
      <c r="AH174" s="11"/>
      <c r="AI174" s="10"/>
      <c r="AJ174" s="9"/>
      <c r="AK174" s="11"/>
      <c r="AL174" s="11"/>
      <c r="AM174" s="11"/>
    </row>
    <row r="175" customFormat="false" ht="15" hidden="false" customHeight="false" outlineLevel="0" collapsed="false">
      <c r="A175" s="9" t="s">
        <v>237</v>
      </c>
      <c r="B175" s="9" t="s">
        <v>238</v>
      </c>
      <c r="C175" s="9" t="s">
        <v>239</v>
      </c>
      <c r="D175" s="9" t="s">
        <v>240</v>
      </c>
      <c r="E175" s="9" t="n">
        <v>0</v>
      </c>
      <c r="F175" s="9" t="n">
        <v>1</v>
      </c>
      <c r="G175" s="9" t="n">
        <v>2014</v>
      </c>
      <c r="H175" s="10" t="n">
        <v>327386</v>
      </c>
      <c r="I175" s="11" t="s">
        <v>98</v>
      </c>
      <c r="J175" s="11" t="s">
        <v>99</v>
      </c>
      <c r="K175" s="10" t="n">
        <v>37116</v>
      </c>
      <c r="L175" s="12" t="n">
        <f aca="false">IF(OR($H175="",K175=""),"",K175/$H175)</f>
        <v>0.113370761119901</v>
      </c>
      <c r="M175" s="9" t="s">
        <v>115</v>
      </c>
      <c r="N175" s="11" t="s">
        <v>116</v>
      </c>
      <c r="O175" s="11" t="s">
        <v>241</v>
      </c>
      <c r="P175" s="11" t="s">
        <v>118</v>
      </c>
      <c r="Q175" s="10" t="n">
        <v>22744</v>
      </c>
      <c r="R175" s="12" t="n">
        <f aca="false">IF(OR($H175="",Q175=""),"",Q175/$H175)</f>
        <v>0.0694715106937988</v>
      </c>
      <c r="S175" s="9" t="s">
        <v>115</v>
      </c>
      <c r="T175" s="11" t="s">
        <v>119</v>
      </c>
      <c r="U175" s="11" t="s">
        <v>242</v>
      </c>
      <c r="V175" s="11" t="s">
        <v>121</v>
      </c>
      <c r="W175" s="10"/>
      <c r="X175" s="12"/>
      <c r="Y175" s="9"/>
      <c r="Z175" s="11"/>
      <c r="AA175" s="11"/>
      <c r="AB175" s="11"/>
      <c r="AC175" s="9"/>
      <c r="AD175" s="10"/>
      <c r="AE175" s="9"/>
      <c r="AF175" s="11"/>
      <c r="AG175" s="11"/>
      <c r="AH175" s="11"/>
      <c r="AI175" s="10"/>
      <c r="AJ175" s="9"/>
      <c r="AK175" s="11"/>
      <c r="AL175" s="11"/>
      <c r="AM175" s="11"/>
    </row>
    <row r="176" customFormat="false" ht="15" hidden="false" customHeight="false" outlineLevel="0" collapsed="false">
      <c r="A176" s="9" t="s">
        <v>237</v>
      </c>
      <c r="B176" s="9" t="s">
        <v>238</v>
      </c>
      <c r="C176" s="9" t="s">
        <v>239</v>
      </c>
      <c r="D176" s="9" t="s">
        <v>240</v>
      </c>
      <c r="E176" s="9" t="n">
        <v>0</v>
      </c>
      <c r="F176" s="9" t="n">
        <v>1</v>
      </c>
      <c r="G176" s="9" t="n">
        <v>2015</v>
      </c>
      <c r="H176" s="10" t="n">
        <v>330815</v>
      </c>
      <c r="I176" s="11" t="s">
        <v>98</v>
      </c>
      <c r="J176" s="11" t="s">
        <v>99</v>
      </c>
      <c r="K176" s="10" t="n">
        <v>39072</v>
      </c>
      <c r="L176" s="12" t="n">
        <f aca="false">IF(OR($H176="",K176=""),"",K176/$H176)</f>
        <v>0.118108308268972</v>
      </c>
      <c r="M176" s="9" t="s">
        <v>115</v>
      </c>
      <c r="N176" s="11" t="s">
        <v>116</v>
      </c>
      <c r="O176" s="11" t="s">
        <v>241</v>
      </c>
      <c r="P176" s="11" t="s">
        <v>118</v>
      </c>
      <c r="Q176" s="10" t="n">
        <v>24294</v>
      </c>
      <c r="R176" s="12" t="n">
        <f aca="false">IF(OR($H176="",Q176=""),"",Q176/$H176)</f>
        <v>0.0734368151383704</v>
      </c>
      <c r="S176" s="9" t="s">
        <v>115</v>
      </c>
      <c r="T176" s="11" t="s">
        <v>119</v>
      </c>
      <c r="U176" s="11" t="s">
        <v>242</v>
      </c>
      <c r="V176" s="11" t="s">
        <v>121</v>
      </c>
      <c r="W176" s="10"/>
      <c r="X176" s="12"/>
      <c r="Y176" s="9"/>
      <c r="Z176" s="11"/>
      <c r="AA176" s="11"/>
      <c r="AB176" s="11"/>
      <c r="AC176" s="9"/>
      <c r="AD176" s="10"/>
      <c r="AE176" s="9"/>
      <c r="AF176" s="11"/>
      <c r="AG176" s="11"/>
      <c r="AH176" s="11"/>
      <c r="AI176" s="10"/>
      <c r="AJ176" s="9"/>
      <c r="AK176" s="11"/>
      <c r="AL176" s="11"/>
      <c r="AM176" s="11"/>
    </row>
    <row r="177" customFormat="false" ht="15" hidden="false" customHeight="false" outlineLevel="0" collapsed="false">
      <c r="A177" s="9" t="s">
        <v>237</v>
      </c>
      <c r="B177" s="9" t="s">
        <v>238</v>
      </c>
      <c r="C177" s="9" t="s">
        <v>239</v>
      </c>
      <c r="D177" s="9" t="s">
        <v>240</v>
      </c>
      <c r="E177" s="9" t="n">
        <v>0</v>
      </c>
      <c r="F177" s="9" t="n">
        <v>1</v>
      </c>
      <c r="G177" s="9" t="n">
        <v>2016</v>
      </c>
      <c r="H177" s="10" t="n">
        <v>335439</v>
      </c>
      <c r="I177" s="11" t="s">
        <v>98</v>
      </c>
      <c r="J177" s="11" t="s">
        <v>99</v>
      </c>
      <c r="K177" s="10" t="n">
        <v>41853</v>
      </c>
      <c r="L177" s="12" t="n">
        <f aca="false">IF(OR($H177="",K177=""),"",K177/$H177)</f>
        <v>0.124770822712922</v>
      </c>
      <c r="M177" s="9" t="s">
        <v>115</v>
      </c>
      <c r="N177" s="11" t="s">
        <v>116</v>
      </c>
      <c r="O177" s="11" t="s">
        <v>241</v>
      </c>
      <c r="P177" s="11" t="s">
        <v>118</v>
      </c>
      <c r="Q177" s="10" t="n">
        <v>26485</v>
      </c>
      <c r="R177" s="12" t="n">
        <f aca="false">IF(OR($H177="",Q177=""),"",Q177/$H177)</f>
        <v>0.0789562334731501</v>
      </c>
      <c r="S177" s="9" t="s">
        <v>115</v>
      </c>
      <c r="T177" s="11" t="s">
        <v>119</v>
      </c>
      <c r="U177" s="11" t="s">
        <v>242</v>
      </c>
      <c r="V177" s="11" t="s">
        <v>121</v>
      </c>
      <c r="W177" s="10"/>
      <c r="X177" s="12"/>
      <c r="Y177" s="9"/>
      <c r="Z177" s="11"/>
      <c r="AA177" s="11"/>
      <c r="AB177" s="11"/>
      <c r="AC177" s="9"/>
      <c r="AD177" s="10"/>
      <c r="AE177" s="9"/>
      <c r="AF177" s="11"/>
      <c r="AG177" s="11"/>
      <c r="AH177" s="11"/>
      <c r="AI177" s="10" t="n">
        <v>30</v>
      </c>
      <c r="AJ177" s="9" t="s">
        <v>122</v>
      </c>
      <c r="AK177" s="11" t="s">
        <v>123</v>
      </c>
      <c r="AL177" s="11" t="s">
        <v>124</v>
      </c>
      <c r="AM177" s="11" t="s">
        <v>243</v>
      </c>
    </row>
    <row r="178" customFormat="false" ht="15" hidden="false" customHeight="false" outlineLevel="0" collapsed="false">
      <c r="A178" s="9" t="s">
        <v>237</v>
      </c>
      <c r="B178" s="9" t="s">
        <v>238</v>
      </c>
      <c r="C178" s="9" t="s">
        <v>239</v>
      </c>
      <c r="D178" s="9" t="s">
        <v>240</v>
      </c>
      <c r="E178" s="9" t="n">
        <v>0</v>
      </c>
      <c r="F178" s="9" t="n">
        <v>1</v>
      </c>
      <c r="G178" s="9" t="n">
        <v>2017</v>
      </c>
      <c r="H178" s="10" t="n">
        <v>343400</v>
      </c>
      <c r="I178" s="11" t="s">
        <v>98</v>
      </c>
      <c r="J178" s="11" t="s">
        <v>99</v>
      </c>
      <c r="K178" s="10" t="n">
        <v>46080</v>
      </c>
      <c r="L178" s="12" t="n">
        <f aca="false">IF(OR($H178="",K178=""),"",K178/$H178)</f>
        <v>0.134187536400699</v>
      </c>
      <c r="M178" s="9" t="s">
        <v>115</v>
      </c>
      <c r="N178" s="11" t="s">
        <v>116</v>
      </c>
      <c r="O178" s="11" t="s">
        <v>241</v>
      </c>
      <c r="P178" s="11" t="s">
        <v>118</v>
      </c>
      <c r="Q178" s="10" t="n">
        <v>30275</v>
      </c>
      <c r="R178" s="12" t="n">
        <f aca="false">IF(OR($H178="",Q178=""),"",Q178/$H178)</f>
        <v>0.0881624927198602</v>
      </c>
      <c r="S178" s="9" t="s">
        <v>115</v>
      </c>
      <c r="T178" s="11" t="s">
        <v>119</v>
      </c>
      <c r="U178" s="11" t="s">
        <v>242</v>
      </c>
      <c r="V178" s="11" t="s">
        <v>121</v>
      </c>
      <c r="W178" s="10"/>
      <c r="X178" s="12"/>
      <c r="Y178" s="9"/>
      <c r="Z178" s="11"/>
      <c r="AA178" s="11"/>
      <c r="AB178" s="11"/>
      <c r="AC178" s="9"/>
      <c r="AD178" s="10"/>
      <c r="AE178" s="9"/>
      <c r="AF178" s="11"/>
      <c r="AG178" s="11"/>
      <c r="AH178" s="11"/>
      <c r="AI178" s="10" t="n">
        <v>15</v>
      </c>
      <c r="AJ178" s="9" t="s">
        <v>122</v>
      </c>
      <c r="AK178" s="11" t="s">
        <v>123</v>
      </c>
      <c r="AL178" s="11" t="s">
        <v>124</v>
      </c>
      <c r="AM178" s="11" t="s">
        <v>243</v>
      </c>
    </row>
    <row r="179" customFormat="false" ht="15" hidden="false" customHeight="false" outlineLevel="0" collapsed="false">
      <c r="A179" s="9" t="s">
        <v>237</v>
      </c>
      <c r="B179" s="9" t="s">
        <v>238</v>
      </c>
      <c r="C179" s="9" t="s">
        <v>239</v>
      </c>
      <c r="D179" s="9" t="s">
        <v>240</v>
      </c>
      <c r="E179" s="9" t="n">
        <v>0</v>
      </c>
      <c r="F179" s="9" t="n">
        <v>1</v>
      </c>
      <c r="G179" s="9" t="n">
        <v>2018</v>
      </c>
      <c r="H179" s="10" t="n">
        <v>352721</v>
      </c>
      <c r="I179" s="11" t="s">
        <v>98</v>
      </c>
      <c r="J179" s="11" t="s">
        <v>99</v>
      </c>
      <c r="K179" s="10" t="n">
        <v>53540</v>
      </c>
      <c r="L179" s="12" t="n">
        <f aca="false">IF(OR($H179="",K179=""),"",K179/$H179)</f>
        <v>0.151791359176233</v>
      </c>
      <c r="M179" s="9" t="s">
        <v>115</v>
      </c>
      <c r="N179" s="11" t="s">
        <v>116</v>
      </c>
      <c r="O179" s="11" t="s">
        <v>241</v>
      </c>
      <c r="P179" s="11" t="s">
        <v>118</v>
      </c>
      <c r="Q179" s="10" t="n">
        <v>37830</v>
      </c>
      <c r="R179" s="12" t="n">
        <f aca="false">IF(OR($H179="",Q179=""),"",Q179/$H179)</f>
        <v>0.107251907314847</v>
      </c>
      <c r="S179" s="9" t="s">
        <v>115</v>
      </c>
      <c r="T179" s="11" t="s">
        <v>119</v>
      </c>
      <c r="U179" s="11" t="s">
        <v>242</v>
      </c>
      <c r="V179" s="11" t="s">
        <v>121</v>
      </c>
      <c r="W179" s="10"/>
      <c r="X179" s="12"/>
      <c r="Y179" s="9"/>
      <c r="Z179" s="11"/>
      <c r="AA179" s="11"/>
      <c r="AB179" s="11"/>
      <c r="AC179" s="9"/>
      <c r="AD179" s="10"/>
      <c r="AE179" s="9"/>
      <c r="AF179" s="11"/>
      <c r="AG179" s="11"/>
      <c r="AH179" s="11"/>
      <c r="AI179" s="10"/>
      <c r="AJ179" s="9"/>
      <c r="AK179" s="11"/>
      <c r="AL179" s="11"/>
      <c r="AM179" s="11"/>
    </row>
    <row r="180" customFormat="false" ht="15" hidden="false" customHeight="false" outlineLevel="0" collapsed="false">
      <c r="A180" s="9" t="s">
        <v>237</v>
      </c>
      <c r="B180" s="9" t="s">
        <v>238</v>
      </c>
      <c r="C180" s="9" t="s">
        <v>239</v>
      </c>
      <c r="D180" s="9" t="s">
        <v>240</v>
      </c>
      <c r="E180" s="9" t="n">
        <v>0</v>
      </c>
      <c r="F180" s="9" t="n">
        <v>1</v>
      </c>
      <c r="G180" s="9" t="n">
        <v>2019</v>
      </c>
      <c r="H180" s="10" t="n">
        <v>360563</v>
      </c>
      <c r="I180" s="11" t="s">
        <v>98</v>
      </c>
      <c r="J180" s="11" t="s">
        <v>99</v>
      </c>
      <c r="K180" s="10" t="n">
        <v>59999</v>
      </c>
      <c r="L180" s="12" t="n">
        <f aca="false">IF(OR($H180="",K180=""),"",K180/$H180)</f>
        <v>0.166403652066352</v>
      </c>
      <c r="M180" s="9" t="s">
        <v>115</v>
      </c>
      <c r="N180" s="11" t="s">
        <v>116</v>
      </c>
      <c r="O180" s="11" t="s">
        <v>241</v>
      </c>
      <c r="P180" s="11" t="s">
        <v>118</v>
      </c>
      <c r="Q180" s="10" t="n">
        <v>44269</v>
      </c>
      <c r="R180" s="12" t="n">
        <f aca="false">IF(OR($H180="",Q180=""),"",Q180/$H180)</f>
        <v>0.122777434179325</v>
      </c>
      <c r="S180" s="9" t="s">
        <v>115</v>
      </c>
      <c r="T180" s="11" t="s">
        <v>119</v>
      </c>
      <c r="U180" s="11" t="s">
        <v>242</v>
      </c>
      <c r="V180" s="11" t="s">
        <v>121</v>
      </c>
      <c r="W180" s="10"/>
      <c r="X180" s="12"/>
      <c r="Y180" s="9"/>
      <c r="Z180" s="11"/>
      <c r="AA180" s="11"/>
      <c r="AB180" s="11"/>
      <c r="AC180" s="9"/>
      <c r="AD180" s="10"/>
      <c r="AE180" s="9"/>
      <c r="AF180" s="11"/>
      <c r="AG180" s="11"/>
      <c r="AH180" s="11"/>
      <c r="AI180" s="10" t="n">
        <v>110</v>
      </c>
      <c r="AJ180" s="9" t="s">
        <v>122</v>
      </c>
      <c r="AK180" s="11" t="s">
        <v>123</v>
      </c>
      <c r="AL180" s="11" t="s">
        <v>124</v>
      </c>
      <c r="AM180" s="11" t="s">
        <v>243</v>
      </c>
    </row>
    <row r="181" customFormat="false" ht="15" hidden="false" customHeight="false" outlineLevel="0" collapsed="false">
      <c r="A181" s="9" t="s">
        <v>237</v>
      </c>
      <c r="B181" s="9" t="s">
        <v>238</v>
      </c>
      <c r="C181" s="9" t="s">
        <v>239</v>
      </c>
      <c r="D181" s="9" t="s">
        <v>240</v>
      </c>
      <c r="E181" s="9" t="n">
        <v>0</v>
      </c>
      <c r="F181" s="9" t="n">
        <v>1</v>
      </c>
      <c r="G181" s="9" t="n">
        <v>2020</v>
      </c>
      <c r="H181" s="10" t="n">
        <v>366463</v>
      </c>
      <c r="I181" s="11" t="s">
        <v>98</v>
      </c>
      <c r="J181" s="11" t="s">
        <v>99</v>
      </c>
      <c r="K181" s="10" t="n">
        <v>65205</v>
      </c>
      <c r="L181" s="12" t="n">
        <f aca="false">IF(OR($H181="",K181=""),"",K181/$H181)</f>
        <v>0.177930650570453</v>
      </c>
      <c r="M181" s="9" t="s">
        <v>115</v>
      </c>
      <c r="N181" s="11" t="s">
        <v>116</v>
      </c>
      <c r="O181" s="11" t="s">
        <v>241</v>
      </c>
      <c r="P181" s="11" t="s">
        <v>118</v>
      </c>
      <c r="Q181" s="10" t="n">
        <v>49391</v>
      </c>
      <c r="R181" s="12" t="n">
        <f aca="false">IF(OR($H181="",Q181=""),"",Q181/$H181)</f>
        <v>0.134777590097773</v>
      </c>
      <c r="S181" s="9" t="s">
        <v>115</v>
      </c>
      <c r="T181" s="11" t="s">
        <v>119</v>
      </c>
      <c r="U181" s="11" t="s">
        <v>242</v>
      </c>
      <c r="V181" s="11" t="s">
        <v>121</v>
      </c>
      <c r="W181" s="10"/>
      <c r="X181" s="12"/>
      <c r="Y181" s="9"/>
      <c r="Z181" s="11"/>
      <c r="AA181" s="11"/>
      <c r="AB181" s="11"/>
      <c r="AC181" s="9"/>
      <c r="AD181" s="10"/>
      <c r="AE181" s="9"/>
      <c r="AF181" s="11"/>
      <c r="AG181" s="11"/>
      <c r="AH181" s="11"/>
      <c r="AI181" s="10"/>
      <c r="AJ181" s="9"/>
      <c r="AK181" s="11"/>
      <c r="AL181" s="11"/>
      <c r="AM181" s="11"/>
    </row>
    <row r="182" customFormat="false" ht="15" hidden="false" customHeight="false" outlineLevel="0" collapsed="false">
      <c r="A182" s="9" t="s">
        <v>237</v>
      </c>
      <c r="B182" s="9" t="s">
        <v>238</v>
      </c>
      <c r="C182" s="9" t="s">
        <v>239</v>
      </c>
      <c r="D182" s="9" t="s">
        <v>240</v>
      </c>
      <c r="E182" s="9" t="n">
        <v>0</v>
      </c>
      <c r="F182" s="9" t="n">
        <v>1</v>
      </c>
      <c r="G182" s="9" t="n">
        <v>2021</v>
      </c>
      <c r="H182" s="10" t="n">
        <v>372520</v>
      </c>
      <c r="I182" s="11" t="s">
        <v>98</v>
      </c>
      <c r="J182" s="11" t="s">
        <v>99</v>
      </c>
      <c r="K182" s="10" t="n">
        <v>67438</v>
      </c>
      <c r="L182" s="12" t="n">
        <f aca="false">IF(OR($H182="",K182=""),"",K182/$H182)</f>
        <v>0.181031890905186</v>
      </c>
      <c r="M182" s="9" t="s">
        <v>115</v>
      </c>
      <c r="N182" s="11" t="s">
        <v>116</v>
      </c>
      <c r="O182" s="11" t="s">
        <v>241</v>
      </c>
      <c r="P182" s="11" t="s">
        <v>118</v>
      </c>
      <c r="Q182" s="10" t="n">
        <v>51283</v>
      </c>
      <c r="R182" s="12" t="n">
        <f aca="false">IF(OR($H182="",Q182=""),"",Q182/$H182)</f>
        <v>0.137665091807151</v>
      </c>
      <c r="S182" s="9" t="s">
        <v>115</v>
      </c>
      <c r="T182" s="11" t="s">
        <v>119</v>
      </c>
      <c r="U182" s="11" t="s">
        <v>242</v>
      </c>
      <c r="V182" s="11" t="s">
        <v>121</v>
      </c>
      <c r="W182" s="10"/>
      <c r="X182" s="12"/>
      <c r="Y182" s="9"/>
      <c r="Z182" s="11"/>
      <c r="AA182" s="11"/>
      <c r="AB182" s="11"/>
      <c r="AC182" s="9"/>
      <c r="AD182" s="10"/>
      <c r="AE182" s="9"/>
      <c r="AF182" s="11"/>
      <c r="AG182" s="11"/>
      <c r="AH182" s="11"/>
      <c r="AI182" s="10"/>
      <c r="AJ182" s="9"/>
      <c r="AK182" s="11"/>
      <c r="AL182" s="11"/>
      <c r="AM182" s="11"/>
    </row>
    <row r="183" customFormat="false" ht="15" hidden="false" customHeight="false" outlineLevel="0" collapsed="false">
      <c r="A183" s="9" t="s">
        <v>237</v>
      </c>
      <c r="B183" s="9" t="s">
        <v>238</v>
      </c>
      <c r="C183" s="9" t="s">
        <v>239</v>
      </c>
      <c r="D183" s="9" t="s">
        <v>240</v>
      </c>
      <c r="E183" s="9" t="n">
        <v>0</v>
      </c>
      <c r="F183" s="9" t="n">
        <v>1</v>
      </c>
      <c r="G183" s="9" t="n">
        <v>2022</v>
      </c>
      <c r="H183" s="10" t="n">
        <v>382003</v>
      </c>
      <c r="I183" s="11" t="s">
        <v>98</v>
      </c>
      <c r="J183" s="11" t="s">
        <v>99</v>
      </c>
      <c r="K183" s="10" t="n">
        <v>71767</v>
      </c>
      <c r="L183" s="12" t="n">
        <f aca="false">IF(OR($H183="",K183=""),"",K183/$H183)</f>
        <v>0.187870252327861</v>
      </c>
      <c r="M183" s="9" t="s">
        <v>115</v>
      </c>
      <c r="N183" s="11" t="s">
        <v>116</v>
      </c>
      <c r="O183" s="11" t="s">
        <v>241</v>
      </c>
      <c r="P183" s="11" t="s">
        <v>118</v>
      </c>
      <c r="Q183" s="10" t="n">
        <v>54959</v>
      </c>
      <c r="R183" s="12" t="n">
        <f aca="false">IF(OR($H183="",Q183=""),"",Q183/$H183)</f>
        <v>0.143870597874886</v>
      </c>
      <c r="S183" s="9" t="s">
        <v>115</v>
      </c>
      <c r="T183" s="11" t="s">
        <v>119</v>
      </c>
      <c r="U183" s="11" t="s">
        <v>242</v>
      </c>
      <c r="V183" s="11" t="s">
        <v>121</v>
      </c>
      <c r="W183" s="10"/>
      <c r="X183" s="12"/>
      <c r="Y183" s="9"/>
      <c r="Z183" s="11"/>
      <c r="AA183" s="11"/>
      <c r="AB183" s="11"/>
      <c r="AC183" s="9"/>
      <c r="AD183" s="10"/>
      <c r="AE183" s="9"/>
      <c r="AF183" s="11"/>
      <c r="AG183" s="11"/>
      <c r="AH183" s="11"/>
      <c r="AI183" s="10"/>
      <c r="AJ183" s="9"/>
      <c r="AK183" s="11"/>
      <c r="AL183" s="11"/>
      <c r="AM183" s="11"/>
    </row>
    <row r="184" customFormat="false" ht="15" hidden="false" customHeight="false" outlineLevel="0" collapsed="false">
      <c r="A184" s="9" t="s">
        <v>244</v>
      </c>
      <c r="B184" s="9" t="s">
        <v>245</v>
      </c>
      <c r="C184" s="9" t="s">
        <v>246</v>
      </c>
      <c r="D184" s="9" t="s">
        <v>247</v>
      </c>
      <c r="E184" s="9" t="n">
        <v>0</v>
      </c>
      <c r="F184" s="9" t="n">
        <v>1</v>
      </c>
      <c r="G184" s="9" t="n">
        <v>2010</v>
      </c>
      <c r="H184" s="10" t="n">
        <v>1243481564</v>
      </c>
      <c r="I184" s="11" t="s">
        <v>98</v>
      </c>
      <c r="J184" s="11" t="s">
        <v>99</v>
      </c>
      <c r="K184" s="10" t="n">
        <v>5601237</v>
      </c>
      <c r="L184" s="12" t="n">
        <f aca="false">IF(OR($H184="",K184=""),"",K184/$H184)</f>
        <v>0.00450447932817121</v>
      </c>
      <c r="M184" s="9" t="s">
        <v>100</v>
      </c>
      <c r="N184" s="11" t="s">
        <v>167</v>
      </c>
      <c r="O184" s="11" t="s">
        <v>168</v>
      </c>
      <c r="P184" s="11" t="s">
        <v>174</v>
      </c>
      <c r="Q184" s="10"/>
      <c r="R184" s="12"/>
      <c r="S184" s="9"/>
      <c r="T184" s="11"/>
      <c r="U184" s="11"/>
      <c r="V184" s="11"/>
      <c r="W184" s="10"/>
      <c r="X184" s="12"/>
      <c r="Y184" s="9"/>
      <c r="Z184" s="11"/>
      <c r="AA184" s="11"/>
      <c r="AB184" s="11"/>
      <c r="AC184" s="9"/>
      <c r="AD184" s="10"/>
      <c r="AE184" s="9"/>
      <c r="AF184" s="11"/>
      <c r="AG184" s="11"/>
      <c r="AH184" s="11"/>
      <c r="AI184" s="10"/>
      <c r="AJ184" s="9"/>
      <c r="AK184" s="11"/>
      <c r="AL184" s="11"/>
      <c r="AM184" s="11"/>
    </row>
    <row r="185" customFormat="false" ht="15" hidden="false" customHeight="false" outlineLevel="0" collapsed="false">
      <c r="A185" s="9" t="s">
        <v>244</v>
      </c>
      <c r="B185" s="9" t="s">
        <v>245</v>
      </c>
      <c r="C185" s="9" t="s">
        <v>246</v>
      </c>
      <c r="D185" s="9" t="s">
        <v>247</v>
      </c>
      <c r="E185" s="9" t="n">
        <v>0</v>
      </c>
      <c r="F185" s="9" t="n">
        <v>1</v>
      </c>
      <c r="G185" s="9" t="n">
        <v>2011</v>
      </c>
      <c r="H185" s="10" t="n">
        <v>1261224954</v>
      </c>
      <c r="I185" s="11" t="s">
        <v>98</v>
      </c>
      <c r="J185" s="11" t="s">
        <v>99</v>
      </c>
      <c r="K185" s="10" t="n">
        <v>5490000</v>
      </c>
      <c r="L185" s="12" t="n">
        <f aca="false">IF(OR($H185="",K185=""),"",K185/$H185)</f>
        <v>0.0043529110192344</v>
      </c>
      <c r="M185" s="9" t="s">
        <v>170</v>
      </c>
      <c r="N185" s="11" t="s">
        <v>248</v>
      </c>
      <c r="O185" s="11" t="s">
        <v>249</v>
      </c>
      <c r="P185" s="11" t="s">
        <v>250</v>
      </c>
      <c r="Q185" s="10"/>
      <c r="R185" s="12"/>
      <c r="S185" s="9"/>
      <c r="T185" s="11"/>
      <c r="U185" s="11"/>
      <c r="V185" s="11"/>
      <c r="W185" s="10"/>
      <c r="X185" s="12"/>
      <c r="Y185" s="9"/>
      <c r="Z185" s="11"/>
      <c r="AA185" s="11"/>
      <c r="AB185" s="11"/>
      <c r="AC185" s="9"/>
      <c r="AD185" s="10"/>
      <c r="AE185" s="9"/>
      <c r="AF185" s="11"/>
      <c r="AG185" s="11"/>
      <c r="AH185" s="11"/>
      <c r="AI185" s="10"/>
      <c r="AJ185" s="9"/>
      <c r="AK185" s="11"/>
      <c r="AL185" s="11"/>
      <c r="AM185" s="11"/>
    </row>
    <row r="186" customFormat="false" ht="15" hidden="false" customHeight="false" outlineLevel="0" collapsed="false">
      <c r="A186" s="9" t="s">
        <v>244</v>
      </c>
      <c r="B186" s="9" t="s">
        <v>245</v>
      </c>
      <c r="C186" s="9" t="s">
        <v>246</v>
      </c>
      <c r="D186" s="9" t="s">
        <v>247</v>
      </c>
      <c r="E186" s="9" t="n">
        <v>0</v>
      </c>
      <c r="F186" s="9" t="n">
        <v>1</v>
      </c>
      <c r="G186" s="9" t="n">
        <v>2012</v>
      </c>
      <c r="H186" s="10" t="n">
        <v>1278674502</v>
      </c>
      <c r="I186" s="11" t="s">
        <v>98</v>
      </c>
      <c r="J186" s="11" t="s">
        <v>99</v>
      </c>
      <c r="K186" s="10"/>
      <c r="L186" s="12"/>
      <c r="M186" s="9"/>
      <c r="N186" s="11"/>
      <c r="O186" s="11"/>
      <c r="P186" s="11"/>
      <c r="Q186" s="10"/>
      <c r="R186" s="12"/>
      <c r="S186" s="9"/>
      <c r="T186" s="11"/>
      <c r="U186" s="11"/>
      <c r="V186" s="11"/>
      <c r="W186" s="10"/>
      <c r="X186" s="12"/>
      <c r="Y186" s="9"/>
      <c r="Z186" s="11"/>
      <c r="AA186" s="11"/>
      <c r="AB186" s="11"/>
      <c r="AC186" s="9"/>
      <c r="AD186" s="10"/>
      <c r="AE186" s="9"/>
      <c r="AF186" s="11"/>
      <c r="AG186" s="11"/>
      <c r="AH186" s="11"/>
      <c r="AI186" s="10"/>
      <c r="AJ186" s="9"/>
      <c r="AK186" s="11"/>
      <c r="AL186" s="11"/>
      <c r="AM186" s="11"/>
    </row>
    <row r="187" customFormat="false" ht="15" hidden="false" customHeight="false" outlineLevel="0" collapsed="false">
      <c r="A187" s="9" t="s">
        <v>244</v>
      </c>
      <c r="B187" s="9" t="s">
        <v>245</v>
      </c>
      <c r="C187" s="9" t="s">
        <v>246</v>
      </c>
      <c r="D187" s="9" t="s">
        <v>247</v>
      </c>
      <c r="E187" s="9" t="n">
        <v>0</v>
      </c>
      <c r="F187" s="9" t="n">
        <v>1</v>
      </c>
      <c r="G187" s="9" t="n">
        <v>2013</v>
      </c>
      <c r="H187" s="10" t="n">
        <v>1295829511</v>
      </c>
      <c r="I187" s="11" t="s">
        <v>98</v>
      </c>
      <c r="J187" s="11" t="s">
        <v>99</v>
      </c>
      <c r="K187" s="10"/>
      <c r="L187" s="12"/>
      <c r="M187" s="9"/>
      <c r="N187" s="11"/>
      <c r="O187" s="11"/>
      <c r="P187" s="11"/>
      <c r="Q187" s="10"/>
      <c r="R187" s="12"/>
      <c r="S187" s="9"/>
      <c r="T187" s="11"/>
      <c r="U187" s="11"/>
      <c r="V187" s="11"/>
      <c r="W187" s="10"/>
      <c r="X187" s="12"/>
      <c r="Y187" s="9"/>
      <c r="Z187" s="11"/>
      <c r="AA187" s="11"/>
      <c r="AB187" s="11"/>
      <c r="AC187" s="9"/>
      <c r="AD187" s="10"/>
      <c r="AE187" s="9"/>
      <c r="AF187" s="11"/>
      <c r="AG187" s="11"/>
      <c r="AH187" s="11"/>
      <c r="AI187" s="10"/>
      <c r="AJ187" s="9"/>
      <c r="AK187" s="11"/>
      <c r="AL187" s="11"/>
      <c r="AM187" s="11"/>
    </row>
    <row r="188" customFormat="false" ht="15" hidden="false" customHeight="false" outlineLevel="0" collapsed="false">
      <c r="A188" s="9" t="s">
        <v>244</v>
      </c>
      <c r="B188" s="9" t="s">
        <v>245</v>
      </c>
      <c r="C188" s="9" t="s">
        <v>246</v>
      </c>
      <c r="D188" s="9" t="s">
        <v>247</v>
      </c>
      <c r="E188" s="9" t="n">
        <v>0</v>
      </c>
      <c r="F188" s="9" t="n">
        <v>1</v>
      </c>
      <c r="G188" s="9" t="n">
        <v>2014</v>
      </c>
      <c r="H188" s="10" t="n">
        <v>1312277191</v>
      </c>
      <c r="I188" s="11" t="s">
        <v>98</v>
      </c>
      <c r="J188" s="11" t="s">
        <v>99</v>
      </c>
      <c r="K188" s="10"/>
      <c r="L188" s="12"/>
      <c r="M188" s="9"/>
      <c r="N188" s="11"/>
      <c r="O188" s="11"/>
      <c r="P188" s="11"/>
      <c r="Q188" s="10"/>
      <c r="R188" s="12"/>
      <c r="S188" s="9"/>
      <c r="T188" s="11"/>
      <c r="U188" s="11"/>
      <c r="V188" s="11"/>
      <c r="W188" s="10"/>
      <c r="X188" s="12"/>
      <c r="Y188" s="9"/>
      <c r="Z188" s="11"/>
      <c r="AA188" s="11"/>
      <c r="AB188" s="11"/>
      <c r="AC188" s="9"/>
      <c r="AD188" s="10"/>
      <c r="AE188" s="9"/>
      <c r="AF188" s="11"/>
      <c r="AG188" s="11"/>
      <c r="AH188" s="11"/>
      <c r="AI188" s="10"/>
      <c r="AJ188" s="9"/>
      <c r="AK188" s="11"/>
      <c r="AL188" s="11"/>
      <c r="AM188" s="11"/>
    </row>
    <row r="189" customFormat="false" ht="15" hidden="false" customHeight="false" outlineLevel="0" collapsed="false">
      <c r="A189" s="9" t="s">
        <v>244</v>
      </c>
      <c r="B189" s="9" t="s">
        <v>245</v>
      </c>
      <c r="C189" s="9" t="s">
        <v>246</v>
      </c>
      <c r="D189" s="9" t="s">
        <v>247</v>
      </c>
      <c r="E189" s="9" t="n">
        <v>0</v>
      </c>
      <c r="F189" s="9" t="n">
        <v>1</v>
      </c>
      <c r="G189" s="9" t="n">
        <v>2015</v>
      </c>
      <c r="H189" s="10" t="n">
        <v>1328024498</v>
      </c>
      <c r="I189" s="11" t="s">
        <v>98</v>
      </c>
      <c r="J189" s="11" t="s">
        <v>99</v>
      </c>
      <c r="K189" s="10" t="n">
        <v>5252296</v>
      </c>
      <c r="L189" s="12" t="n">
        <f aca="false">IF(OR($H189="",K189=""),"",K189/$H189)</f>
        <v>0.00395496921021407</v>
      </c>
      <c r="M189" s="9" t="s">
        <v>100</v>
      </c>
      <c r="N189" s="11" t="s">
        <v>167</v>
      </c>
      <c r="O189" s="11" t="s">
        <v>168</v>
      </c>
      <c r="P189" s="11" t="s">
        <v>174</v>
      </c>
      <c r="Q189" s="10"/>
      <c r="R189" s="12"/>
      <c r="S189" s="9"/>
      <c r="T189" s="11"/>
      <c r="U189" s="11"/>
      <c r="V189" s="11"/>
      <c r="W189" s="10"/>
      <c r="X189" s="12"/>
      <c r="Y189" s="9"/>
      <c r="Z189" s="11"/>
      <c r="AA189" s="11"/>
      <c r="AB189" s="11"/>
      <c r="AC189" s="9"/>
      <c r="AD189" s="10"/>
      <c r="AE189" s="9"/>
      <c r="AF189" s="11"/>
      <c r="AG189" s="11"/>
      <c r="AH189" s="11"/>
      <c r="AI189" s="10"/>
      <c r="AJ189" s="9"/>
      <c r="AK189" s="11"/>
      <c r="AL189" s="11"/>
      <c r="AM189" s="11"/>
    </row>
    <row r="190" customFormat="false" ht="15" hidden="false" customHeight="false" outlineLevel="0" collapsed="false">
      <c r="A190" s="9" t="s">
        <v>244</v>
      </c>
      <c r="B190" s="9" t="s">
        <v>245</v>
      </c>
      <c r="C190" s="9" t="s">
        <v>246</v>
      </c>
      <c r="D190" s="9" t="s">
        <v>247</v>
      </c>
      <c r="E190" s="9" t="n">
        <v>0</v>
      </c>
      <c r="F190" s="9" t="n">
        <v>1</v>
      </c>
      <c r="G190" s="9" t="n">
        <v>2016</v>
      </c>
      <c r="H190" s="10" t="n">
        <v>1343944296</v>
      </c>
      <c r="I190" s="11" t="s">
        <v>98</v>
      </c>
      <c r="J190" s="11" t="s">
        <v>99</v>
      </c>
      <c r="K190" s="10"/>
      <c r="L190" s="12"/>
      <c r="M190" s="9"/>
      <c r="N190" s="11"/>
      <c r="O190" s="11"/>
      <c r="P190" s="11"/>
      <c r="Q190" s="10"/>
      <c r="R190" s="12"/>
      <c r="S190" s="9"/>
      <c r="T190" s="11"/>
      <c r="U190" s="11"/>
      <c r="V190" s="11"/>
      <c r="W190" s="10"/>
      <c r="X190" s="12"/>
      <c r="Y190" s="9"/>
      <c r="Z190" s="11"/>
      <c r="AA190" s="11"/>
      <c r="AB190" s="11"/>
      <c r="AC190" s="9"/>
      <c r="AD190" s="10"/>
      <c r="AE190" s="9"/>
      <c r="AF190" s="11"/>
      <c r="AG190" s="11"/>
      <c r="AH190" s="11"/>
      <c r="AI190" s="10"/>
      <c r="AJ190" s="9"/>
      <c r="AK190" s="11"/>
      <c r="AL190" s="11"/>
      <c r="AM190" s="11"/>
    </row>
    <row r="191" customFormat="false" ht="15" hidden="false" customHeight="false" outlineLevel="0" collapsed="false">
      <c r="A191" s="9" t="s">
        <v>244</v>
      </c>
      <c r="B191" s="9" t="s">
        <v>245</v>
      </c>
      <c r="C191" s="9" t="s">
        <v>246</v>
      </c>
      <c r="D191" s="9" t="s">
        <v>247</v>
      </c>
      <c r="E191" s="9" t="n">
        <v>0</v>
      </c>
      <c r="F191" s="9" t="n">
        <v>1</v>
      </c>
      <c r="G191" s="9" t="n">
        <v>2017</v>
      </c>
      <c r="H191" s="10" t="n">
        <v>1359657400</v>
      </c>
      <c r="I191" s="11" t="s">
        <v>98</v>
      </c>
      <c r="J191" s="11" t="s">
        <v>99</v>
      </c>
      <c r="K191" s="10"/>
      <c r="L191" s="12"/>
      <c r="M191" s="9"/>
      <c r="N191" s="11"/>
      <c r="O191" s="11"/>
      <c r="P191" s="11"/>
      <c r="Q191" s="10"/>
      <c r="R191" s="12"/>
      <c r="S191" s="9"/>
      <c r="T191" s="11"/>
      <c r="U191" s="11"/>
      <c r="V191" s="11"/>
      <c r="W191" s="10"/>
      <c r="X191" s="12"/>
      <c r="Y191" s="9"/>
      <c r="Z191" s="11"/>
      <c r="AA191" s="11"/>
      <c r="AB191" s="11"/>
      <c r="AC191" s="9"/>
      <c r="AD191" s="10"/>
      <c r="AE191" s="9"/>
      <c r="AF191" s="11"/>
      <c r="AG191" s="11"/>
      <c r="AH191" s="11"/>
      <c r="AI191" s="10"/>
      <c r="AJ191" s="9"/>
      <c r="AK191" s="11"/>
      <c r="AL191" s="11"/>
      <c r="AM191" s="11"/>
    </row>
    <row r="192" customFormat="false" ht="15" hidden="false" customHeight="false" outlineLevel="0" collapsed="false">
      <c r="A192" s="9" t="s">
        <v>244</v>
      </c>
      <c r="B192" s="9" t="s">
        <v>245</v>
      </c>
      <c r="C192" s="9" t="s">
        <v>246</v>
      </c>
      <c r="D192" s="9" t="s">
        <v>247</v>
      </c>
      <c r="E192" s="9" t="n">
        <v>0</v>
      </c>
      <c r="F192" s="9" t="n">
        <v>1</v>
      </c>
      <c r="G192" s="9" t="n">
        <v>2018</v>
      </c>
      <c r="H192" s="10" t="n">
        <v>1374659064</v>
      </c>
      <c r="I192" s="11" t="s">
        <v>98</v>
      </c>
      <c r="J192" s="11" t="s">
        <v>99</v>
      </c>
      <c r="K192" s="10"/>
      <c r="L192" s="12"/>
      <c r="M192" s="9"/>
      <c r="N192" s="11"/>
      <c r="O192" s="11"/>
      <c r="P192" s="11"/>
      <c r="Q192" s="10"/>
      <c r="R192" s="12"/>
      <c r="S192" s="9"/>
      <c r="T192" s="11"/>
      <c r="U192" s="11"/>
      <c r="V192" s="11"/>
      <c r="W192" s="10"/>
      <c r="X192" s="12"/>
      <c r="Y192" s="9"/>
      <c r="Z192" s="11"/>
      <c r="AA192" s="11"/>
      <c r="AB192" s="11"/>
      <c r="AC192" s="9"/>
      <c r="AD192" s="10"/>
      <c r="AE192" s="9"/>
      <c r="AF192" s="11"/>
      <c r="AG192" s="11"/>
      <c r="AH192" s="11"/>
      <c r="AI192" s="10"/>
      <c r="AJ192" s="9"/>
      <c r="AK192" s="11"/>
      <c r="AL192" s="11"/>
      <c r="AM192" s="11"/>
    </row>
    <row r="193" customFormat="false" ht="15" hidden="false" customHeight="false" outlineLevel="0" collapsed="false">
      <c r="A193" s="9" t="s">
        <v>244</v>
      </c>
      <c r="B193" s="9" t="s">
        <v>245</v>
      </c>
      <c r="C193" s="9" t="s">
        <v>246</v>
      </c>
      <c r="D193" s="9" t="s">
        <v>247</v>
      </c>
      <c r="E193" s="9" t="n">
        <v>0</v>
      </c>
      <c r="F193" s="9" t="n">
        <v>1</v>
      </c>
      <c r="G193" s="9" t="n">
        <v>2019</v>
      </c>
      <c r="H193" s="10" t="n">
        <v>1389030312</v>
      </c>
      <c r="I193" s="11" t="s">
        <v>98</v>
      </c>
      <c r="J193" s="11" t="s">
        <v>99</v>
      </c>
      <c r="K193" s="10"/>
      <c r="L193" s="12"/>
      <c r="M193" s="9"/>
      <c r="N193" s="11"/>
      <c r="O193" s="11"/>
      <c r="P193" s="11"/>
      <c r="Q193" s="10"/>
      <c r="R193" s="12"/>
      <c r="S193" s="9"/>
      <c r="T193" s="11"/>
      <c r="U193" s="11"/>
      <c r="V193" s="11"/>
      <c r="W193" s="10"/>
      <c r="X193" s="12"/>
      <c r="Y193" s="9"/>
      <c r="Z193" s="11"/>
      <c r="AA193" s="11"/>
      <c r="AB193" s="11"/>
      <c r="AC193" s="9"/>
      <c r="AD193" s="10"/>
      <c r="AE193" s="9"/>
      <c r="AF193" s="11"/>
      <c r="AG193" s="11"/>
      <c r="AH193" s="11"/>
      <c r="AI193" s="10"/>
      <c r="AJ193" s="9"/>
      <c r="AK193" s="11"/>
      <c r="AL193" s="11"/>
      <c r="AM193" s="11"/>
    </row>
    <row r="194" customFormat="false" ht="15" hidden="false" customHeight="false" outlineLevel="0" collapsed="false">
      <c r="A194" s="9" t="s">
        <v>244</v>
      </c>
      <c r="B194" s="9" t="s">
        <v>245</v>
      </c>
      <c r="C194" s="9" t="s">
        <v>246</v>
      </c>
      <c r="D194" s="9" t="s">
        <v>247</v>
      </c>
      <c r="E194" s="9" t="n">
        <v>0</v>
      </c>
      <c r="F194" s="9" t="n">
        <v>1</v>
      </c>
      <c r="G194" s="9" t="n">
        <v>2020</v>
      </c>
      <c r="H194" s="10" t="n">
        <v>1402617695</v>
      </c>
      <c r="I194" s="11" t="s">
        <v>98</v>
      </c>
      <c r="J194" s="11" t="s">
        <v>99</v>
      </c>
      <c r="K194" s="10" t="n">
        <v>4929816</v>
      </c>
      <c r="L194" s="12" t="n">
        <f aca="false">IF(OR($H194="",K194=""),"",K194/$H194)</f>
        <v>0.00351472537211931</v>
      </c>
      <c r="M194" s="9" t="s">
        <v>100</v>
      </c>
      <c r="N194" s="11" t="s">
        <v>167</v>
      </c>
      <c r="O194" s="11" t="s">
        <v>168</v>
      </c>
      <c r="P194" s="11" t="s">
        <v>174</v>
      </c>
      <c r="Q194" s="10"/>
      <c r="R194" s="12"/>
      <c r="S194" s="9"/>
      <c r="T194" s="11"/>
      <c r="U194" s="11"/>
      <c r="V194" s="11"/>
      <c r="W194" s="10"/>
      <c r="X194" s="12"/>
      <c r="Y194" s="9"/>
      <c r="Z194" s="11"/>
      <c r="AA194" s="11"/>
      <c r="AB194" s="11"/>
      <c r="AC194" s="9"/>
      <c r="AD194" s="10"/>
      <c r="AE194" s="9"/>
      <c r="AF194" s="11"/>
      <c r="AG194" s="11"/>
      <c r="AH194" s="11"/>
      <c r="AI194" s="10"/>
      <c r="AJ194" s="9"/>
      <c r="AK194" s="11"/>
      <c r="AL194" s="11"/>
      <c r="AM194" s="11"/>
    </row>
    <row r="195" customFormat="false" ht="15" hidden="false" customHeight="false" outlineLevel="0" collapsed="false">
      <c r="A195" s="9" t="s">
        <v>244</v>
      </c>
      <c r="B195" s="9" t="s">
        <v>245</v>
      </c>
      <c r="C195" s="9" t="s">
        <v>246</v>
      </c>
      <c r="D195" s="9" t="s">
        <v>247</v>
      </c>
      <c r="E195" s="9" t="n">
        <v>0</v>
      </c>
      <c r="F195" s="9" t="n">
        <v>1</v>
      </c>
      <c r="G195" s="9" t="n">
        <v>2021</v>
      </c>
      <c r="H195" s="10" t="n">
        <v>1414203896</v>
      </c>
      <c r="I195" s="11" t="s">
        <v>98</v>
      </c>
      <c r="J195" s="11" t="s">
        <v>99</v>
      </c>
      <c r="K195" s="10"/>
      <c r="L195" s="12"/>
      <c r="M195" s="9"/>
      <c r="N195" s="11"/>
      <c r="O195" s="11"/>
      <c r="P195" s="11"/>
      <c r="Q195" s="10"/>
      <c r="R195" s="12"/>
      <c r="S195" s="9"/>
      <c r="T195" s="11"/>
      <c r="U195" s="11"/>
      <c r="V195" s="11"/>
      <c r="W195" s="10"/>
      <c r="X195" s="12"/>
      <c r="Y195" s="9"/>
      <c r="Z195" s="11"/>
      <c r="AA195" s="11"/>
      <c r="AB195" s="11"/>
      <c r="AC195" s="9"/>
      <c r="AD195" s="10"/>
      <c r="AE195" s="9"/>
      <c r="AF195" s="11"/>
      <c r="AG195" s="11"/>
      <c r="AH195" s="11"/>
      <c r="AI195" s="10"/>
      <c r="AJ195" s="9"/>
      <c r="AK195" s="11"/>
      <c r="AL195" s="11"/>
      <c r="AM195" s="11"/>
    </row>
    <row r="196" customFormat="false" ht="15" hidden="false" customHeight="false" outlineLevel="0" collapsed="false">
      <c r="A196" s="9" t="s">
        <v>244</v>
      </c>
      <c r="B196" s="9" t="s">
        <v>245</v>
      </c>
      <c r="C196" s="9" t="s">
        <v>246</v>
      </c>
      <c r="D196" s="9" t="s">
        <v>247</v>
      </c>
      <c r="E196" s="9" t="n">
        <v>0</v>
      </c>
      <c r="F196" s="9" t="n">
        <v>1</v>
      </c>
      <c r="G196" s="9" t="n">
        <v>2022</v>
      </c>
      <c r="H196" s="10" t="n">
        <v>1425423212</v>
      </c>
      <c r="I196" s="11" t="s">
        <v>98</v>
      </c>
      <c r="J196" s="11" t="s">
        <v>99</v>
      </c>
      <c r="K196" s="10"/>
      <c r="L196" s="12"/>
      <c r="M196" s="9"/>
      <c r="N196" s="11"/>
      <c r="O196" s="11"/>
      <c r="P196" s="11"/>
      <c r="Q196" s="10"/>
      <c r="R196" s="12"/>
      <c r="S196" s="9"/>
      <c r="T196" s="11"/>
      <c r="U196" s="11"/>
      <c r="V196" s="11"/>
      <c r="W196" s="10"/>
      <c r="X196" s="12"/>
      <c r="Y196" s="9"/>
      <c r="Z196" s="11"/>
      <c r="AA196" s="11"/>
      <c r="AB196" s="11"/>
      <c r="AC196" s="9"/>
      <c r="AD196" s="10"/>
      <c r="AE196" s="9"/>
      <c r="AF196" s="11"/>
      <c r="AG196" s="11"/>
      <c r="AH196" s="11"/>
      <c r="AI196" s="10"/>
      <c r="AJ196" s="9"/>
      <c r="AK196" s="11"/>
      <c r="AL196" s="11"/>
      <c r="AM196" s="11"/>
    </row>
    <row r="197" customFormat="false" ht="15" hidden="false" customHeight="false" outlineLevel="0" collapsed="false">
      <c r="A197" s="9" t="s">
        <v>251</v>
      </c>
      <c r="B197" s="9" t="s">
        <v>252</v>
      </c>
      <c r="C197" s="9" t="s">
        <v>253</v>
      </c>
      <c r="D197" s="9" t="s">
        <v>254</v>
      </c>
      <c r="E197" s="9" t="n">
        <v>1</v>
      </c>
      <c r="F197" s="9" t="n">
        <v>1</v>
      </c>
      <c r="G197" s="9" t="n">
        <v>2010</v>
      </c>
      <c r="H197" s="10" t="n">
        <v>7623600</v>
      </c>
      <c r="I197" s="11" t="s">
        <v>98</v>
      </c>
      <c r="J197" s="11" t="s">
        <v>99</v>
      </c>
      <c r="K197" s="10" t="n">
        <v>1877700</v>
      </c>
      <c r="L197" s="12" t="n">
        <f aca="false">IF(OR($H197="",K197=""),"",K197/$H197)</f>
        <v>0.246300960176295</v>
      </c>
      <c r="M197" s="9" t="s">
        <v>151</v>
      </c>
      <c r="N197" s="11" t="s">
        <v>101</v>
      </c>
      <c r="O197" s="11" t="s">
        <v>255</v>
      </c>
      <c r="P197" s="11" t="s">
        <v>256</v>
      </c>
      <c r="Q197" s="10"/>
      <c r="R197" s="12"/>
      <c r="S197" s="9"/>
      <c r="T197" s="11"/>
      <c r="U197" s="11"/>
      <c r="V197" s="11"/>
      <c r="W197" s="10"/>
      <c r="X197" s="12"/>
      <c r="Y197" s="9"/>
      <c r="Z197" s="11"/>
      <c r="AA197" s="11"/>
      <c r="AB197" s="11"/>
      <c r="AC197" s="9"/>
      <c r="AD197" s="10"/>
      <c r="AE197" s="9"/>
      <c r="AF197" s="11"/>
      <c r="AG197" s="11"/>
      <c r="AH197" s="11"/>
      <c r="AI197" s="10"/>
      <c r="AJ197" s="9"/>
      <c r="AK197" s="11"/>
      <c r="AL197" s="11"/>
      <c r="AM197" s="11"/>
    </row>
    <row r="198" customFormat="false" ht="15" hidden="false" customHeight="false" outlineLevel="0" collapsed="false">
      <c r="A198" s="9" t="s">
        <v>251</v>
      </c>
      <c r="B198" s="9" t="s">
        <v>252</v>
      </c>
      <c r="C198" s="9" t="s">
        <v>253</v>
      </c>
      <c r="D198" s="9" t="s">
        <v>254</v>
      </c>
      <c r="E198" s="9" t="n">
        <v>1</v>
      </c>
      <c r="F198" s="9" t="n">
        <v>1</v>
      </c>
      <c r="G198" s="9" t="n">
        <v>2011</v>
      </c>
      <c r="H198" s="10" t="n">
        <v>7765800</v>
      </c>
      <c r="I198" s="11" t="s">
        <v>98</v>
      </c>
      <c r="J198" s="11" t="s">
        <v>99</v>
      </c>
      <c r="K198" s="10" t="n">
        <v>1869000</v>
      </c>
      <c r="L198" s="12" t="n">
        <f aca="false">IF(OR($H198="",K198=""),"",K198/$H198)</f>
        <v>0.240670632774473</v>
      </c>
      <c r="M198" s="9" t="s">
        <v>151</v>
      </c>
      <c r="N198" s="11" t="s">
        <v>101</v>
      </c>
      <c r="O198" s="11" t="s">
        <v>255</v>
      </c>
      <c r="P198" s="11" t="s">
        <v>256</v>
      </c>
      <c r="Q198" s="10"/>
      <c r="R198" s="12"/>
      <c r="S198" s="9"/>
      <c r="T198" s="11"/>
      <c r="U198" s="11"/>
      <c r="V198" s="11"/>
      <c r="W198" s="10"/>
      <c r="X198" s="12"/>
      <c r="Y198" s="9"/>
      <c r="Z198" s="11"/>
      <c r="AA198" s="11"/>
      <c r="AB198" s="11"/>
      <c r="AC198" s="9"/>
      <c r="AD198" s="10"/>
      <c r="AE198" s="9"/>
      <c r="AF198" s="11"/>
      <c r="AG198" s="11"/>
      <c r="AH198" s="11"/>
      <c r="AI198" s="10"/>
      <c r="AJ198" s="9"/>
      <c r="AK198" s="11"/>
      <c r="AL198" s="11"/>
      <c r="AM198" s="11"/>
    </row>
    <row r="199" customFormat="false" ht="15" hidden="false" customHeight="false" outlineLevel="0" collapsed="false">
      <c r="A199" s="9" t="s">
        <v>251</v>
      </c>
      <c r="B199" s="9" t="s">
        <v>252</v>
      </c>
      <c r="C199" s="9" t="s">
        <v>253</v>
      </c>
      <c r="D199" s="9" t="s">
        <v>254</v>
      </c>
      <c r="E199" s="9" t="n">
        <v>1</v>
      </c>
      <c r="F199" s="9" t="n">
        <v>1</v>
      </c>
      <c r="G199" s="9" t="n">
        <v>2012</v>
      </c>
      <c r="H199" s="10" t="n">
        <v>7910500</v>
      </c>
      <c r="I199" s="11" t="s">
        <v>98</v>
      </c>
      <c r="J199" s="11" t="s">
        <v>99</v>
      </c>
      <c r="K199" s="10" t="n">
        <v>1850000</v>
      </c>
      <c r="L199" s="12" t="n">
        <f aca="false">IF(OR($H199="",K199=""),"",K199/$H199)</f>
        <v>0.233866380127678</v>
      </c>
      <c r="M199" s="9" t="s">
        <v>151</v>
      </c>
      <c r="N199" s="11" t="s">
        <v>101</v>
      </c>
      <c r="O199" s="11" t="s">
        <v>255</v>
      </c>
      <c r="P199" s="11" t="s">
        <v>256</v>
      </c>
      <c r="Q199" s="10"/>
      <c r="R199" s="12"/>
      <c r="S199" s="9"/>
      <c r="T199" s="11"/>
      <c r="U199" s="11"/>
      <c r="V199" s="11"/>
      <c r="W199" s="10"/>
      <c r="X199" s="12"/>
      <c r="Y199" s="9"/>
      <c r="Z199" s="11"/>
      <c r="AA199" s="11"/>
      <c r="AB199" s="11"/>
      <c r="AC199" s="9"/>
      <c r="AD199" s="10"/>
      <c r="AE199" s="9"/>
      <c r="AF199" s="11"/>
      <c r="AG199" s="11"/>
      <c r="AH199" s="11"/>
      <c r="AI199" s="10"/>
      <c r="AJ199" s="9"/>
      <c r="AK199" s="11"/>
      <c r="AL199" s="11"/>
      <c r="AM199" s="11"/>
    </row>
    <row r="200" customFormat="false" ht="15" hidden="false" customHeight="false" outlineLevel="0" collapsed="false">
      <c r="A200" s="9" t="s">
        <v>251</v>
      </c>
      <c r="B200" s="9" t="s">
        <v>252</v>
      </c>
      <c r="C200" s="9" t="s">
        <v>253</v>
      </c>
      <c r="D200" s="9" t="s">
        <v>254</v>
      </c>
      <c r="E200" s="9" t="n">
        <v>1</v>
      </c>
      <c r="F200" s="9" t="n">
        <v>1</v>
      </c>
      <c r="G200" s="9" t="n">
        <v>2013</v>
      </c>
      <c r="H200" s="10" t="n">
        <v>8059500</v>
      </c>
      <c r="I200" s="11" t="s">
        <v>98</v>
      </c>
      <c r="J200" s="11" t="s">
        <v>99</v>
      </c>
      <c r="K200" s="10" t="n">
        <v>1835000</v>
      </c>
      <c r="L200" s="12" t="n">
        <f aca="false">IF(OR($H200="",K200=""),"",K200/$H200)</f>
        <v>0.227681617966375</v>
      </c>
      <c r="M200" s="9" t="s">
        <v>151</v>
      </c>
      <c r="N200" s="11" t="s">
        <v>101</v>
      </c>
      <c r="O200" s="11" t="s">
        <v>255</v>
      </c>
      <c r="P200" s="11" t="s">
        <v>256</v>
      </c>
      <c r="Q200" s="10"/>
      <c r="R200" s="12"/>
      <c r="S200" s="9"/>
      <c r="T200" s="11"/>
      <c r="U200" s="11"/>
      <c r="V200" s="11"/>
      <c r="W200" s="10"/>
      <c r="X200" s="12"/>
      <c r="Y200" s="9"/>
      <c r="Z200" s="11"/>
      <c r="AA200" s="11"/>
      <c r="AB200" s="11"/>
      <c r="AC200" s="9"/>
      <c r="AD200" s="10"/>
      <c r="AE200" s="9"/>
      <c r="AF200" s="11"/>
      <c r="AG200" s="11"/>
      <c r="AH200" s="11"/>
      <c r="AI200" s="10"/>
      <c r="AJ200" s="9"/>
      <c r="AK200" s="11"/>
      <c r="AL200" s="11"/>
      <c r="AM200" s="11"/>
    </row>
    <row r="201" customFormat="false" ht="15" hidden="false" customHeight="false" outlineLevel="0" collapsed="false">
      <c r="A201" s="9" t="s">
        <v>251</v>
      </c>
      <c r="B201" s="9" t="s">
        <v>252</v>
      </c>
      <c r="C201" s="9" t="s">
        <v>253</v>
      </c>
      <c r="D201" s="9" t="s">
        <v>254</v>
      </c>
      <c r="E201" s="9" t="n">
        <v>1</v>
      </c>
      <c r="F201" s="9" t="n">
        <v>1</v>
      </c>
      <c r="G201" s="9" t="n">
        <v>2014</v>
      </c>
      <c r="H201" s="10" t="n">
        <v>8215700</v>
      </c>
      <c r="I201" s="11" t="s">
        <v>98</v>
      </c>
      <c r="J201" s="11" t="s">
        <v>99</v>
      </c>
      <c r="K201" s="10" t="n">
        <v>1821000</v>
      </c>
      <c r="L201" s="12" t="n">
        <f aca="false">IF(OR($H201="",K201=""),"",K201/$H201)</f>
        <v>0.221648794381489</v>
      </c>
      <c r="M201" s="9" t="s">
        <v>151</v>
      </c>
      <c r="N201" s="11" t="s">
        <v>101</v>
      </c>
      <c r="O201" s="11" t="s">
        <v>255</v>
      </c>
      <c r="P201" s="11" t="s">
        <v>256</v>
      </c>
      <c r="Q201" s="10"/>
      <c r="R201" s="12"/>
      <c r="S201" s="9"/>
      <c r="T201" s="11"/>
      <c r="U201" s="11"/>
      <c r="V201" s="11"/>
      <c r="W201" s="10"/>
      <c r="X201" s="12"/>
      <c r="Y201" s="9"/>
      <c r="Z201" s="11"/>
      <c r="AA201" s="11"/>
      <c r="AB201" s="11"/>
      <c r="AC201" s="9"/>
      <c r="AD201" s="10"/>
      <c r="AE201" s="9"/>
      <c r="AF201" s="11"/>
      <c r="AG201" s="11"/>
      <c r="AH201" s="11"/>
      <c r="AI201" s="10"/>
      <c r="AJ201" s="9"/>
      <c r="AK201" s="11"/>
      <c r="AL201" s="11"/>
      <c r="AM201" s="11"/>
    </row>
    <row r="202" customFormat="false" ht="15" hidden="false" customHeight="false" outlineLevel="0" collapsed="false">
      <c r="A202" s="9" t="s">
        <v>251</v>
      </c>
      <c r="B202" s="9" t="s">
        <v>252</v>
      </c>
      <c r="C202" s="9" t="s">
        <v>253</v>
      </c>
      <c r="D202" s="9" t="s">
        <v>254</v>
      </c>
      <c r="E202" s="9" t="n">
        <v>1</v>
      </c>
      <c r="F202" s="9" t="n">
        <v>1</v>
      </c>
      <c r="G202" s="9" t="n">
        <v>2015</v>
      </c>
      <c r="H202" s="10" t="n">
        <v>8380100</v>
      </c>
      <c r="I202" s="11" t="s">
        <v>98</v>
      </c>
      <c r="J202" s="11" t="s">
        <v>99</v>
      </c>
      <c r="K202" s="10" t="n">
        <v>1817000</v>
      </c>
      <c r="L202" s="12" t="n">
        <f aca="false">IF(OR($H202="",K202=""),"",K202/$H202)</f>
        <v>0.216823188267443</v>
      </c>
      <c r="M202" s="9" t="s">
        <v>151</v>
      </c>
      <c r="N202" s="11" t="s">
        <v>101</v>
      </c>
      <c r="O202" s="11" t="s">
        <v>255</v>
      </c>
      <c r="P202" s="11" t="s">
        <v>256</v>
      </c>
      <c r="Q202" s="10"/>
      <c r="R202" s="12"/>
      <c r="S202" s="9"/>
      <c r="T202" s="11"/>
      <c r="U202" s="11"/>
      <c r="V202" s="11"/>
      <c r="W202" s="10"/>
      <c r="X202" s="12"/>
      <c r="Y202" s="9"/>
      <c r="Z202" s="11"/>
      <c r="AA202" s="11"/>
      <c r="AB202" s="11"/>
      <c r="AC202" s="9"/>
      <c r="AD202" s="10"/>
      <c r="AE202" s="9"/>
      <c r="AF202" s="11"/>
      <c r="AG202" s="11"/>
      <c r="AH202" s="11"/>
      <c r="AI202" s="10"/>
      <c r="AJ202" s="9"/>
      <c r="AK202" s="11"/>
      <c r="AL202" s="11"/>
      <c r="AM202" s="11"/>
    </row>
    <row r="203" customFormat="false" ht="15" hidden="false" customHeight="false" outlineLevel="0" collapsed="false">
      <c r="A203" s="9" t="s">
        <v>251</v>
      </c>
      <c r="B203" s="9" t="s">
        <v>252</v>
      </c>
      <c r="C203" s="9" t="s">
        <v>253</v>
      </c>
      <c r="D203" s="9" t="s">
        <v>254</v>
      </c>
      <c r="E203" s="9" t="n">
        <v>1</v>
      </c>
      <c r="F203" s="9" t="n">
        <v>1</v>
      </c>
      <c r="G203" s="9" t="n">
        <v>2016</v>
      </c>
      <c r="H203" s="10" t="n">
        <v>8546000</v>
      </c>
      <c r="I203" s="11" t="s">
        <v>98</v>
      </c>
      <c r="J203" s="11" t="s">
        <v>99</v>
      </c>
      <c r="K203" s="10" t="n">
        <v>1817500</v>
      </c>
      <c r="L203" s="12" t="n">
        <f aca="false">IF(OR($H203="",K203=""),"",K203/$H203)</f>
        <v>0.212672595366253</v>
      </c>
      <c r="M203" s="9" t="s">
        <v>151</v>
      </c>
      <c r="N203" s="11" t="s">
        <v>101</v>
      </c>
      <c r="O203" s="11" t="s">
        <v>255</v>
      </c>
      <c r="P203" s="11" t="s">
        <v>256</v>
      </c>
      <c r="Q203" s="10"/>
      <c r="R203" s="12"/>
      <c r="S203" s="9"/>
      <c r="T203" s="11"/>
      <c r="U203" s="11"/>
      <c r="V203" s="11"/>
      <c r="W203" s="10"/>
      <c r="X203" s="12"/>
      <c r="Y203" s="9"/>
      <c r="Z203" s="11"/>
      <c r="AA203" s="11"/>
      <c r="AB203" s="11"/>
      <c r="AC203" s="9"/>
      <c r="AD203" s="10"/>
      <c r="AE203" s="9"/>
      <c r="AF203" s="11"/>
      <c r="AG203" s="11"/>
      <c r="AH203" s="11"/>
      <c r="AI203" s="10"/>
      <c r="AJ203" s="9"/>
      <c r="AK203" s="11"/>
      <c r="AL203" s="11"/>
      <c r="AM203" s="11"/>
    </row>
    <row r="204" customFormat="false" ht="15" hidden="false" customHeight="false" outlineLevel="0" collapsed="false">
      <c r="A204" s="9" t="s">
        <v>251</v>
      </c>
      <c r="B204" s="9" t="s">
        <v>252</v>
      </c>
      <c r="C204" s="9" t="s">
        <v>253</v>
      </c>
      <c r="D204" s="9" t="s">
        <v>254</v>
      </c>
      <c r="E204" s="9" t="n">
        <v>1</v>
      </c>
      <c r="F204" s="9" t="n">
        <v>1</v>
      </c>
      <c r="G204" s="9" t="n">
        <v>2017</v>
      </c>
      <c r="H204" s="10" t="n">
        <v>8713300</v>
      </c>
      <c r="I204" s="11" t="s">
        <v>98</v>
      </c>
      <c r="J204" s="11" t="s">
        <v>99</v>
      </c>
      <c r="K204" s="10" t="n">
        <v>1812420</v>
      </c>
      <c r="L204" s="12" t="n">
        <f aca="false">IF(OR($H204="",K204=""),"",K204/$H204)</f>
        <v>0.208006151515499</v>
      </c>
      <c r="M204" s="9" t="s">
        <v>151</v>
      </c>
      <c r="N204" s="11" t="s">
        <v>101</v>
      </c>
      <c r="O204" s="11" t="s">
        <v>255</v>
      </c>
      <c r="P204" s="11" t="s">
        <v>256</v>
      </c>
      <c r="Q204" s="10"/>
      <c r="R204" s="12"/>
      <c r="S204" s="9"/>
      <c r="T204" s="11"/>
      <c r="U204" s="11"/>
      <c r="V204" s="11"/>
      <c r="W204" s="10"/>
      <c r="X204" s="12"/>
      <c r="Y204" s="9"/>
      <c r="Z204" s="11"/>
      <c r="AA204" s="11"/>
      <c r="AB204" s="11"/>
      <c r="AC204" s="9"/>
      <c r="AD204" s="10"/>
      <c r="AE204" s="9"/>
      <c r="AF204" s="11"/>
      <c r="AG204" s="11"/>
      <c r="AH204" s="11"/>
      <c r="AI204" s="10"/>
      <c r="AJ204" s="9"/>
      <c r="AK204" s="11"/>
      <c r="AL204" s="11"/>
      <c r="AM204" s="11"/>
    </row>
    <row r="205" customFormat="false" ht="15" hidden="false" customHeight="false" outlineLevel="0" collapsed="false">
      <c r="A205" s="9" t="s">
        <v>251</v>
      </c>
      <c r="B205" s="9" t="s">
        <v>252</v>
      </c>
      <c r="C205" s="9" t="s">
        <v>253</v>
      </c>
      <c r="D205" s="9" t="s">
        <v>254</v>
      </c>
      <c r="E205" s="9" t="n">
        <v>1</v>
      </c>
      <c r="F205" s="9" t="n">
        <v>1</v>
      </c>
      <c r="G205" s="9" t="n">
        <v>2018</v>
      </c>
      <c r="H205" s="10" t="n">
        <v>8882800</v>
      </c>
      <c r="I205" s="11" t="s">
        <v>98</v>
      </c>
      <c r="J205" s="11" t="s">
        <v>99</v>
      </c>
      <c r="K205" s="10" t="n">
        <v>1811240</v>
      </c>
      <c r="L205" s="12" t="n">
        <f aca="false">IF(OR($H205="",K205=""),"",K205/$H205)</f>
        <v>0.203904174359436</v>
      </c>
      <c r="M205" s="9" t="s">
        <v>151</v>
      </c>
      <c r="N205" s="11" t="s">
        <v>101</v>
      </c>
      <c r="O205" s="11" t="s">
        <v>255</v>
      </c>
      <c r="P205" s="11" t="s">
        <v>256</v>
      </c>
      <c r="Q205" s="10"/>
      <c r="R205" s="12"/>
      <c r="S205" s="9"/>
      <c r="T205" s="11"/>
      <c r="U205" s="11"/>
      <c r="V205" s="11"/>
      <c r="W205" s="10"/>
      <c r="X205" s="12"/>
      <c r="Y205" s="9"/>
      <c r="Z205" s="11"/>
      <c r="AA205" s="11"/>
      <c r="AB205" s="11"/>
      <c r="AC205" s="9"/>
      <c r="AD205" s="10"/>
      <c r="AE205" s="9"/>
      <c r="AF205" s="11"/>
      <c r="AG205" s="11"/>
      <c r="AH205" s="11"/>
      <c r="AI205" s="10"/>
      <c r="AJ205" s="9"/>
      <c r="AK205" s="11"/>
      <c r="AL205" s="11"/>
      <c r="AM205" s="11"/>
    </row>
    <row r="206" customFormat="false" ht="15" hidden="false" customHeight="false" outlineLevel="0" collapsed="false">
      <c r="A206" s="9" t="s">
        <v>251</v>
      </c>
      <c r="B206" s="9" t="s">
        <v>252</v>
      </c>
      <c r="C206" s="9" t="s">
        <v>253</v>
      </c>
      <c r="D206" s="9" t="s">
        <v>254</v>
      </c>
      <c r="E206" s="9" t="n">
        <v>1</v>
      </c>
      <c r="F206" s="9" t="n">
        <v>1</v>
      </c>
      <c r="G206" s="9" t="n">
        <v>2019</v>
      </c>
      <c r="H206" s="10" t="n">
        <v>9054000</v>
      </c>
      <c r="I206" s="11" t="s">
        <v>98</v>
      </c>
      <c r="J206" s="11" t="s">
        <v>99</v>
      </c>
      <c r="K206" s="10" t="n">
        <v>1808920</v>
      </c>
      <c r="L206" s="12" t="n">
        <f aca="false">IF(OR($H206="",K206=""),"",K206/$H206)</f>
        <v>0.199792356969295</v>
      </c>
      <c r="M206" s="9" t="s">
        <v>151</v>
      </c>
      <c r="N206" s="11" t="s">
        <v>101</v>
      </c>
      <c r="O206" s="11" t="s">
        <v>255</v>
      </c>
      <c r="P206" s="11" t="s">
        <v>256</v>
      </c>
      <c r="Q206" s="10"/>
      <c r="R206" s="12"/>
      <c r="S206" s="9"/>
      <c r="T206" s="11"/>
      <c r="U206" s="11"/>
      <c r="V206" s="11"/>
      <c r="W206" s="10"/>
      <c r="X206" s="12"/>
      <c r="Y206" s="9"/>
      <c r="Z206" s="11"/>
      <c r="AA206" s="11"/>
      <c r="AB206" s="11"/>
      <c r="AC206" s="9"/>
      <c r="AD206" s="10"/>
      <c r="AE206" s="9"/>
      <c r="AF206" s="11"/>
      <c r="AG206" s="11"/>
      <c r="AH206" s="11"/>
      <c r="AI206" s="10"/>
      <c r="AJ206" s="9"/>
      <c r="AK206" s="11"/>
      <c r="AL206" s="11"/>
      <c r="AM206" s="11"/>
    </row>
    <row r="207" customFormat="false" ht="15" hidden="false" customHeight="false" outlineLevel="0" collapsed="false">
      <c r="A207" s="9" t="s">
        <v>251</v>
      </c>
      <c r="B207" s="9" t="s">
        <v>252</v>
      </c>
      <c r="C207" s="9" t="s">
        <v>253</v>
      </c>
      <c r="D207" s="9" t="s">
        <v>254</v>
      </c>
      <c r="E207" s="9" t="n">
        <v>1</v>
      </c>
      <c r="F207" s="9" t="n">
        <v>1</v>
      </c>
      <c r="G207" s="9" t="n">
        <v>2020</v>
      </c>
      <c r="H207" s="10" t="n">
        <v>9215100</v>
      </c>
      <c r="I207" s="11" t="s">
        <v>98</v>
      </c>
      <c r="J207" s="11" t="s">
        <v>99</v>
      </c>
      <c r="K207" s="10" t="n">
        <v>1812180</v>
      </c>
      <c r="L207" s="12" t="n">
        <f aca="false">IF(OR($H207="",K207=""),"",K207/$H207)</f>
        <v>0.196653319009018</v>
      </c>
      <c r="M207" s="9" t="s">
        <v>151</v>
      </c>
      <c r="N207" s="11" t="s">
        <v>101</v>
      </c>
      <c r="O207" s="11" t="s">
        <v>255</v>
      </c>
      <c r="P207" s="11" t="s">
        <v>256</v>
      </c>
      <c r="Q207" s="10"/>
      <c r="R207" s="12"/>
      <c r="S207" s="9"/>
      <c r="T207" s="11"/>
      <c r="U207" s="11"/>
      <c r="V207" s="11"/>
      <c r="W207" s="10" t="n">
        <v>30100</v>
      </c>
      <c r="X207" s="12" t="n">
        <f aca="false">IF(OR($H207="",W207=""),"",W207/$H207)</f>
        <v>0.00326637801000532</v>
      </c>
      <c r="Y207" s="9" t="s">
        <v>126</v>
      </c>
      <c r="Z207" s="11" t="s">
        <v>257</v>
      </c>
      <c r="AA207" s="11" t="s">
        <v>258</v>
      </c>
      <c r="AB207" s="11" t="s">
        <v>259</v>
      </c>
      <c r="AC207" s="9" t="n">
        <v>1</v>
      </c>
      <c r="AD207" s="10"/>
      <c r="AE207" s="9"/>
      <c r="AF207" s="11"/>
      <c r="AG207" s="11"/>
      <c r="AH207" s="11"/>
      <c r="AI207" s="10"/>
      <c r="AJ207" s="9"/>
      <c r="AK207" s="11"/>
      <c r="AL207" s="11"/>
      <c r="AM207" s="11"/>
    </row>
    <row r="208" customFormat="false" ht="15" hidden="false" customHeight="false" outlineLevel="0" collapsed="false">
      <c r="A208" s="9" t="s">
        <v>251</v>
      </c>
      <c r="B208" s="9" t="s">
        <v>252</v>
      </c>
      <c r="C208" s="9" t="s">
        <v>253</v>
      </c>
      <c r="D208" s="9" t="s">
        <v>254</v>
      </c>
      <c r="E208" s="9" t="n">
        <v>1</v>
      </c>
      <c r="F208" s="9" t="n">
        <v>1</v>
      </c>
      <c r="G208" s="9" t="n">
        <v>2021</v>
      </c>
      <c r="H208" s="10" t="n">
        <v>9371400</v>
      </c>
      <c r="I208" s="11" t="s">
        <v>98</v>
      </c>
      <c r="J208" s="11" t="s">
        <v>99</v>
      </c>
      <c r="K208" s="10" t="n">
        <v>1797300</v>
      </c>
      <c r="L208" s="12" t="n">
        <f aca="false">IF(OR($H208="",K208=""),"",K208/$H208)</f>
        <v>0.191785645687944</v>
      </c>
      <c r="M208" s="9" t="s">
        <v>151</v>
      </c>
      <c r="N208" s="11" t="s">
        <v>101</v>
      </c>
      <c r="O208" s="11" t="s">
        <v>255</v>
      </c>
      <c r="P208" s="11" t="s">
        <v>256</v>
      </c>
      <c r="Q208" s="10"/>
      <c r="R208" s="12"/>
      <c r="S208" s="9"/>
      <c r="T208" s="11"/>
      <c r="U208" s="11"/>
      <c r="V208" s="11"/>
      <c r="W208" s="10"/>
      <c r="X208" s="12"/>
      <c r="Y208" s="9"/>
      <c r="Z208" s="11"/>
      <c r="AA208" s="11"/>
      <c r="AB208" s="11"/>
      <c r="AC208" s="9"/>
      <c r="AD208" s="10"/>
      <c r="AE208" s="9"/>
      <c r="AF208" s="11"/>
      <c r="AG208" s="11"/>
      <c r="AH208" s="11"/>
      <c r="AI208" s="10"/>
      <c r="AJ208" s="9"/>
      <c r="AK208" s="11"/>
      <c r="AL208" s="11"/>
      <c r="AM208" s="11"/>
    </row>
    <row r="209" customFormat="false" ht="15" hidden="false" customHeight="false" outlineLevel="0" collapsed="false">
      <c r="A209" s="9" t="s">
        <v>251</v>
      </c>
      <c r="B209" s="9" t="s">
        <v>252</v>
      </c>
      <c r="C209" s="9" t="s">
        <v>253</v>
      </c>
      <c r="D209" s="9" t="s">
        <v>254</v>
      </c>
      <c r="E209" s="9" t="n">
        <v>1</v>
      </c>
      <c r="F209" s="9" t="n">
        <v>1</v>
      </c>
      <c r="G209" s="9" t="n">
        <v>2022</v>
      </c>
      <c r="H209" s="10" t="n">
        <v>9557500</v>
      </c>
      <c r="I209" s="11" t="s">
        <v>98</v>
      </c>
      <c r="J209" s="11" t="s">
        <v>99</v>
      </c>
      <c r="K209" s="10" t="n">
        <v>1792880</v>
      </c>
      <c r="L209" s="12" t="n">
        <f aca="false">IF(OR($H209="",K209=""),"",K209/$H209)</f>
        <v>0.187588804603714</v>
      </c>
      <c r="M209" s="9" t="s">
        <v>151</v>
      </c>
      <c r="N209" s="11" t="s">
        <v>101</v>
      </c>
      <c r="O209" s="11" t="s">
        <v>255</v>
      </c>
      <c r="P209" s="11" t="s">
        <v>256</v>
      </c>
      <c r="Q209" s="10"/>
      <c r="R209" s="12"/>
      <c r="S209" s="9"/>
      <c r="T209" s="11"/>
      <c r="U209" s="11"/>
      <c r="V209" s="11"/>
      <c r="W209" s="10" t="n">
        <v>26798</v>
      </c>
      <c r="X209" s="12" t="n">
        <f aca="false">IF(OR($H209="",W209=""),"",W209/$H209)</f>
        <v>0.00280387130525765</v>
      </c>
      <c r="Y209" s="9" t="s">
        <v>126</v>
      </c>
      <c r="Z209" s="11" t="s">
        <v>257</v>
      </c>
      <c r="AA209" s="11" t="s">
        <v>258</v>
      </c>
      <c r="AB209" s="11" t="s">
        <v>260</v>
      </c>
      <c r="AC209" s="9" t="n">
        <v>2</v>
      </c>
      <c r="AD209" s="10"/>
      <c r="AE209" s="9"/>
      <c r="AF209" s="11"/>
      <c r="AG209" s="11"/>
      <c r="AH209" s="11"/>
      <c r="AI209" s="10"/>
      <c r="AJ209" s="9"/>
      <c r="AK209" s="11"/>
      <c r="AL209" s="11"/>
      <c r="AM209" s="11"/>
    </row>
    <row r="210" customFormat="false" ht="15" hidden="false" customHeight="false" outlineLevel="0" collapsed="false">
      <c r="A210" s="9" t="s">
        <v>261</v>
      </c>
      <c r="B210" s="9" t="s">
        <v>262</v>
      </c>
      <c r="C210" s="9" t="s">
        <v>263</v>
      </c>
      <c r="D210" s="9" t="s">
        <v>264</v>
      </c>
      <c r="E210" s="9" t="n">
        <v>1</v>
      </c>
      <c r="F210" s="9" t="n">
        <v>1</v>
      </c>
      <c r="G210" s="9" t="n">
        <v>2010</v>
      </c>
      <c r="H210" s="10" t="n">
        <v>59819407</v>
      </c>
      <c r="I210" s="11" t="s">
        <v>98</v>
      </c>
      <c r="J210" s="11" t="s">
        <v>99</v>
      </c>
      <c r="K210" s="10" t="n">
        <v>4597046</v>
      </c>
      <c r="L210" s="12" t="n">
        <f aca="false">IF(OR($H210="",K210=""),"",K210/$H210)</f>
        <v>0.0768487390722546</v>
      </c>
      <c r="M210" s="9" t="s">
        <v>115</v>
      </c>
      <c r="N210" s="11" t="s">
        <v>116</v>
      </c>
      <c r="O210" s="11" t="s">
        <v>265</v>
      </c>
      <c r="P210" s="11" t="s">
        <v>118</v>
      </c>
      <c r="Q210" s="10" t="n">
        <v>3836349</v>
      </c>
      <c r="R210" s="12" t="n">
        <f aca="false">IF(OR($H210="",Q210=""),"",Q210/$H210)</f>
        <v>0.0641321803808587</v>
      </c>
      <c r="S210" s="9" t="s">
        <v>115</v>
      </c>
      <c r="T210" s="11" t="s">
        <v>119</v>
      </c>
      <c r="U210" s="11" t="s">
        <v>266</v>
      </c>
      <c r="V210" s="11" t="s">
        <v>121</v>
      </c>
      <c r="W210" s="10"/>
      <c r="X210" s="12"/>
      <c r="Y210" s="9"/>
      <c r="Z210" s="11"/>
      <c r="AA210" s="11"/>
      <c r="AB210" s="11"/>
      <c r="AC210" s="9"/>
      <c r="AD210" s="10"/>
      <c r="AE210" s="9"/>
      <c r="AF210" s="11"/>
      <c r="AG210" s="11"/>
      <c r="AH210" s="11"/>
      <c r="AI210" s="10" t="n">
        <v>46955</v>
      </c>
      <c r="AJ210" s="9" t="s">
        <v>122</v>
      </c>
      <c r="AK210" s="11" t="s">
        <v>123</v>
      </c>
      <c r="AL210" s="11" t="s">
        <v>124</v>
      </c>
      <c r="AM210" s="11" t="s">
        <v>125</v>
      </c>
    </row>
    <row r="211" customFormat="false" ht="15" hidden="false" customHeight="false" outlineLevel="0" collapsed="false">
      <c r="A211" s="9" t="s">
        <v>261</v>
      </c>
      <c r="B211" s="9" t="s">
        <v>262</v>
      </c>
      <c r="C211" s="9" t="s">
        <v>263</v>
      </c>
      <c r="D211" s="9" t="s">
        <v>264</v>
      </c>
      <c r="E211" s="9" t="n">
        <v>1</v>
      </c>
      <c r="F211" s="9" t="n">
        <v>1</v>
      </c>
      <c r="G211" s="9" t="n">
        <v>2011</v>
      </c>
      <c r="H211" s="10" t="n">
        <v>60026841</v>
      </c>
      <c r="I211" s="11" t="s">
        <v>98</v>
      </c>
      <c r="J211" s="11" t="s">
        <v>99</v>
      </c>
      <c r="K211" s="10" t="n">
        <v>4834495</v>
      </c>
      <c r="L211" s="12" t="n">
        <f aca="false">IF(OR($H211="",K211=""),"",K211/$H211)</f>
        <v>0.0805388875953009</v>
      </c>
      <c r="M211" s="9" t="s">
        <v>115</v>
      </c>
      <c r="N211" s="11" t="s">
        <v>116</v>
      </c>
      <c r="O211" s="11" t="s">
        <v>265</v>
      </c>
      <c r="P211" s="11" t="s">
        <v>118</v>
      </c>
      <c r="Q211" s="10" t="n">
        <v>4101335</v>
      </c>
      <c r="R211" s="12" t="n">
        <f aca="false">IF(OR($H211="",Q211=""),"",Q211/$H211)</f>
        <v>0.06832501813647</v>
      </c>
      <c r="S211" s="9" t="s">
        <v>115</v>
      </c>
      <c r="T211" s="11" t="s">
        <v>119</v>
      </c>
      <c r="U211" s="11" t="s">
        <v>266</v>
      </c>
      <c r="V211" s="11" t="s">
        <v>121</v>
      </c>
      <c r="W211" s="10"/>
      <c r="X211" s="12"/>
      <c r="Y211" s="9"/>
      <c r="Z211" s="11"/>
      <c r="AA211" s="11"/>
      <c r="AB211" s="11"/>
      <c r="AC211" s="9"/>
      <c r="AD211" s="10"/>
      <c r="AE211" s="9"/>
      <c r="AF211" s="11"/>
      <c r="AG211" s="11"/>
      <c r="AH211" s="11"/>
      <c r="AI211" s="10" t="n">
        <v>29505</v>
      </c>
      <c r="AJ211" s="9" t="s">
        <v>122</v>
      </c>
      <c r="AK211" s="11" t="s">
        <v>123</v>
      </c>
      <c r="AL211" s="11" t="s">
        <v>124</v>
      </c>
      <c r="AM211" s="11" t="s">
        <v>125</v>
      </c>
    </row>
    <row r="212" customFormat="false" ht="15" hidden="false" customHeight="false" outlineLevel="0" collapsed="false">
      <c r="A212" s="9" t="s">
        <v>261</v>
      </c>
      <c r="B212" s="9" t="s">
        <v>262</v>
      </c>
      <c r="C212" s="9" t="s">
        <v>263</v>
      </c>
      <c r="D212" s="9" t="s">
        <v>264</v>
      </c>
      <c r="E212" s="9" t="n">
        <v>1</v>
      </c>
      <c r="F212" s="9" t="n">
        <v>1</v>
      </c>
      <c r="G212" s="9" t="n">
        <v>2012</v>
      </c>
      <c r="H212" s="10" t="n">
        <v>60191247</v>
      </c>
      <c r="I212" s="11" t="s">
        <v>98</v>
      </c>
      <c r="J212" s="11" t="s">
        <v>99</v>
      </c>
      <c r="K212" s="10" t="n">
        <v>5022967</v>
      </c>
      <c r="L212" s="12" t="n">
        <f aca="false">IF(OR($H212="",K212=""),"",K212/$H212)</f>
        <v>0.0834501235702925</v>
      </c>
      <c r="M212" s="9" t="s">
        <v>115</v>
      </c>
      <c r="N212" s="11" t="s">
        <v>116</v>
      </c>
      <c r="O212" s="11" t="s">
        <v>265</v>
      </c>
      <c r="P212" s="11" t="s">
        <v>118</v>
      </c>
      <c r="Q212" s="10" t="n">
        <v>4319201</v>
      </c>
      <c r="R212" s="12" t="n">
        <f aca="false">IF(OR($H212="",Q212=""),"",Q212/$H212)</f>
        <v>0.0717579584287397</v>
      </c>
      <c r="S212" s="9" t="s">
        <v>115</v>
      </c>
      <c r="T212" s="11" t="s">
        <v>119</v>
      </c>
      <c r="U212" s="11" t="s">
        <v>266</v>
      </c>
      <c r="V212" s="11" t="s">
        <v>121</v>
      </c>
      <c r="W212" s="10"/>
      <c r="X212" s="12"/>
      <c r="Y212" s="9"/>
      <c r="Z212" s="11"/>
      <c r="AA212" s="11"/>
      <c r="AB212" s="11"/>
      <c r="AC212" s="9"/>
      <c r="AD212" s="10"/>
      <c r="AE212" s="9"/>
      <c r="AF212" s="11"/>
      <c r="AG212" s="11"/>
      <c r="AH212" s="11"/>
      <c r="AI212" s="10" t="n">
        <v>29345</v>
      </c>
      <c r="AJ212" s="9" t="s">
        <v>122</v>
      </c>
      <c r="AK212" s="11" t="s">
        <v>123</v>
      </c>
      <c r="AL212" s="11" t="s">
        <v>124</v>
      </c>
      <c r="AM212" s="11" t="s">
        <v>125</v>
      </c>
    </row>
    <row r="213" customFormat="false" ht="15" hidden="false" customHeight="false" outlineLevel="0" collapsed="false">
      <c r="A213" s="9" t="s">
        <v>261</v>
      </c>
      <c r="B213" s="9" t="s">
        <v>262</v>
      </c>
      <c r="C213" s="9" t="s">
        <v>263</v>
      </c>
      <c r="D213" s="9" t="s">
        <v>264</v>
      </c>
      <c r="E213" s="9" t="n">
        <v>1</v>
      </c>
      <c r="F213" s="9" t="n">
        <v>1</v>
      </c>
      <c r="G213" s="9" t="n">
        <v>2013</v>
      </c>
      <c r="H213" s="10" t="n">
        <v>60311613</v>
      </c>
      <c r="I213" s="11" t="s">
        <v>98</v>
      </c>
      <c r="J213" s="11" t="s">
        <v>99</v>
      </c>
      <c r="K213" s="10" t="n">
        <v>5220823</v>
      </c>
      <c r="L213" s="12" t="n">
        <f aca="false">IF(OR($H213="",K213=""),"",K213/$H213)</f>
        <v>0.0865641414697365</v>
      </c>
      <c r="M213" s="9" t="s">
        <v>115</v>
      </c>
      <c r="N213" s="11" t="s">
        <v>116</v>
      </c>
      <c r="O213" s="11" t="s">
        <v>265</v>
      </c>
      <c r="P213" s="11" t="s">
        <v>118</v>
      </c>
      <c r="Q213" s="10" t="n">
        <v>4610493</v>
      </c>
      <c r="R213" s="12" t="n">
        <f aca="false">IF(OR($H213="",Q213=""),"",Q213/$H213)</f>
        <v>0.0764445315034105</v>
      </c>
      <c r="S213" s="9" t="s">
        <v>115</v>
      </c>
      <c r="T213" s="11" t="s">
        <v>119</v>
      </c>
      <c r="U213" s="11" t="s">
        <v>266</v>
      </c>
      <c r="V213" s="11" t="s">
        <v>121</v>
      </c>
      <c r="W213" s="10"/>
      <c r="X213" s="12"/>
      <c r="Y213" s="9"/>
      <c r="Z213" s="11"/>
      <c r="AA213" s="11"/>
      <c r="AB213" s="11"/>
      <c r="AC213" s="9"/>
      <c r="AD213" s="10"/>
      <c r="AE213" s="9"/>
      <c r="AF213" s="11"/>
      <c r="AG213" s="11"/>
      <c r="AH213" s="11"/>
      <c r="AI213" s="10" t="n">
        <v>23945</v>
      </c>
      <c r="AJ213" s="9" t="s">
        <v>122</v>
      </c>
      <c r="AK213" s="11" t="s">
        <v>123</v>
      </c>
      <c r="AL213" s="11" t="s">
        <v>124</v>
      </c>
      <c r="AM213" s="11" t="s">
        <v>125</v>
      </c>
    </row>
    <row r="214" customFormat="false" ht="15" hidden="false" customHeight="false" outlineLevel="0" collapsed="false">
      <c r="A214" s="9" t="s">
        <v>261</v>
      </c>
      <c r="B214" s="9" t="s">
        <v>262</v>
      </c>
      <c r="C214" s="9" t="s">
        <v>263</v>
      </c>
      <c r="D214" s="9" t="s">
        <v>264</v>
      </c>
      <c r="E214" s="9" t="n">
        <v>1</v>
      </c>
      <c r="F214" s="9" t="n">
        <v>1</v>
      </c>
      <c r="G214" s="9" t="n">
        <v>2014</v>
      </c>
      <c r="H214" s="10" t="n">
        <v>60320707</v>
      </c>
      <c r="I214" s="11" t="s">
        <v>98</v>
      </c>
      <c r="J214" s="11" t="s">
        <v>99</v>
      </c>
      <c r="K214" s="10" t="n">
        <v>5355018</v>
      </c>
      <c r="L214" s="12" t="n">
        <f aca="false">IF(OR($H214="",K214=""),"",K214/$H214)</f>
        <v>0.0887757830822507</v>
      </c>
      <c r="M214" s="9" t="s">
        <v>115</v>
      </c>
      <c r="N214" s="11" t="s">
        <v>116</v>
      </c>
      <c r="O214" s="11" t="s">
        <v>265</v>
      </c>
      <c r="P214" s="11" t="s">
        <v>118</v>
      </c>
      <c r="Q214" s="10" t="n">
        <v>4787166</v>
      </c>
      <c r="R214" s="12" t="n">
        <f aca="false">IF(OR($H214="",Q214=""),"",Q214/$H214)</f>
        <v>0.0793619013782448</v>
      </c>
      <c r="S214" s="9" t="s">
        <v>115</v>
      </c>
      <c r="T214" s="11" t="s">
        <v>119</v>
      </c>
      <c r="U214" s="11" t="s">
        <v>266</v>
      </c>
      <c r="V214" s="11" t="s">
        <v>121</v>
      </c>
      <c r="W214" s="10" t="n">
        <v>400000</v>
      </c>
      <c r="X214" s="12" t="n">
        <f aca="false">IF(OR($H214="",W214=""),"",W214/$H214)</f>
        <v>0.00663122201137331</v>
      </c>
      <c r="Y214" s="9" t="s">
        <v>126</v>
      </c>
      <c r="Z214" s="11" t="s">
        <v>127</v>
      </c>
      <c r="AA214" s="11" t="s">
        <v>128</v>
      </c>
      <c r="AB214" s="11" t="s">
        <v>267</v>
      </c>
      <c r="AC214" s="9" t="n">
        <v>1</v>
      </c>
      <c r="AD214" s="10"/>
      <c r="AE214" s="9"/>
      <c r="AF214" s="11"/>
      <c r="AG214" s="11"/>
      <c r="AH214" s="11"/>
      <c r="AI214" s="10" t="n">
        <v>25300</v>
      </c>
      <c r="AJ214" s="9" t="s">
        <v>122</v>
      </c>
      <c r="AK214" s="11" t="s">
        <v>123</v>
      </c>
      <c r="AL214" s="11" t="s">
        <v>124</v>
      </c>
      <c r="AM214" s="11" t="s">
        <v>125</v>
      </c>
    </row>
    <row r="215" customFormat="false" ht="15" hidden="false" customHeight="false" outlineLevel="0" collapsed="false">
      <c r="A215" s="9" t="s">
        <v>261</v>
      </c>
      <c r="B215" s="9" t="s">
        <v>262</v>
      </c>
      <c r="C215" s="9" t="s">
        <v>263</v>
      </c>
      <c r="D215" s="9" t="s">
        <v>264</v>
      </c>
      <c r="E215" s="9" t="n">
        <v>1</v>
      </c>
      <c r="F215" s="9" t="n">
        <v>1</v>
      </c>
      <c r="G215" s="9" t="n">
        <v>2015</v>
      </c>
      <c r="H215" s="10" t="n">
        <v>60229605</v>
      </c>
      <c r="I215" s="11" t="s">
        <v>98</v>
      </c>
      <c r="J215" s="11" t="s">
        <v>99</v>
      </c>
      <c r="K215" s="10" t="n">
        <v>5383252</v>
      </c>
      <c r="L215" s="12" t="n">
        <f aca="false">IF(OR($H215="",K215=""),"",K215/$H215)</f>
        <v>0.0893788362052184</v>
      </c>
      <c r="M215" s="9" t="s">
        <v>115</v>
      </c>
      <c r="N215" s="11" t="s">
        <v>116</v>
      </c>
      <c r="O215" s="11" t="s">
        <v>265</v>
      </c>
      <c r="P215" s="11" t="s">
        <v>118</v>
      </c>
      <c r="Q215" s="10" t="n">
        <v>4835245</v>
      </c>
      <c r="R215" s="12" t="n">
        <f aca="false">IF(OR($H215="",Q215=""),"",Q215/$H215)</f>
        <v>0.0802802043945</v>
      </c>
      <c r="S215" s="9" t="s">
        <v>115</v>
      </c>
      <c r="T215" s="11" t="s">
        <v>119</v>
      </c>
      <c r="U215" s="11" t="s">
        <v>266</v>
      </c>
      <c r="V215" s="11" t="s">
        <v>121</v>
      </c>
      <c r="W215" s="10" t="n">
        <v>404000</v>
      </c>
      <c r="X215" s="12" t="n">
        <f aca="false">IF(OR($H215="",W215=""),"",W215/$H215)</f>
        <v>0.00670766477714739</v>
      </c>
      <c r="Y215" s="9" t="s">
        <v>115</v>
      </c>
      <c r="Z215" s="11" t="s">
        <v>268</v>
      </c>
      <c r="AA215" s="11" t="s">
        <v>269</v>
      </c>
      <c r="AB215" s="11" t="s">
        <v>270</v>
      </c>
      <c r="AC215" s="9" t="n">
        <v>2</v>
      </c>
      <c r="AD215" s="10"/>
      <c r="AE215" s="9"/>
      <c r="AF215" s="11"/>
      <c r="AG215" s="11"/>
      <c r="AH215" s="11"/>
      <c r="AI215" s="10" t="n">
        <v>27305</v>
      </c>
      <c r="AJ215" s="9" t="s">
        <v>122</v>
      </c>
      <c r="AK215" s="11" t="s">
        <v>123</v>
      </c>
      <c r="AL215" s="11" t="s">
        <v>124</v>
      </c>
      <c r="AM215" s="11" t="s">
        <v>125</v>
      </c>
    </row>
    <row r="216" customFormat="false" ht="15" hidden="false" customHeight="false" outlineLevel="0" collapsed="false">
      <c r="A216" s="9" t="s">
        <v>261</v>
      </c>
      <c r="B216" s="9" t="s">
        <v>262</v>
      </c>
      <c r="C216" s="9" t="s">
        <v>263</v>
      </c>
      <c r="D216" s="9" t="s">
        <v>264</v>
      </c>
      <c r="E216" s="9" t="n">
        <v>1</v>
      </c>
      <c r="F216" s="9" t="n">
        <v>1</v>
      </c>
      <c r="G216" s="9" t="n">
        <v>2016</v>
      </c>
      <c r="H216" s="10" t="n">
        <v>60115223</v>
      </c>
      <c r="I216" s="11" t="s">
        <v>98</v>
      </c>
      <c r="J216" s="11" t="s">
        <v>99</v>
      </c>
      <c r="K216" s="10" t="n">
        <v>5656510</v>
      </c>
      <c r="L216" s="12" t="n">
        <f aca="false">IF(OR($H216="",K216=""),"",K216/$H216)</f>
        <v>0.094094469216225</v>
      </c>
      <c r="M216" s="9" t="s">
        <v>115</v>
      </c>
      <c r="N216" s="11" t="s">
        <v>116</v>
      </c>
      <c r="O216" s="11" t="s">
        <v>265</v>
      </c>
      <c r="P216" s="11" t="s">
        <v>118</v>
      </c>
      <c r="Q216" s="10" t="n">
        <v>4831042</v>
      </c>
      <c r="R216" s="12" t="n">
        <f aca="false">IF(OR($H216="",Q216=""),"",Q216/$H216)</f>
        <v>0.0803630388262887</v>
      </c>
      <c r="S216" s="9" t="s">
        <v>115</v>
      </c>
      <c r="T216" s="11" t="s">
        <v>119</v>
      </c>
      <c r="U216" s="11" t="s">
        <v>266</v>
      </c>
      <c r="V216" s="11" t="s">
        <v>121</v>
      </c>
      <c r="W216" s="10" t="n">
        <v>435000</v>
      </c>
      <c r="X216" s="12" t="n">
        <f aca="false">IF(OR($H216="",W216=""),"",W216/$H216)</f>
        <v>0.00723610390665938</v>
      </c>
      <c r="Y216" s="9" t="s">
        <v>115</v>
      </c>
      <c r="Z216" s="11" t="s">
        <v>268</v>
      </c>
      <c r="AA216" s="11" t="s">
        <v>269</v>
      </c>
      <c r="AB216" s="11" t="s">
        <v>270</v>
      </c>
      <c r="AC216" s="9" t="n">
        <v>2</v>
      </c>
      <c r="AD216" s="10"/>
      <c r="AE216" s="9"/>
      <c r="AF216" s="11"/>
      <c r="AG216" s="11"/>
      <c r="AH216" s="11"/>
      <c r="AI216" s="10" t="n">
        <v>32365</v>
      </c>
      <c r="AJ216" s="9" t="s">
        <v>122</v>
      </c>
      <c r="AK216" s="11" t="s">
        <v>123</v>
      </c>
      <c r="AL216" s="11" t="s">
        <v>124</v>
      </c>
      <c r="AM216" s="11" t="s">
        <v>125</v>
      </c>
    </row>
    <row r="217" customFormat="false" ht="15" hidden="false" customHeight="false" outlineLevel="0" collapsed="false">
      <c r="A217" s="9" t="s">
        <v>261</v>
      </c>
      <c r="B217" s="9" t="s">
        <v>262</v>
      </c>
      <c r="C217" s="9" t="s">
        <v>263</v>
      </c>
      <c r="D217" s="9" t="s">
        <v>264</v>
      </c>
      <c r="E217" s="9" t="n">
        <v>1</v>
      </c>
      <c r="F217" s="9" t="n">
        <v>1</v>
      </c>
      <c r="G217" s="9" t="n">
        <v>2017</v>
      </c>
      <c r="H217" s="10" t="n">
        <v>60002252</v>
      </c>
      <c r="I217" s="11" t="s">
        <v>98</v>
      </c>
      <c r="J217" s="11" t="s">
        <v>99</v>
      </c>
      <c r="K217" s="10" t="n">
        <v>5770263</v>
      </c>
      <c r="L217" s="12" t="n">
        <f aca="false">IF(OR($H217="",K217=""),"",K217/$H217)</f>
        <v>0.0961674405153993</v>
      </c>
      <c r="M217" s="9" t="s">
        <v>115</v>
      </c>
      <c r="N217" s="11" t="s">
        <v>116</v>
      </c>
      <c r="O217" s="11" t="s">
        <v>265</v>
      </c>
      <c r="P217" s="11" t="s">
        <v>118</v>
      </c>
      <c r="Q217" s="10" t="n">
        <v>4818633</v>
      </c>
      <c r="R217" s="12" t="n">
        <f aca="false">IF(OR($H217="",Q217=""),"",Q217/$H217)</f>
        <v>0.08030753579049</v>
      </c>
      <c r="S217" s="9" t="s">
        <v>115</v>
      </c>
      <c r="T217" s="11" t="s">
        <v>119</v>
      </c>
      <c r="U217" s="11" t="s">
        <v>266</v>
      </c>
      <c r="V217" s="11" t="s">
        <v>121</v>
      </c>
      <c r="W217" s="10" t="n">
        <v>491000</v>
      </c>
      <c r="X217" s="12" t="n">
        <f aca="false">IF(OR($H217="",W217=""),"",W217/$H217)</f>
        <v>0.0081830261970834</v>
      </c>
      <c r="Y217" s="9" t="s">
        <v>115</v>
      </c>
      <c r="Z217" s="11" t="s">
        <v>271</v>
      </c>
      <c r="AA217" s="11" t="s">
        <v>272</v>
      </c>
      <c r="AB217" s="11" t="s">
        <v>270</v>
      </c>
      <c r="AC217" s="9" t="n">
        <v>2</v>
      </c>
      <c r="AD217" s="10"/>
      <c r="AE217" s="9"/>
      <c r="AF217" s="11"/>
      <c r="AG217" s="11"/>
      <c r="AH217" s="11"/>
      <c r="AI217" s="10" t="n">
        <v>36230</v>
      </c>
      <c r="AJ217" s="9" t="s">
        <v>122</v>
      </c>
      <c r="AK217" s="11" t="s">
        <v>123</v>
      </c>
      <c r="AL217" s="11" t="s">
        <v>124</v>
      </c>
      <c r="AM217" s="11" t="s">
        <v>125</v>
      </c>
    </row>
    <row r="218" customFormat="false" ht="15" hidden="false" customHeight="false" outlineLevel="0" collapsed="false">
      <c r="A218" s="9" t="s">
        <v>261</v>
      </c>
      <c r="B218" s="9" t="s">
        <v>262</v>
      </c>
      <c r="C218" s="9" t="s">
        <v>263</v>
      </c>
      <c r="D218" s="9" t="s">
        <v>264</v>
      </c>
      <c r="E218" s="9" t="n">
        <v>1</v>
      </c>
      <c r="F218" s="9" t="n">
        <v>1</v>
      </c>
      <c r="G218" s="9" t="n">
        <v>2018</v>
      </c>
      <c r="H218" s="10" t="n">
        <v>59877221</v>
      </c>
      <c r="I218" s="11" t="s">
        <v>98</v>
      </c>
      <c r="J218" s="11" t="s">
        <v>99</v>
      </c>
      <c r="K218" s="10" t="n">
        <v>5888837</v>
      </c>
      <c r="L218" s="12" t="n">
        <f aca="false">IF(OR($H218="",K218=""),"",K218/$H218)</f>
        <v>0.0983485355808347</v>
      </c>
      <c r="M218" s="9" t="s">
        <v>115</v>
      </c>
      <c r="N218" s="11" t="s">
        <v>116</v>
      </c>
      <c r="O218" s="11" t="s">
        <v>265</v>
      </c>
      <c r="P218" s="11" t="s">
        <v>118</v>
      </c>
      <c r="Q218" s="10" t="n">
        <v>4883451</v>
      </c>
      <c r="R218" s="12" t="n">
        <f aca="false">IF(OR($H218="",Q218=""),"",Q218/$H218)</f>
        <v>0.0815577429687326</v>
      </c>
      <c r="S218" s="9" t="s">
        <v>115</v>
      </c>
      <c r="T218" s="11" t="s">
        <v>119</v>
      </c>
      <c r="U218" s="11" t="s">
        <v>266</v>
      </c>
      <c r="V218" s="11" t="s">
        <v>121</v>
      </c>
      <c r="W218" s="10" t="n">
        <v>533000</v>
      </c>
      <c r="X218" s="12" t="n">
        <f aca="false">IF(OR($H218="",W218=""),"",W218/$H218)</f>
        <v>0.00890154872083993</v>
      </c>
      <c r="Y218" s="9" t="s">
        <v>115</v>
      </c>
      <c r="Z218" s="11" t="s">
        <v>273</v>
      </c>
      <c r="AA218" s="11" t="s">
        <v>274</v>
      </c>
      <c r="AB218" s="11" t="s">
        <v>270</v>
      </c>
      <c r="AC218" s="9" t="n">
        <v>1</v>
      </c>
      <c r="AD218" s="10"/>
      <c r="AE218" s="9"/>
      <c r="AF218" s="11"/>
      <c r="AG218" s="11"/>
      <c r="AH218" s="11"/>
      <c r="AI218" s="10" t="n">
        <v>26780</v>
      </c>
      <c r="AJ218" s="9" t="s">
        <v>122</v>
      </c>
      <c r="AK218" s="11" t="s">
        <v>123</v>
      </c>
      <c r="AL218" s="11" t="s">
        <v>124</v>
      </c>
      <c r="AM218" s="11" t="s">
        <v>125</v>
      </c>
    </row>
    <row r="219" customFormat="false" ht="15" hidden="false" customHeight="false" outlineLevel="0" collapsed="false">
      <c r="A219" s="9" t="s">
        <v>261</v>
      </c>
      <c r="B219" s="9" t="s">
        <v>262</v>
      </c>
      <c r="C219" s="9" t="s">
        <v>263</v>
      </c>
      <c r="D219" s="9" t="s">
        <v>264</v>
      </c>
      <c r="E219" s="9" t="n">
        <v>1</v>
      </c>
      <c r="F219" s="9" t="n">
        <v>1</v>
      </c>
      <c r="G219" s="9" t="n">
        <v>2019</v>
      </c>
      <c r="H219" s="10" t="n">
        <v>59729081</v>
      </c>
      <c r="I219" s="11" t="s">
        <v>98</v>
      </c>
      <c r="J219" s="11" t="s">
        <v>99</v>
      </c>
      <c r="K219" s="10" t="n">
        <v>6069000</v>
      </c>
      <c r="L219" s="12" t="n">
        <f aca="false">IF(OR($H219="",K219=""),"",K219/$H219)</f>
        <v>0.10160879588956</v>
      </c>
      <c r="M219" s="9" t="s">
        <v>115</v>
      </c>
      <c r="N219" s="11" t="s">
        <v>116</v>
      </c>
      <c r="O219" s="11" t="s">
        <v>265</v>
      </c>
      <c r="P219" s="11" t="s">
        <v>118</v>
      </c>
      <c r="Q219" s="10" t="n">
        <v>4996158</v>
      </c>
      <c r="R219" s="12" t="n">
        <f aca="false">IF(OR($H219="",Q219=""),"",Q219/$H219)</f>
        <v>0.0836469926600746</v>
      </c>
      <c r="S219" s="9" t="s">
        <v>115</v>
      </c>
      <c r="T219" s="11" t="s">
        <v>119</v>
      </c>
      <c r="U219" s="11" t="s">
        <v>266</v>
      </c>
      <c r="V219" s="11" t="s">
        <v>121</v>
      </c>
      <c r="W219" s="10" t="n">
        <v>562000</v>
      </c>
      <c r="X219" s="12" t="n">
        <f aca="false">IF(OR($H219="",W219=""),"",W219/$H219)</f>
        <v>0.00940915196736411</v>
      </c>
      <c r="Y219" s="9" t="s">
        <v>115</v>
      </c>
      <c r="Z219" s="11" t="s">
        <v>275</v>
      </c>
      <c r="AA219" s="11" t="s">
        <v>276</v>
      </c>
      <c r="AB219" s="11" t="s">
        <v>270</v>
      </c>
      <c r="AC219" s="9" t="n">
        <v>1</v>
      </c>
      <c r="AD219" s="10"/>
      <c r="AE219" s="9"/>
      <c r="AF219" s="11"/>
      <c r="AG219" s="11"/>
      <c r="AH219" s="11"/>
      <c r="AI219" s="10" t="n">
        <v>26885</v>
      </c>
      <c r="AJ219" s="9" t="s">
        <v>122</v>
      </c>
      <c r="AK219" s="11" t="s">
        <v>123</v>
      </c>
      <c r="AL219" s="11" t="s">
        <v>124</v>
      </c>
      <c r="AM219" s="11" t="s">
        <v>125</v>
      </c>
    </row>
    <row r="220" customFormat="false" ht="15" hidden="false" customHeight="false" outlineLevel="0" collapsed="false">
      <c r="A220" s="9" t="s">
        <v>261</v>
      </c>
      <c r="B220" s="9" t="s">
        <v>262</v>
      </c>
      <c r="C220" s="9" t="s">
        <v>263</v>
      </c>
      <c r="D220" s="9" t="s">
        <v>264</v>
      </c>
      <c r="E220" s="9" t="n">
        <v>1</v>
      </c>
      <c r="F220" s="9" t="n">
        <v>1</v>
      </c>
      <c r="G220" s="9" t="n">
        <v>2020</v>
      </c>
      <c r="H220" s="10" t="n">
        <v>59438851</v>
      </c>
      <c r="I220" s="11" t="s">
        <v>98</v>
      </c>
      <c r="J220" s="11" t="s">
        <v>99</v>
      </c>
      <c r="K220" s="10" t="n">
        <v>6161391</v>
      </c>
      <c r="L220" s="12" t="n">
        <f aca="false">IF(OR($H220="",K220=""),"",K220/$H220)</f>
        <v>0.103659322082118</v>
      </c>
      <c r="M220" s="9" t="s">
        <v>115</v>
      </c>
      <c r="N220" s="11" t="s">
        <v>116</v>
      </c>
      <c r="O220" s="11" t="s">
        <v>265</v>
      </c>
      <c r="P220" s="11" t="s">
        <v>118</v>
      </c>
      <c r="Q220" s="10" t="n">
        <v>5039637</v>
      </c>
      <c r="R220" s="12" t="n">
        <f aca="false">IF(OR($H220="",Q220=""),"",Q220/$H220)</f>
        <v>0.0847869182397217</v>
      </c>
      <c r="S220" s="9" t="s">
        <v>115</v>
      </c>
      <c r="T220" s="11" t="s">
        <v>119</v>
      </c>
      <c r="U220" s="11" t="s">
        <v>266</v>
      </c>
      <c r="V220" s="11" t="s">
        <v>121</v>
      </c>
      <c r="W220" s="10" t="n">
        <v>517000</v>
      </c>
      <c r="X220" s="12" t="n">
        <f aca="false">IF(OR($H220="",W220=""),"",W220/$H220)</f>
        <v>0.00869801470422098</v>
      </c>
      <c r="Y220" s="9" t="s">
        <v>115</v>
      </c>
      <c r="Z220" s="11" t="s">
        <v>277</v>
      </c>
      <c r="AA220" s="11" t="s">
        <v>278</v>
      </c>
      <c r="AB220" s="11" t="s">
        <v>270</v>
      </c>
      <c r="AC220" s="9" t="n">
        <v>1</v>
      </c>
      <c r="AD220" s="10"/>
      <c r="AE220" s="9"/>
      <c r="AF220" s="11"/>
      <c r="AG220" s="11"/>
      <c r="AH220" s="11"/>
      <c r="AI220" s="10" t="n">
        <v>22785</v>
      </c>
      <c r="AJ220" s="9" t="s">
        <v>122</v>
      </c>
      <c r="AK220" s="11" t="s">
        <v>123</v>
      </c>
      <c r="AL220" s="11" t="s">
        <v>124</v>
      </c>
      <c r="AM220" s="11" t="s">
        <v>125</v>
      </c>
    </row>
    <row r="221" customFormat="false" ht="15" hidden="false" customHeight="false" outlineLevel="0" collapsed="false">
      <c r="A221" s="9" t="s">
        <v>261</v>
      </c>
      <c r="B221" s="9" t="s">
        <v>262</v>
      </c>
      <c r="C221" s="9" t="s">
        <v>263</v>
      </c>
      <c r="D221" s="9" t="s">
        <v>264</v>
      </c>
      <c r="E221" s="9" t="n">
        <v>1</v>
      </c>
      <c r="F221" s="9" t="n">
        <v>1</v>
      </c>
      <c r="G221" s="9" t="n">
        <v>2021</v>
      </c>
      <c r="H221" s="10" t="n">
        <v>59133173</v>
      </c>
      <c r="I221" s="11" t="s">
        <v>98</v>
      </c>
      <c r="J221" s="11" t="s">
        <v>99</v>
      </c>
      <c r="K221" s="10" t="n">
        <v>6262207</v>
      </c>
      <c r="L221" s="12" t="n">
        <f aca="false">IF(OR($H221="",K221=""),"",K221/$H221)</f>
        <v>0.105900067293869</v>
      </c>
      <c r="M221" s="9" t="s">
        <v>115</v>
      </c>
      <c r="N221" s="11" t="s">
        <v>116</v>
      </c>
      <c r="O221" s="11" t="s">
        <v>265</v>
      </c>
      <c r="P221" s="11" t="s">
        <v>118</v>
      </c>
      <c r="Q221" s="10" t="n">
        <v>5171894</v>
      </c>
      <c r="R221" s="12" t="n">
        <f aca="false">IF(OR($H221="",Q221=""),"",Q221/$H221)</f>
        <v>0.0874618042228175</v>
      </c>
      <c r="S221" s="9" t="s">
        <v>115</v>
      </c>
      <c r="T221" s="11" t="s">
        <v>119</v>
      </c>
      <c r="U221" s="11" t="s">
        <v>266</v>
      </c>
      <c r="V221" s="11" t="s">
        <v>121</v>
      </c>
      <c r="W221" s="10" t="n">
        <v>519000</v>
      </c>
      <c r="X221" s="12" t="n">
        <f aca="false">IF(OR($H221="",W221=""),"",W221/$H221)</f>
        <v>0.00877679944554979</v>
      </c>
      <c r="Y221" s="9" t="s">
        <v>115</v>
      </c>
      <c r="Z221" s="11" t="s">
        <v>279</v>
      </c>
      <c r="AA221" s="11" t="s">
        <v>280</v>
      </c>
      <c r="AB221" s="11" t="s">
        <v>270</v>
      </c>
      <c r="AC221" s="9" t="n">
        <v>1</v>
      </c>
      <c r="AD221" s="10"/>
      <c r="AE221" s="9"/>
      <c r="AF221" s="11"/>
      <c r="AG221" s="11"/>
      <c r="AH221" s="11"/>
      <c r="AI221" s="10" t="n">
        <v>92070</v>
      </c>
      <c r="AJ221" s="9" t="s">
        <v>122</v>
      </c>
      <c r="AK221" s="11" t="s">
        <v>123</v>
      </c>
      <c r="AL221" s="11" t="s">
        <v>124</v>
      </c>
      <c r="AM221" s="11" t="s">
        <v>125</v>
      </c>
    </row>
    <row r="222" customFormat="false" ht="15" hidden="false" customHeight="false" outlineLevel="0" collapsed="false">
      <c r="A222" s="9" t="s">
        <v>261</v>
      </c>
      <c r="B222" s="9" t="s">
        <v>262</v>
      </c>
      <c r="C222" s="9" t="s">
        <v>263</v>
      </c>
      <c r="D222" s="9" t="s">
        <v>264</v>
      </c>
      <c r="E222" s="9" t="n">
        <v>1</v>
      </c>
      <c r="F222" s="9" t="n">
        <v>1</v>
      </c>
      <c r="G222" s="9" t="n">
        <v>2022</v>
      </c>
      <c r="H222" s="10" t="n">
        <v>59013667</v>
      </c>
      <c r="I222" s="11" t="s">
        <v>98</v>
      </c>
      <c r="J222" s="11" t="s">
        <v>99</v>
      </c>
      <c r="K222" s="10" t="n">
        <v>6161003</v>
      </c>
      <c r="L222" s="12" t="n">
        <f aca="false">IF(OR($H222="",K222=""),"",K222/$H222)</f>
        <v>0.104399596113897</v>
      </c>
      <c r="M222" s="9" t="s">
        <v>115</v>
      </c>
      <c r="N222" s="11" t="s">
        <v>116</v>
      </c>
      <c r="O222" s="11" t="s">
        <v>265</v>
      </c>
      <c r="P222" s="11" t="s">
        <v>200</v>
      </c>
      <c r="Q222" s="10" t="n">
        <v>5030716</v>
      </c>
      <c r="R222" s="12" t="n">
        <f aca="false">IF(OR($H222="",Q222=""),"",Q222/$H222)</f>
        <v>0.0852466260061419</v>
      </c>
      <c r="S222" s="9" t="s">
        <v>115</v>
      </c>
      <c r="T222" s="11" t="s">
        <v>119</v>
      </c>
      <c r="U222" s="11" t="s">
        <v>266</v>
      </c>
      <c r="V222" s="11" t="s">
        <v>144</v>
      </c>
      <c r="W222" s="10" t="n">
        <v>506000</v>
      </c>
      <c r="X222" s="12" t="n">
        <f aca="false">IF(OR($H222="",W222=""),"",W222/$H222)</f>
        <v>0.00857428500418386</v>
      </c>
      <c r="Y222" s="9" t="s">
        <v>115</v>
      </c>
      <c r="Z222" s="11" t="s">
        <v>279</v>
      </c>
      <c r="AA222" s="11" t="s">
        <v>280</v>
      </c>
      <c r="AB222" s="11" t="s">
        <v>281</v>
      </c>
      <c r="AC222" s="9" t="n">
        <v>1</v>
      </c>
      <c r="AD222" s="10"/>
      <c r="AE222" s="9"/>
      <c r="AF222" s="11"/>
      <c r="AG222" s="11"/>
      <c r="AH222" s="11"/>
      <c r="AI222" s="10" t="n">
        <v>138420</v>
      </c>
      <c r="AJ222" s="9" t="s">
        <v>122</v>
      </c>
      <c r="AK222" s="11" t="s">
        <v>123</v>
      </c>
      <c r="AL222" s="11" t="s">
        <v>124</v>
      </c>
      <c r="AM222" s="11" t="s">
        <v>125</v>
      </c>
    </row>
    <row r="223" customFormat="false" ht="15" hidden="false" customHeight="false" outlineLevel="0" collapsed="false">
      <c r="A223" s="9" t="s">
        <v>282</v>
      </c>
      <c r="B223" s="9" t="s">
        <v>283</v>
      </c>
      <c r="C223" s="9" t="s">
        <v>284</v>
      </c>
      <c r="D223" s="9" t="s">
        <v>285</v>
      </c>
      <c r="E223" s="9" t="n">
        <v>1</v>
      </c>
      <c r="F223" s="9" t="n">
        <v>1</v>
      </c>
      <c r="G223" s="9" t="n">
        <v>2010</v>
      </c>
      <c r="H223" s="10" t="n">
        <v>128070000</v>
      </c>
      <c r="I223" s="11" t="s">
        <v>98</v>
      </c>
      <c r="J223" s="11" t="s">
        <v>99</v>
      </c>
      <c r="K223" s="10"/>
      <c r="L223" s="12"/>
      <c r="M223" s="9"/>
      <c r="N223" s="11"/>
      <c r="O223" s="11"/>
      <c r="P223" s="11"/>
      <c r="Q223" s="10" t="n">
        <v>2184724</v>
      </c>
      <c r="R223" s="12" t="n">
        <f aca="false">IF(OR($H223="",Q223=""),"",Q223/$H223)</f>
        <v>0.0170588272038729</v>
      </c>
      <c r="S223" s="9" t="s">
        <v>126</v>
      </c>
      <c r="T223" s="11" t="s">
        <v>152</v>
      </c>
      <c r="U223" s="11" t="s">
        <v>286</v>
      </c>
      <c r="V223" s="11" t="s">
        <v>287</v>
      </c>
      <c r="W223" s="10"/>
      <c r="X223" s="12"/>
      <c r="Y223" s="9"/>
      <c r="Z223" s="11"/>
      <c r="AA223" s="11"/>
      <c r="AB223" s="11"/>
      <c r="AC223" s="9"/>
      <c r="AD223" s="10"/>
      <c r="AE223" s="9"/>
      <c r="AF223" s="11"/>
      <c r="AG223" s="11"/>
      <c r="AH223" s="11"/>
      <c r="AI223" s="10"/>
      <c r="AJ223" s="9"/>
      <c r="AK223" s="11"/>
      <c r="AL223" s="11"/>
      <c r="AM223" s="11"/>
    </row>
    <row r="224" customFormat="false" ht="15" hidden="false" customHeight="false" outlineLevel="0" collapsed="false">
      <c r="A224" s="9" t="s">
        <v>282</v>
      </c>
      <c r="B224" s="9" t="s">
        <v>283</v>
      </c>
      <c r="C224" s="9" t="s">
        <v>284</v>
      </c>
      <c r="D224" s="9" t="s">
        <v>285</v>
      </c>
      <c r="E224" s="9" t="n">
        <v>1</v>
      </c>
      <c r="F224" s="9" t="n">
        <v>1</v>
      </c>
      <c r="G224" s="9" t="n">
        <v>2011</v>
      </c>
      <c r="H224" s="10" t="n">
        <v>127833000</v>
      </c>
      <c r="I224" s="11" t="s">
        <v>98</v>
      </c>
      <c r="J224" s="11" t="s">
        <v>99</v>
      </c>
      <c r="K224" s="10"/>
      <c r="L224" s="12"/>
      <c r="M224" s="9"/>
      <c r="N224" s="11"/>
      <c r="O224" s="11"/>
      <c r="P224" s="11"/>
      <c r="Q224" s="10" t="n">
        <v>2132913</v>
      </c>
      <c r="R224" s="12" t="n">
        <f aca="false">IF(OR($H224="",Q224=""),"",Q224/$H224)</f>
        <v>0.0166851517213865</v>
      </c>
      <c r="S224" s="9" t="s">
        <v>126</v>
      </c>
      <c r="T224" s="11" t="s">
        <v>152</v>
      </c>
      <c r="U224" s="11" t="s">
        <v>286</v>
      </c>
      <c r="V224" s="11" t="s">
        <v>287</v>
      </c>
      <c r="W224" s="10"/>
      <c r="X224" s="12"/>
      <c r="Y224" s="9"/>
      <c r="Z224" s="11"/>
      <c r="AA224" s="11"/>
      <c r="AB224" s="11"/>
      <c r="AC224" s="9"/>
      <c r="AD224" s="10" t="n">
        <v>78488</v>
      </c>
      <c r="AE224" s="9" t="s">
        <v>115</v>
      </c>
      <c r="AF224" s="11" t="s">
        <v>288</v>
      </c>
      <c r="AG224" s="11" t="s">
        <v>289</v>
      </c>
      <c r="AH224" s="11" t="s">
        <v>290</v>
      </c>
      <c r="AI224" s="10"/>
      <c r="AJ224" s="9"/>
      <c r="AK224" s="11"/>
      <c r="AL224" s="11"/>
      <c r="AM224" s="11"/>
    </row>
    <row r="225" customFormat="false" ht="15" hidden="false" customHeight="false" outlineLevel="0" collapsed="false">
      <c r="A225" s="9" t="s">
        <v>282</v>
      </c>
      <c r="B225" s="9" t="s">
        <v>283</v>
      </c>
      <c r="C225" s="9" t="s">
        <v>284</v>
      </c>
      <c r="D225" s="9" t="s">
        <v>285</v>
      </c>
      <c r="E225" s="9" t="n">
        <v>1</v>
      </c>
      <c r="F225" s="9" t="n">
        <v>1</v>
      </c>
      <c r="G225" s="9" t="n">
        <v>2012</v>
      </c>
      <c r="H225" s="10" t="n">
        <v>127629000</v>
      </c>
      <c r="I225" s="11" t="s">
        <v>98</v>
      </c>
      <c r="J225" s="11" t="s">
        <v>99</v>
      </c>
      <c r="K225" s="10"/>
      <c r="L225" s="12"/>
      <c r="M225" s="9"/>
      <c r="N225" s="11"/>
      <c r="O225" s="11"/>
      <c r="P225" s="11"/>
      <c r="Q225" s="10" t="n">
        <v>2078508</v>
      </c>
      <c r="R225" s="12" t="n">
        <f aca="false">IF(OR($H225="",Q225=""),"",Q225/$H225)</f>
        <v>0.01628554638836</v>
      </c>
      <c r="S225" s="9" t="s">
        <v>126</v>
      </c>
      <c r="T225" s="11" t="s">
        <v>152</v>
      </c>
      <c r="U225" s="11" t="s">
        <v>286</v>
      </c>
      <c r="V225" s="11" t="s">
        <v>287</v>
      </c>
      <c r="W225" s="10"/>
      <c r="X225" s="12"/>
      <c r="Y225" s="9"/>
      <c r="Z225" s="11"/>
      <c r="AA225" s="11"/>
      <c r="AB225" s="11"/>
      <c r="AC225" s="9"/>
      <c r="AD225" s="10"/>
      <c r="AE225" s="9"/>
      <c r="AF225" s="11"/>
      <c r="AG225" s="11"/>
      <c r="AH225" s="11"/>
      <c r="AI225" s="10"/>
      <c r="AJ225" s="9"/>
      <c r="AK225" s="11"/>
      <c r="AL225" s="11"/>
      <c r="AM225" s="11"/>
    </row>
    <row r="226" customFormat="false" ht="15" hidden="false" customHeight="false" outlineLevel="0" collapsed="false">
      <c r="A226" s="9" t="s">
        <v>282</v>
      </c>
      <c r="B226" s="9" t="s">
        <v>283</v>
      </c>
      <c r="C226" s="9" t="s">
        <v>284</v>
      </c>
      <c r="D226" s="9" t="s">
        <v>285</v>
      </c>
      <c r="E226" s="9" t="n">
        <v>1</v>
      </c>
      <c r="F226" s="9" t="n">
        <v>1</v>
      </c>
      <c r="G226" s="9" t="n">
        <v>2013</v>
      </c>
      <c r="H226" s="10" t="n">
        <v>127445000</v>
      </c>
      <c r="I226" s="11" t="s">
        <v>98</v>
      </c>
      <c r="J226" s="11" t="s">
        <v>99</v>
      </c>
      <c r="K226" s="10"/>
      <c r="L226" s="12"/>
      <c r="M226" s="9"/>
      <c r="N226" s="11"/>
      <c r="O226" s="11"/>
      <c r="P226" s="11"/>
      <c r="Q226" s="10" t="n">
        <v>2033656</v>
      </c>
      <c r="R226" s="12" t="n">
        <f aca="false">IF(OR($H226="",Q226=""),"",Q226/$H226)</f>
        <v>0.0159571266036329</v>
      </c>
      <c r="S226" s="9" t="s">
        <v>126</v>
      </c>
      <c r="T226" s="11" t="s">
        <v>152</v>
      </c>
      <c r="U226" s="11" t="s">
        <v>286</v>
      </c>
      <c r="V226" s="11" t="s">
        <v>287</v>
      </c>
      <c r="W226" s="10"/>
      <c r="X226" s="12"/>
      <c r="Y226" s="9"/>
      <c r="Z226" s="11"/>
      <c r="AA226" s="11"/>
      <c r="AB226" s="11"/>
      <c r="AC226" s="9"/>
      <c r="AD226" s="10"/>
      <c r="AE226" s="9"/>
      <c r="AF226" s="11"/>
      <c r="AG226" s="11"/>
      <c r="AH226" s="11"/>
      <c r="AI226" s="10"/>
      <c r="AJ226" s="9"/>
      <c r="AK226" s="11"/>
      <c r="AL226" s="11"/>
      <c r="AM226" s="11"/>
    </row>
    <row r="227" customFormat="false" ht="15" hidden="false" customHeight="false" outlineLevel="0" collapsed="false">
      <c r="A227" s="9" t="s">
        <v>282</v>
      </c>
      <c r="B227" s="9" t="s">
        <v>283</v>
      </c>
      <c r="C227" s="9" t="s">
        <v>284</v>
      </c>
      <c r="D227" s="9" t="s">
        <v>285</v>
      </c>
      <c r="E227" s="9" t="n">
        <v>1</v>
      </c>
      <c r="F227" s="9" t="n">
        <v>1</v>
      </c>
      <c r="G227" s="9" t="n">
        <v>2014</v>
      </c>
      <c r="H227" s="10" t="n">
        <v>127276000</v>
      </c>
      <c r="I227" s="11" t="s">
        <v>98</v>
      </c>
      <c r="J227" s="11" t="s">
        <v>99</v>
      </c>
      <c r="K227" s="10"/>
      <c r="L227" s="12"/>
      <c r="M227" s="9"/>
      <c r="N227" s="11"/>
      <c r="O227" s="11"/>
      <c r="P227" s="11"/>
      <c r="Q227" s="10" t="n">
        <v>2066445</v>
      </c>
      <c r="R227" s="12" t="n">
        <f aca="false">IF(OR($H227="",Q227=""),"",Q227/$H227)</f>
        <v>0.0162359360759295</v>
      </c>
      <c r="S227" s="9" t="s">
        <v>126</v>
      </c>
      <c r="T227" s="11" t="s">
        <v>152</v>
      </c>
      <c r="U227" s="11" t="s">
        <v>286</v>
      </c>
      <c r="V227" s="11" t="s">
        <v>287</v>
      </c>
      <c r="W227" s="10"/>
      <c r="X227" s="12"/>
      <c r="Y227" s="9"/>
      <c r="Z227" s="11"/>
      <c r="AA227" s="11"/>
      <c r="AB227" s="11"/>
      <c r="AC227" s="9"/>
      <c r="AD227" s="10" t="n">
        <v>59061</v>
      </c>
      <c r="AE227" s="9" t="s">
        <v>115</v>
      </c>
      <c r="AF227" s="13" t="s">
        <v>291</v>
      </c>
      <c r="AG227" s="11" t="s">
        <v>292</v>
      </c>
      <c r="AH227" s="11" t="s">
        <v>293</v>
      </c>
      <c r="AI227" s="10"/>
      <c r="AJ227" s="9"/>
      <c r="AK227" s="11"/>
      <c r="AL227" s="11"/>
      <c r="AM227" s="11"/>
    </row>
    <row r="228" customFormat="false" ht="15" hidden="false" customHeight="false" outlineLevel="0" collapsed="false">
      <c r="A228" s="9" t="s">
        <v>282</v>
      </c>
      <c r="B228" s="9" t="s">
        <v>283</v>
      </c>
      <c r="C228" s="9" t="s">
        <v>284</v>
      </c>
      <c r="D228" s="9" t="s">
        <v>285</v>
      </c>
      <c r="E228" s="9" t="n">
        <v>1</v>
      </c>
      <c r="F228" s="9" t="n">
        <v>1</v>
      </c>
      <c r="G228" s="9" t="n">
        <v>2015</v>
      </c>
      <c r="H228" s="10" t="n">
        <v>127141000</v>
      </c>
      <c r="I228" s="11" t="s">
        <v>98</v>
      </c>
      <c r="J228" s="11" t="s">
        <v>99</v>
      </c>
      <c r="K228" s="10"/>
      <c r="L228" s="12"/>
      <c r="M228" s="9"/>
      <c r="N228" s="11"/>
      <c r="O228" s="11"/>
      <c r="P228" s="11"/>
      <c r="Q228" s="10" t="n">
        <v>2121831</v>
      </c>
      <c r="R228" s="12" t="n">
        <f aca="false">IF(OR($H228="",Q228=""),"",Q228/$H228)</f>
        <v>0.0166888021959871</v>
      </c>
      <c r="S228" s="9" t="s">
        <v>126</v>
      </c>
      <c r="T228" s="11" t="s">
        <v>152</v>
      </c>
      <c r="U228" s="11" t="s">
        <v>286</v>
      </c>
      <c r="V228" s="11" t="s">
        <v>287</v>
      </c>
      <c r="W228" s="10"/>
      <c r="X228" s="12"/>
      <c r="Y228" s="9"/>
      <c r="Z228" s="11"/>
      <c r="AA228" s="11"/>
      <c r="AB228" s="11"/>
      <c r="AC228" s="9"/>
      <c r="AD228" s="10"/>
      <c r="AE228" s="9"/>
      <c r="AF228" s="11"/>
      <c r="AG228" s="11"/>
      <c r="AH228" s="11"/>
      <c r="AI228" s="10"/>
      <c r="AJ228" s="9"/>
      <c r="AK228" s="11"/>
      <c r="AL228" s="11"/>
      <c r="AM228" s="11"/>
    </row>
    <row r="229" customFormat="false" ht="15" hidden="false" customHeight="false" outlineLevel="0" collapsed="false">
      <c r="A229" s="9" t="s">
        <v>282</v>
      </c>
      <c r="B229" s="9" t="s">
        <v>283</v>
      </c>
      <c r="C229" s="9" t="s">
        <v>284</v>
      </c>
      <c r="D229" s="9" t="s">
        <v>285</v>
      </c>
      <c r="E229" s="9" t="n">
        <v>1</v>
      </c>
      <c r="F229" s="9" t="n">
        <v>1</v>
      </c>
      <c r="G229" s="9" t="n">
        <v>2016</v>
      </c>
      <c r="H229" s="10" t="n">
        <v>127076000</v>
      </c>
      <c r="I229" s="11" t="s">
        <v>98</v>
      </c>
      <c r="J229" s="11" t="s">
        <v>99</v>
      </c>
      <c r="K229" s="10"/>
      <c r="L229" s="12"/>
      <c r="M229" s="9"/>
      <c r="N229" s="11"/>
      <c r="O229" s="11"/>
      <c r="P229" s="11"/>
      <c r="Q229" s="10" t="n">
        <v>2232189</v>
      </c>
      <c r="R229" s="12" t="n">
        <f aca="false">IF(OR($H229="",Q229=""),"",Q229/$H229)</f>
        <v>0.0175657795335075</v>
      </c>
      <c r="S229" s="9" t="s">
        <v>126</v>
      </c>
      <c r="T229" s="11" t="s">
        <v>152</v>
      </c>
      <c r="U229" s="11" t="s">
        <v>286</v>
      </c>
      <c r="V229" s="11" t="s">
        <v>287</v>
      </c>
      <c r="W229" s="10"/>
      <c r="X229" s="12"/>
      <c r="Y229" s="9"/>
      <c r="Z229" s="11"/>
      <c r="AA229" s="11"/>
      <c r="AB229" s="11"/>
      <c r="AC229" s="9"/>
      <c r="AD229" s="10"/>
      <c r="AE229" s="9"/>
      <c r="AF229" s="11"/>
      <c r="AG229" s="11"/>
      <c r="AH229" s="11"/>
      <c r="AI229" s="10"/>
      <c r="AJ229" s="9"/>
      <c r="AK229" s="11"/>
      <c r="AL229" s="11"/>
      <c r="AM229" s="11"/>
    </row>
    <row r="230" customFormat="false" ht="15" hidden="false" customHeight="false" outlineLevel="0" collapsed="false">
      <c r="A230" s="9" t="s">
        <v>282</v>
      </c>
      <c r="B230" s="9" t="s">
        <v>283</v>
      </c>
      <c r="C230" s="9" t="s">
        <v>284</v>
      </c>
      <c r="D230" s="9" t="s">
        <v>285</v>
      </c>
      <c r="E230" s="9" t="n">
        <v>1</v>
      </c>
      <c r="F230" s="9" t="n">
        <v>1</v>
      </c>
      <c r="G230" s="9" t="n">
        <v>2017</v>
      </c>
      <c r="H230" s="10" t="n">
        <v>126972000</v>
      </c>
      <c r="I230" s="11" t="s">
        <v>98</v>
      </c>
      <c r="J230" s="11" t="s">
        <v>99</v>
      </c>
      <c r="K230" s="10"/>
      <c r="L230" s="12"/>
      <c r="M230" s="9"/>
      <c r="N230" s="11"/>
      <c r="O230" s="11"/>
      <c r="P230" s="11"/>
      <c r="Q230" s="10" t="n">
        <v>2382822</v>
      </c>
      <c r="R230" s="12" t="n">
        <f aca="false">IF(OR($H230="",Q230=""),"",Q230/$H230)</f>
        <v>0.0187665154522257</v>
      </c>
      <c r="S230" s="9" t="s">
        <v>126</v>
      </c>
      <c r="T230" s="11" t="s">
        <v>152</v>
      </c>
      <c r="U230" s="11" t="s">
        <v>286</v>
      </c>
      <c r="V230" s="11" t="s">
        <v>287</v>
      </c>
      <c r="W230" s="10"/>
      <c r="X230" s="12"/>
      <c r="Y230" s="9"/>
      <c r="Z230" s="11"/>
      <c r="AA230" s="11"/>
      <c r="AB230" s="11"/>
      <c r="AC230" s="9"/>
      <c r="AD230" s="10" t="n">
        <v>65270</v>
      </c>
      <c r="AE230" s="9" t="s">
        <v>115</v>
      </c>
      <c r="AF230" s="13" t="s">
        <v>291</v>
      </c>
      <c r="AG230" s="11" t="s">
        <v>294</v>
      </c>
      <c r="AH230" s="11" t="s">
        <v>295</v>
      </c>
      <c r="AI230" s="10"/>
      <c r="AJ230" s="9"/>
      <c r="AK230" s="11"/>
      <c r="AL230" s="11"/>
      <c r="AM230" s="11"/>
    </row>
    <row r="231" customFormat="false" ht="15" hidden="false" customHeight="false" outlineLevel="0" collapsed="false">
      <c r="A231" s="9" t="s">
        <v>282</v>
      </c>
      <c r="B231" s="9" t="s">
        <v>283</v>
      </c>
      <c r="C231" s="9" t="s">
        <v>284</v>
      </c>
      <c r="D231" s="9" t="s">
        <v>285</v>
      </c>
      <c r="E231" s="9" t="n">
        <v>1</v>
      </c>
      <c r="F231" s="9" t="n">
        <v>1</v>
      </c>
      <c r="G231" s="9" t="n">
        <v>2018</v>
      </c>
      <c r="H231" s="10" t="n">
        <v>126811000</v>
      </c>
      <c r="I231" s="11" t="s">
        <v>98</v>
      </c>
      <c r="J231" s="11" t="s">
        <v>99</v>
      </c>
      <c r="K231" s="10"/>
      <c r="L231" s="12"/>
      <c r="M231" s="9"/>
      <c r="N231" s="11"/>
      <c r="O231" s="11"/>
      <c r="P231" s="11"/>
      <c r="Q231" s="10" t="n">
        <v>2561848</v>
      </c>
      <c r="R231" s="12" t="n">
        <f aca="false">IF(OR($H231="",Q231=""),"",Q231/$H231)</f>
        <v>0.0202020960326786</v>
      </c>
      <c r="S231" s="9" t="s">
        <v>126</v>
      </c>
      <c r="T231" s="11" t="s">
        <v>152</v>
      </c>
      <c r="U231" s="11" t="s">
        <v>286</v>
      </c>
      <c r="V231" s="11" t="s">
        <v>287</v>
      </c>
      <c r="W231" s="10"/>
      <c r="X231" s="12"/>
      <c r="Y231" s="9"/>
      <c r="Z231" s="11"/>
      <c r="AA231" s="11"/>
      <c r="AB231" s="11"/>
      <c r="AC231" s="9"/>
      <c r="AD231" s="10" t="n">
        <v>66498</v>
      </c>
      <c r="AE231" s="9" t="s">
        <v>115</v>
      </c>
      <c r="AF231" s="13" t="s">
        <v>291</v>
      </c>
      <c r="AG231" s="11" t="s">
        <v>296</v>
      </c>
      <c r="AH231" s="11" t="s">
        <v>297</v>
      </c>
      <c r="AI231" s="10"/>
      <c r="AJ231" s="9"/>
      <c r="AK231" s="11"/>
      <c r="AL231" s="11"/>
      <c r="AM231" s="11"/>
    </row>
    <row r="232" customFormat="false" ht="15" hidden="false" customHeight="false" outlineLevel="0" collapsed="false">
      <c r="A232" s="9" t="s">
        <v>282</v>
      </c>
      <c r="B232" s="9" t="s">
        <v>283</v>
      </c>
      <c r="C232" s="9" t="s">
        <v>284</v>
      </c>
      <c r="D232" s="9" t="s">
        <v>285</v>
      </c>
      <c r="E232" s="9" t="n">
        <v>1</v>
      </c>
      <c r="F232" s="9" t="n">
        <v>1</v>
      </c>
      <c r="G232" s="9" t="n">
        <v>2019</v>
      </c>
      <c r="H232" s="10" t="n">
        <v>126633000</v>
      </c>
      <c r="I232" s="11" t="s">
        <v>98</v>
      </c>
      <c r="J232" s="11" t="s">
        <v>99</v>
      </c>
      <c r="K232" s="10"/>
      <c r="L232" s="12"/>
      <c r="M232" s="9"/>
      <c r="N232" s="11"/>
      <c r="O232" s="11"/>
      <c r="P232" s="11"/>
      <c r="Q232" s="10" t="n">
        <v>2731093</v>
      </c>
      <c r="R232" s="12" t="n">
        <f aca="false">IF(OR($H232="",Q232=""),"",Q232/$H232)</f>
        <v>0.0215669928059826</v>
      </c>
      <c r="S232" s="9" t="s">
        <v>126</v>
      </c>
      <c r="T232" s="11" t="s">
        <v>152</v>
      </c>
      <c r="U232" s="11" t="s">
        <v>286</v>
      </c>
      <c r="V232" s="11" t="s">
        <v>287</v>
      </c>
      <c r="W232" s="10"/>
      <c r="X232" s="12"/>
      <c r="Y232" s="9"/>
      <c r="Z232" s="11"/>
      <c r="AA232" s="11"/>
      <c r="AB232" s="11"/>
      <c r="AC232" s="9"/>
      <c r="AD232" s="10" t="n">
        <v>74167</v>
      </c>
      <c r="AE232" s="9" t="s">
        <v>115</v>
      </c>
      <c r="AF232" s="13" t="s">
        <v>291</v>
      </c>
      <c r="AG232" s="11" t="s">
        <v>296</v>
      </c>
      <c r="AH232" s="11" t="s">
        <v>298</v>
      </c>
      <c r="AI232" s="10"/>
      <c r="AJ232" s="9"/>
      <c r="AK232" s="11"/>
      <c r="AL232" s="11"/>
      <c r="AM232" s="11"/>
    </row>
    <row r="233" customFormat="false" ht="15" hidden="false" customHeight="false" outlineLevel="0" collapsed="false">
      <c r="A233" s="9" t="s">
        <v>282</v>
      </c>
      <c r="B233" s="9" t="s">
        <v>283</v>
      </c>
      <c r="C233" s="9" t="s">
        <v>284</v>
      </c>
      <c r="D233" s="9" t="s">
        <v>285</v>
      </c>
      <c r="E233" s="9" t="n">
        <v>1</v>
      </c>
      <c r="F233" s="9" t="n">
        <v>1</v>
      </c>
      <c r="G233" s="9" t="n">
        <v>2020</v>
      </c>
      <c r="H233" s="10" t="n">
        <v>126261000</v>
      </c>
      <c r="I233" s="11" t="s">
        <v>98</v>
      </c>
      <c r="J233" s="11" t="s">
        <v>99</v>
      </c>
      <c r="K233" s="10"/>
      <c r="L233" s="12"/>
      <c r="M233" s="9"/>
      <c r="N233" s="11"/>
      <c r="O233" s="11"/>
      <c r="P233" s="11"/>
      <c r="Q233" s="10" t="n">
        <v>2933137</v>
      </c>
      <c r="R233" s="12" t="n">
        <f aca="false">IF(OR($H233="",Q233=""),"",Q233/$H233)</f>
        <v>0.023230744251986</v>
      </c>
      <c r="S233" s="9" t="s">
        <v>126</v>
      </c>
      <c r="T233" s="11" t="s">
        <v>152</v>
      </c>
      <c r="U233" s="11" t="s">
        <v>286</v>
      </c>
      <c r="V233" s="11" t="s">
        <v>287</v>
      </c>
      <c r="W233" s="10"/>
      <c r="X233" s="12"/>
      <c r="Y233" s="9"/>
      <c r="Z233" s="11"/>
      <c r="AA233" s="11"/>
      <c r="AB233" s="11"/>
      <c r="AC233" s="9"/>
      <c r="AD233" s="10" t="n">
        <v>82892</v>
      </c>
      <c r="AE233" s="9" t="s">
        <v>115</v>
      </c>
      <c r="AF233" s="13" t="s">
        <v>291</v>
      </c>
      <c r="AG233" s="11" t="s">
        <v>296</v>
      </c>
      <c r="AH233" s="11" t="s">
        <v>299</v>
      </c>
      <c r="AI233" s="10"/>
      <c r="AJ233" s="9"/>
      <c r="AK233" s="11"/>
      <c r="AL233" s="11"/>
      <c r="AM233" s="11"/>
    </row>
    <row r="234" customFormat="false" ht="15" hidden="false" customHeight="false" outlineLevel="0" collapsed="false">
      <c r="A234" s="9" t="s">
        <v>282</v>
      </c>
      <c r="B234" s="9" t="s">
        <v>283</v>
      </c>
      <c r="C234" s="9" t="s">
        <v>284</v>
      </c>
      <c r="D234" s="9" t="s">
        <v>285</v>
      </c>
      <c r="E234" s="9" t="n">
        <v>1</v>
      </c>
      <c r="F234" s="9" t="n">
        <v>1</v>
      </c>
      <c r="G234" s="9" t="n">
        <v>2021</v>
      </c>
      <c r="H234" s="10" t="n">
        <v>125681593</v>
      </c>
      <c r="I234" s="11" t="s">
        <v>98</v>
      </c>
      <c r="J234" s="11" t="s">
        <v>99</v>
      </c>
      <c r="K234" s="10"/>
      <c r="L234" s="12"/>
      <c r="M234" s="9"/>
      <c r="N234" s="11"/>
      <c r="O234" s="11"/>
      <c r="P234" s="11"/>
      <c r="Q234" s="10" t="n">
        <v>2887116</v>
      </c>
      <c r="R234" s="12" t="n">
        <f aca="false">IF(OR($H234="",Q234=""),"",Q234/$H234)</f>
        <v>0.0229716693676854</v>
      </c>
      <c r="S234" s="9" t="s">
        <v>126</v>
      </c>
      <c r="T234" s="11" t="s">
        <v>152</v>
      </c>
      <c r="U234" s="11" t="s">
        <v>286</v>
      </c>
      <c r="V234" s="11" t="s">
        <v>287</v>
      </c>
      <c r="W234" s="10"/>
      <c r="X234" s="12"/>
      <c r="Y234" s="9"/>
      <c r="Z234" s="11"/>
      <c r="AA234" s="11"/>
      <c r="AB234" s="11"/>
      <c r="AC234" s="9"/>
      <c r="AD234" s="10" t="n">
        <v>82868</v>
      </c>
      <c r="AE234" s="9" t="s">
        <v>115</v>
      </c>
      <c r="AF234" s="13" t="s">
        <v>291</v>
      </c>
      <c r="AG234" s="11" t="s">
        <v>296</v>
      </c>
      <c r="AH234" s="11" t="s">
        <v>300</v>
      </c>
      <c r="AI234" s="10"/>
      <c r="AJ234" s="9"/>
      <c r="AK234" s="11"/>
      <c r="AL234" s="11"/>
      <c r="AM234" s="11"/>
    </row>
    <row r="235" customFormat="false" ht="15" hidden="false" customHeight="false" outlineLevel="0" collapsed="false">
      <c r="A235" s="9" t="s">
        <v>282</v>
      </c>
      <c r="B235" s="9" t="s">
        <v>283</v>
      </c>
      <c r="C235" s="9" t="s">
        <v>284</v>
      </c>
      <c r="D235" s="9" t="s">
        <v>285</v>
      </c>
      <c r="E235" s="9" t="n">
        <v>1</v>
      </c>
      <c r="F235" s="9" t="n">
        <v>1</v>
      </c>
      <c r="G235" s="9" t="n">
        <v>2022</v>
      </c>
      <c r="H235" s="10" t="n">
        <v>125124989</v>
      </c>
      <c r="I235" s="11" t="s">
        <v>98</v>
      </c>
      <c r="J235" s="11" t="s">
        <v>99</v>
      </c>
      <c r="K235" s="10"/>
      <c r="L235" s="12"/>
      <c r="M235" s="9"/>
      <c r="N235" s="11"/>
      <c r="O235" s="11"/>
      <c r="P235" s="11"/>
      <c r="Q235" s="10" t="n">
        <v>2760635</v>
      </c>
      <c r="R235" s="12" t="n">
        <f aca="false">IF(OR($H235="",Q235=""),"",Q235/$H235)</f>
        <v>0.022063018922623</v>
      </c>
      <c r="S235" s="9" t="s">
        <v>126</v>
      </c>
      <c r="T235" s="11" t="s">
        <v>152</v>
      </c>
      <c r="U235" s="11" t="s">
        <v>286</v>
      </c>
      <c r="V235" s="11" t="s">
        <v>287</v>
      </c>
      <c r="W235" s="10"/>
      <c r="X235" s="12"/>
      <c r="Y235" s="9"/>
      <c r="Z235" s="11"/>
      <c r="AA235" s="11"/>
      <c r="AB235" s="11"/>
      <c r="AC235" s="9"/>
      <c r="AD235" s="10" t="n">
        <v>66759</v>
      </c>
      <c r="AE235" s="9" t="s">
        <v>115</v>
      </c>
      <c r="AF235" s="13" t="s">
        <v>291</v>
      </c>
      <c r="AG235" s="11" t="s">
        <v>296</v>
      </c>
      <c r="AH235" s="11" t="s">
        <v>301</v>
      </c>
      <c r="AI235" s="10"/>
      <c r="AJ235" s="9"/>
      <c r="AK235" s="11"/>
      <c r="AL235" s="11"/>
      <c r="AM235" s="11"/>
    </row>
    <row r="236" customFormat="false" ht="15" hidden="false" customHeight="false" outlineLevel="0" collapsed="false">
      <c r="A236" s="9" t="s">
        <v>302</v>
      </c>
      <c r="B236" s="9" t="s">
        <v>303</v>
      </c>
      <c r="C236" s="9" t="s">
        <v>304</v>
      </c>
      <c r="D236" s="9" t="s">
        <v>305</v>
      </c>
      <c r="E236" s="9" t="n">
        <v>1</v>
      </c>
      <c r="F236" s="9" t="n">
        <v>0</v>
      </c>
      <c r="G236" s="9" t="n">
        <v>2010</v>
      </c>
      <c r="H236" s="10" t="n">
        <v>49554112</v>
      </c>
      <c r="I236" s="11" t="s">
        <v>98</v>
      </c>
      <c r="J236" s="11" t="s">
        <v>99</v>
      </c>
      <c r="K236" s="10" t="n">
        <v>566098</v>
      </c>
      <c r="L236" s="12" t="n">
        <f aca="false">IF(OR($H236="",K236=""),"",K236/$H236)</f>
        <v>0.0114238350189788</v>
      </c>
      <c r="M236" s="9" t="s">
        <v>100</v>
      </c>
      <c r="N236" s="11" t="s">
        <v>306</v>
      </c>
      <c r="O236" s="11" t="s">
        <v>307</v>
      </c>
      <c r="P236" s="11" t="s">
        <v>308</v>
      </c>
      <c r="Q236" s="10" t="n">
        <v>1010020</v>
      </c>
      <c r="R236" s="12" t="n">
        <f aca="false">IF(OR($H236="",Q236=""),"",Q236/$H236)</f>
        <v>0.0203821632400556</v>
      </c>
      <c r="S236" s="9" t="s">
        <v>151</v>
      </c>
      <c r="T236" s="11" t="s">
        <v>152</v>
      </c>
      <c r="U236" s="11" t="s">
        <v>309</v>
      </c>
      <c r="V236" s="11" t="s">
        <v>310</v>
      </c>
      <c r="W236" s="10"/>
      <c r="X236" s="12"/>
      <c r="Y236" s="9"/>
      <c r="Z236" s="11"/>
      <c r="AA236" s="11"/>
      <c r="AB236" s="11"/>
      <c r="AC236" s="9"/>
      <c r="AD236" s="10" t="n">
        <v>168515</v>
      </c>
      <c r="AE236" s="9" t="s">
        <v>151</v>
      </c>
      <c r="AF236" s="11" t="s">
        <v>311</v>
      </c>
      <c r="AG236" s="11" t="s">
        <v>312</v>
      </c>
      <c r="AH236" s="11" t="s">
        <v>313</v>
      </c>
      <c r="AI236" s="10"/>
      <c r="AJ236" s="9"/>
      <c r="AK236" s="11"/>
      <c r="AL236" s="11"/>
      <c r="AM236" s="11"/>
    </row>
    <row r="237" customFormat="false" ht="15" hidden="false" customHeight="false" outlineLevel="0" collapsed="false">
      <c r="A237" s="9" t="s">
        <v>302</v>
      </c>
      <c r="B237" s="9" t="s">
        <v>303</v>
      </c>
      <c r="C237" s="9" t="s">
        <v>304</v>
      </c>
      <c r="D237" s="9" t="s">
        <v>305</v>
      </c>
      <c r="E237" s="9" t="n">
        <v>1</v>
      </c>
      <c r="F237" s="9" t="n">
        <v>0</v>
      </c>
      <c r="G237" s="9" t="n">
        <v>2011</v>
      </c>
      <c r="H237" s="10" t="n">
        <v>49936638</v>
      </c>
      <c r="I237" s="11" t="s">
        <v>98</v>
      </c>
      <c r="J237" s="11" t="s">
        <v>99</v>
      </c>
      <c r="K237" s="10"/>
      <c r="L237" s="12"/>
      <c r="M237" s="9"/>
      <c r="N237" s="11"/>
      <c r="O237" s="11"/>
      <c r="P237" s="11"/>
      <c r="Q237" s="10" t="n">
        <v>1088638</v>
      </c>
      <c r="R237" s="12" t="n">
        <f aca="false">IF(OR($H237="",Q237=""),"",Q237/$H237)</f>
        <v>0.0218003863215621</v>
      </c>
      <c r="S237" s="9" t="s">
        <v>151</v>
      </c>
      <c r="T237" s="11" t="s">
        <v>152</v>
      </c>
      <c r="U237" s="11" t="s">
        <v>309</v>
      </c>
      <c r="V237" s="11" t="s">
        <v>310</v>
      </c>
      <c r="W237" s="10"/>
      <c r="X237" s="12"/>
      <c r="Y237" s="9"/>
      <c r="Z237" s="11"/>
      <c r="AA237" s="11"/>
      <c r="AB237" s="11"/>
      <c r="AC237" s="9"/>
      <c r="AD237" s="10" t="n">
        <v>167780</v>
      </c>
      <c r="AE237" s="9" t="s">
        <v>151</v>
      </c>
      <c r="AF237" s="11" t="s">
        <v>311</v>
      </c>
      <c r="AG237" s="11" t="s">
        <v>312</v>
      </c>
      <c r="AH237" s="11" t="s">
        <v>313</v>
      </c>
      <c r="AI237" s="10"/>
      <c r="AJ237" s="9"/>
      <c r="AK237" s="11"/>
      <c r="AL237" s="11"/>
      <c r="AM237" s="11"/>
    </row>
    <row r="238" customFormat="false" ht="15" hidden="false" customHeight="false" outlineLevel="0" collapsed="false">
      <c r="A238" s="9" t="s">
        <v>302</v>
      </c>
      <c r="B238" s="9" t="s">
        <v>303</v>
      </c>
      <c r="C238" s="9" t="s">
        <v>304</v>
      </c>
      <c r="D238" s="9" t="s">
        <v>305</v>
      </c>
      <c r="E238" s="9" t="n">
        <v>1</v>
      </c>
      <c r="F238" s="9" t="n">
        <v>0</v>
      </c>
      <c r="G238" s="9" t="n">
        <v>2012</v>
      </c>
      <c r="H238" s="10" t="n">
        <v>50199853</v>
      </c>
      <c r="I238" s="11" t="s">
        <v>98</v>
      </c>
      <c r="J238" s="11" t="s">
        <v>99</v>
      </c>
      <c r="K238" s="10"/>
      <c r="L238" s="12"/>
      <c r="M238" s="9"/>
      <c r="N238" s="11"/>
      <c r="O238" s="11"/>
      <c r="P238" s="11"/>
      <c r="Q238" s="10" t="n">
        <v>1200079</v>
      </c>
      <c r="R238" s="12" t="n">
        <f aca="false">IF(OR($H238="",Q238=""),"",Q238/$H238)</f>
        <v>0.023906026179001</v>
      </c>
      <c r="S238" s="9" t="s">
        <v>151</v>
      </c>
      <c r="T238" s="11" t="s">
        <v>152</v>
      </c>
      <c r="U238" s="11" t="s">
        <v>309</v>
      </c>
      <c r="V238" s="11" t="s">
        <v>310</v>
      </c>
      <c r="W238" s="10"/>
      <c r="X238" s="12"/>
      <c r="Y238" s="9"/>
      <c r="Z238" s="11"/>
      <c r="AA238" s="11"/>
      <c r="AB238" s="11"/>
      <c r="AC238" s="9"/>
      <c r="AD238" s="10" t="n">
        <v>177854</v>
      </c>
      <c r="AE238" s="9" t="s">
        <v>151</v>
      </c>
      <c r="AF238" s="11" t="s">
        <v>311</v>
      </c>
      <c r="AG238" s="11" t="s">
        <v>312</v>
      </c>
      <c r="AH238" s="11" t="s">
        <v>313</v>
      </c>
      <c r="AI238" s="10"/>
      <c r="AJ238" s="9"/>
      <c r="AK238" s="11"/>
      <c r="AL238" s="11"/>
      <c r="AM238" s="11"/>
    </row>
    <row r="239" customFormat="false" ht="15" hidden="false" customHeight="false" outlineLevel="0" collapsed="false">
      <c r="A239" s="9" t="s">
        <v>302</v>
      </c>
      <c r="B239" s="9" t="s">
        <v>303</v>
      </c>
      <c r="C239" s="9" t="s">
        <v>304</v>
      </c>
      <c r="D239" s="9" t="s">
        <v>305</v>
      </c>
      <c r="E239" s="9" t="n">
        <v>1</v>
      </c>
      <c r="F239" s="9" t="n">
        <v>0</v>
      </c>
      <c r="G239" s="9" t="n">
        <v>2013</v>
      </c>
      <c r="H239" s="10" t="n">
        <v>50428893</v>
      </c>
      <c r="I239" s="11" t="s">
        <v>98</v>
      </c>
      <c r="J239" s="11" t="s">
        <v>99</v>
      </c>
      <c r="K239" s="10"/>
      <c r="L239" s="12"/>
      <c r="M239" s="9"/>
      <c r="N239" s="11"/>
      <c r="O239" s="11"/>
      <c r="P239" s="11"/>
      <c r="Q239" s="10" t="n">
        <v>1202270</v>
      </c>
      <c r="R239" s="12" t="n">
        <f aca="false">IF(OR($H239="",Q239=""),"",Q239/$H239)</f>
        <v>0.0238408961307162</v>
      </c>
      <c r="S239" s="9" t="s">
        <v>151</v>
      </c>
      <c r="T239" s="11" t="s">
        <v>152</v>
      </c>
      <c r="U239" s="11" t="s">
        <v>309</v>
      </c>
      <c r="V239" s="11" t="s">
        <v>310</v>
      </c>
      <c r="W239" s="10"/>
      <c r="X239" s="12"/>
      <c r="Y239" s="9"/>
      <c r="Z239" s="11"/>
      <c r="AA239" s="11"/>
      <c r="AB239" s="11"/>
      <c r="AC239" s="9"/>
      <c r="AD239" s="10" t="n">
        <v>183106</v>
      </c>
      <c r="AE239" s="9" t="s">
        <v>151</v>
      </c>
      <c r="AF239" s="11" t="s">
        <v>311</v>
      </c>
      <c r="AG239" s="11" t="s">
        <v>312</v>
      </c>
      <c r="AH239" s="11" t="s">
        <v>313</v>
      </c>
      <c r="AI239" s="10"/>
      <c r="AJ239" s="9"/>
      <c r="AK239" s="11"/>
      <c r="AL239" s="11"/>
      <c r="AM239" s="11"/>
    </row>
    <row r="240" customFormat="false" ht="15" hidden="false" customHeight="false" outlineLevel="0" collapsed="false">
      <c r="A240" s="9" t="s">
        <v>302</v>
      </c>
      <c r="B240" s="9" t="s">
        <v>303</v>
      </c>
      <c r="C240" s="9" t="s">
        <v>304</v>
      </c>
      <c r="D240" s="9" t="s">
        <v>305</v>
      </c>
      <c r="E240" s="9" t="n">
        <v>1</v>
      </c>
      <c r="F240" s="9" t="n">
        <v>0</v>
      </c>
      <c r="G240" s="9" t="n">
        <v>2014</v>
      </c>
      <c r="H240" s="10" t="n">
        <v>50746659</v>
      </c>
      <c r="I240" s="11" t="s">
        <v>98</v>
      </c>
      <c r="J240" s="11" t="s">
        <v>99</v>
      </c>
      <c r="K240" s="10"/>
      <c r="L240" s="12"/>
      <c r="M240" s="9"/>
      <c r="N240" s="11"/>
      <c r="O240" s="11"/>
      <c r="P240" s="11"/>
      <c r="Q240" s="10" t="n">
        <v>1303777</v>
      </c>
      <c r="R240" s="12" t="n">
        <f aca="false">IF(OR($H240="",Q240=""),"",Q240/$H240)</f>
        <v>0.0256918785530295</v>
      </c>
      <c r="S240" s="9" t="s">
        <v>151</v>
      </c>
      <c r="T240" s="11" t="s">
        <v>152</v>
      </c>
      <c r="U240" s="11" t="s">
        <v>309</v>
      </c>
      <c r="V240" s="11" t="s">
        <v>310</v>
      </c>
      <c r="W240" s="10"/>
      <c r="X240" s="12"/>
      <c r="Y240" s="9"/>
      <c r="Z240" s="11"/>
      <c r="AA240" s="11"/>
      <c r="AB240" s="11"/>
      <c r="AC240" s="9"/>
      <c r="AD240" s="10" t="n">
        <v>208778</v>
      </c>
      <c r="AE240" s="9" t="s">
        <v>151</v>
      </c>
      <c r="AF240" s="11" t="s">
        <v>311</v>
      </c>
      <c r="AG240" s="11" t="s">
        <v>312</v>
      </c>
      <c r="AH240" s="11" t="s">
        <v>313</v>
      </c>
      <c r="AI240" s="10"/>
      <c r="AJ240" s="9"/>
      <c r="AK240" s="11"/>
      <c r="AL240" s="11"/>
      <c r="AM240" s="11"/>
    </row>
    <row r="241" customFormat="false" ht="15" hidden="false" customHeight="false" outlineLevel="0" collapsed="false">
      <c r="A241" s="9" t="s">
        <v>302</v>
      </c>
      <c r="B241" s="9" t="s">
        <v>303</v>
      </c>
      <c r="C241" s="9" t="s">
        <v>304</v>
      </c>
      <c r="D241" s="9" t="s">
        <v>305</v>
      </c>
      <c r="E241" s="9" t="n">
        <v>1</v>
      </c>
      <c r="F241" s="9" t="n">
        <v>0</v>
      </c>
      <c r="G241" s="9" t="n">
        <v>2015</v>
      </c>
      <c r="H241" s="10" t="n">
        <v>51014947</v>
      </c>
      <c r="I241" s="11" t="s">
        <v>98</v>
      </c>
      <c r="J241" s="11" t="s">
        <v>99</v>
      </c>
      <c r="K241" s="10" t="n">
        <v>1312172</v>
      </c>
      <c r="L241" s="12" t="n">
        <f aca="false">IF(OR($H241="",K241=""),"",K241/$H241)</f>
        <v>0.025721324379696</v>
      </c>
      <c r="M241" s="9" t="s">
        <v>100</v>
      </c>
      <c r="N241" s="11" t="s">
        <v>306</v>
      </c>
      <c r="O241" s="11" t="s">
        <v>307</v>
      </c>
      <c r="P241" s="11" t="s">
        <v>308</v>
      </c>
      <c r="Q241" s="10" t="n">
        <v>1488882</v>
      </c>
      <c r="R241" s="12" t="n">
        <f aca="false">IF(OR($H241="",Q241=""),"",Q241/$H241)</f>
        <v>0.0291852111499792</v>
      </c>
      <c r="S241" s="9" t="s">
        <v>151</v>
      </c>
      <c r="T241" s="11" t="s">
        <v>152</v>
      </c>
      <c r="U241" s="11" t="s">
        <v>309</v>
      </c>
      <c r="V241" s="11" t="s">
        <v>310</v>
      </c>
      <c r="W241" s="10"/>
      <c r="X241" s="12"/>
      <c r="Y241" s="9"/>
      <c r="Z241" s="11"/>
      <c r="AA241" s="11"/>
      <c r="AB241" s="11"/>
      <c r="AC241" s="9"/>
      <c r="AD241" s="10" t="n">
        <v>212596</v>
      </c>
      <c r="AE241" s="9" t="s">
        <v>151</v>
      </c>
      <c r="AF241" s="11" t="s">
        <v>311</v>
      </c>
      <c r="AG241" s="11" t="s">
        <v>312</v>
      </c>
      <c r="AH241" s="11" t="s">
        <v>314</v>
      </c>
      <c r="AI241" s="10"/>
      <c r="AJ241" s="9"/>
      <c r="AK241" s="11"/>
      <c r="AL241" s="11"/>
      <c r="AM241" s="11"/>
    </row>
    <row r="242" customFormat="false" ht="15" hidden="false" customHeight="false" outlineLevel="0" collapsed="false">
      <c r="A242" s="9" t="s">
        <v>302</v>
      </c>
      <c r="B242" s="9" t="s">
        <v>303</v>
      </c>
      <c r="C242" s="9" t="s">
        <v>304</v>
      </c>
      <c r="D242" s="9" t="s">
        <v>305</v>
      </c>
      <c r="E242" s="9" t="n">
        <v>1</v>
      </c>
      <c r="F242" s="9" t="n">
        <v>0</v>
      </c>
      <c r="G242" s="9" t="n">
        <v>2016</v>
      </c>
      <c r="H242" s="10" t="n">
        <v>51217803</v>
      </c>
      <c r="I242" s="11" t="s">
        <v>98</v>
      </c>
      <c r="J242" s="11" t="s">
        <v>99</v>
      </c>
      <c r="K242" s="10"/>
      <c r="L242" s="12"/>
      <c r="M242" s="9"/>
      <c r="N242" s="11"/>
      <c r="O242" s="11"/>
      <c r="P242" s="11"/>
      <c r="Q242" s="10" t="n">
        <v>1594768</v>
      </c>
      <c r="R242" s="12" t="n">
        <f aca="false">IF(OR($H242="",Q242=""),"",Q242/$H242)</f>
        <v>0.0311369857078797</v>
      </c>
      <c r="S242" s="9" t="s">
        <v>151</v>
      </c>
      <c r="T242" s="11" t="s">
        <v>152</v>
      </c>
      <c r="U242" s="11" t="s">
        <v>309</v>
      </c>
      <c r="V242" s="11" t="s">
        <v>310</v>
      </c>
      <c r="W242" s="10"/>
      <c r="X242" s="12"/>
      <c r="Y242" s="9"/>
      <c r="Z242" s="11"/>
      <c r="AA242" s="11"/>
      <c r="AB242" s="11"/>
      <c r="AC242" s="9"/>
      <c r="AD242" s="10"/>
      <c r="AE242" s="9"/>
      <c r="AF242" s="11"/>
      <c r="AG242" s="11"/>
      <c r="AH242" s="11"/>
      <c r="AI242" s="10"/>
      <c r="AJ242" s="9"/>
      <c r="AK242" s="11"/>
      <c r="AL242" s="11"/>
      <c r="AM242" s="11"/>
    </row>
    <row r="243" customFormat="false" ht="15" hidden="false" customHeight="false" outlineLevel="0" collapsed="false">
      <c r="A243" s="9" t="s">
        <v>302</v>
      </c>
      <c r="B243" s="9" t="s">
        <v>303</v>
      </c>
      <c r="C243" s="9" t="s">
        <v>304</v>
      </c>
      <c r="D243" s="9" t="s">
        <v>305</v>
      </c>
      <c r="E243" s="9" t="n">
        <v>1</v>
      </c>
      <c r="F243" s="9" t="n">
        <v>0</v>
      </c>
      <c r="G243" s="9" t="n">
        <v>2017</v>
      </c>
      <c r="H243" s="10" t="n">
        <v>51361911</v>
      </c>
      <c r="I243" s="11" t="s">
        <v>98</v>
      </c>
      <c r="J243" s="11" t="s">
        <v>99</v>
      </c>
      <c r="K243" s="10"/>
      <c r="L243" s="12"/>
      <c r="M243" s="9"/>
      <c r="N243" s="11"/>
      <c r="O243" s="11"/>
      <c r="P243" s="11"/>
      <c r="Q243" s="10" t="n">
        <v>1662759</v>
      </c>
      <c r="R243" s="12" t="n">
        <f aca="false">IF(OR($H243="",Q243=""),"",Q243/$H243)</f>
        <v>0.032373386574343</v>
      </c>
      <c r="S243" s="9" t="s">
        <v>151</v>
      </c>
      <c r="T243" s="11" t="s">
        <v>152</v>
      </c>
      <c r="U243" s="11" t="s">
        <v>309</v>
      </c>
      <c r="V243" s="11" t="s">
        <v>310</v>
      </c>
      <c r="W243" s="10"/>
      <c r="X243" s="12"/>
      <c r="Y243" s="9"/>
      <c r="Z243" s="11"/>
      <c r="AA243" s="11"/>
      <c r="AB243" s="11"/>
      <c r="AC243" s="9"/>
      <c r="AD243" s="10"/>
      <c r="AE243" s="9"/>
      <c r="AF243" s="11"/>
      <c r="AG243" s="11"/>
      <c r="AH243" s="11"/>
      <c r="AI243" s="10"/>
      <c r="AJ243" s="9"/>
      <c r="AK243" s="11"/>
      <c r="AL243" s="11"/>
      <c r="AM243" s="11"/>
    </row>
    <row r="244" customFormat="false" ht="15" hidden="false" customHeight="false" outlineLevel="0" collapsed="false">
      <c r="A244" s="9" t="s">
        <v>302</v>
      </c>
      <c r="B244" s="9" t="s">
        <v>303</v>
      </c>
      <c r="C244" s="9" t="s">
        <v>304</v>
      </c>
      <c r="D244" s="9" t="s">
        <v>305</v>
      </c>
      <c r="E244" s="9" t="n">
        <v>1</v>
      </c>
      <c r="F244" s="9" t="n">
        <v>0</v>
      </c>
      <c r="G244" s="9" t="n">
        <v>2018</v>
      </c>
      <c r="H244" s="10" t="n">
        <v>51585058</v>
      </c>
      <c r="I244" s="11" t="s">
        <v>98</v>
      </c>
      <c r="J244" s="11" t="s">
        <v>99</v>
      </c>
      <c r="K244" s="10"/>
      <c r="L244" s="12"/>
      <c r="M244" s="9"/>
      <c r="N244" s="11"/>
      <c r="O244" s="11"/>
      <c r="P244" s="11"/>
      <c r="Q244" s="10" t="n">
        <v>1749563</v>
      </c>
      <c r="R244" s="12" t="n">
        <f aca="false">IF(OR($H244="",Q244=""),"",Q244/$H244)</f>
        <v>0.0339160808930369</v>
      </c>
      <c r="S244" s="9" t="s">
        <v>151</v>
      </c>
      <c r="T244" s="11" t="s">
        <v>152</v>
      </c>
      <c r="U244" s="11" t="s">
        <v>309</v>
      </c>
      <c r="V244" s="11" t="s">
        <v>310</v>
      </c>
      <c r="W244" s="10"/>
      <c r="X244" s="12"/>
      <c r="Y244" s="9"/>
      <c r="Z244" s="11"/>
      <c r="AA244" s="11"/>
      <c r="AB244" s="11"/>
      <c r="AC244" s="9"/>
      <c r="AD244" s="10" t="n">
        <v>355126</v>
      </c>
      <c r="AE244" s="9" t="s">
        <v>151</v>
      </c>
      <c r="AF244" s="11" t="s">
        <v>315</v>
      </c>
      <c r="AG244" s="11" t="s">
        <v>316</v>
      </c>
      <c r="AH244" s="11" t="s">
        <v>317</v>
      </c>
      <c r="AI244" s="10"/>
      <c r="AJ244" s="9"/>
      <c r="AK244" s="11"/>
      <c r="AL244" s="11"/>
      <c r="AM244" s="11"/>
    </row>
    <row r="245" customFormat="false" ht="15" hidden="false" customHeight="false" outlineLevel="0" collapsed="false">
      <c r="A245" s="9" t="s">
        <v>302</v>
      </c>
      <c r="B245" s="9" t="s">
        <v>303</v>
      </c>
      <c r="C245" s="9" t="s">
        <v>304</v>
      </c>
      <c r="D245" s="9" t="s">
        <v>305</v>
      </c>
      <c r="E245" s="9" t="n">
        <v>1</v>
      </c>
      <c r="F245" s="9" t="n">
        <v>0</v>
      </c>
      <c r="G245" s="9" t="n">
        <v>2019</v>
      </c>
      <c r="H245" s="10" t="n">
        <v>51764822</v>
      </c>
      <c r="I245" s="11" t="s">
        <v>98</v>
      </c>
      <c r="J245" s="11" t="s">
        <v>99</v>
      </c>
      <c r="K245" s="10"/>
      <c r="L245" s="12"/>
      <c r="M245" s="9"/>
      <c r="N245" s="11"/>
      <c r="O245" s="11"/>
      <c r="P245" s="11"/>
      <c r="Q245" s="10" t="n">
        <v>1951097</v>
      </c>
      <c r="R245" s="12" t="n">
        <f aca="false">IF(OR($H245="",Q245=""),"",Q245/$H245)</f>
        <v>0.0376915620418824</v>
      </c>
      <c r="S245" s="9" t="s">
        <v>151</v>
      </c>
      <c r="T245" s="11" t="s">
        <v>152</v>
      </c>
      <c r="U245" s="11" t="s">
        <v>309</v>
      </c>
      <c r="V245" s="11" t="s">
        <v>310</v>
      </c>
      <c r="W245" s="10"/>
      <c r="X245" s="12"/>
      <c r="Y245" s="9"/>
      <c r="Z245" s="11"/>
      <c r="AA245" s="11"/>
      <c r="AB245" s="11"/>
      <c r="AC245" s="9"/>
      <c r="AD245" s="10"/>
      <c r="AE245" s="9"/>
      <c r="AF245" s="11"/>
      <c r="AG245" s="11"/>
      <c r="AH245" s="11"/>
      <c r="AI245" s="10"/>
      <c r="AJ245" s="9"/>
      <c r="AK245" s="11"/>
      <c r="AL245" s="11"/>
      <c r="AM245" s="11"/>
    </row>
    <row r="246" customFormat="false" ht="15" hidden="false" customHeight="false" outlineLevel="0" collapsed="false">
      <c r="A246" s="9" t="s">
        <v>302</v>
      </c>
      <c r="B246" s="9" t="s">
        <v>303</v>
      </c>
      <c r="C246" s="9" t="s">
        <v>304</v>
      </c>
      <c r="D246" s="9" t="s">
        <v>305</v>
      </c>
      <c r="E246" s="9" t="n">
        <v>1</v>
      </c>
      <c r="F246" s="9" t="n">
        <v>0</v>
      </c>
      <c r="G246" s="9" t="n">
        <v>2020</v>
      </c>
      <c r="H246" s="10" t="n">
        <v>51836239</v>
      </c>
      <c r="I246" s="11" t="s">
        <v>98</v>
      </c>
      <c r="J246" s="11" t="s">
        <v>99</v>
      </c>
      <c r="K246" s="10" t="n">
        <v>1723389</v>
      </c>
      <c r="L246" s="12" t="n">
        <f aca="false">IF(OR($H246="",K246=""),"",K246/$H246)</f>
        <v>0.0332467986344457</v>
      </c>
      <c r="M246" s="9" t="s">
        <v>100</v>
      </c>
      <c r="N246" s="11" t="s">
        <v>306</v>
      </c>
      <c r="O246" s="11" t="s">
        <v>307</v>
      </c>
      <c r="P246" s="11" t="s">
        <v>308</v>
      </c>
      <c r="Q246" s="10" t="n">
        <v>2024578</v>
      </c>
      <c r="R246" s="12" t="n">
        <f aca="false">IF(OR($H246="",Q246=""),"",Q246/$H246)</f>
        <v>0.0390571931732933</v>
      </c>
      <c r="S246" s="9" t="s">
        <v>151</v>
      </c>
      <c r="T246" s="11" t="s">
        <v>152</v>
      </c>
      <c r="U246" s="11" t="s">
        <v>309</v>
      </c>
      <c r="V246" s="11" t="s">
        <v>310</v>
      </c>
      <c r="W246" s="10"/>
      <c r="X246" s="12"/>
      <c r="Y246" s="9"/>
      <c r="Z246" s="11"/>
      <c r="AA246" s="11"/>
      <c r="AB246" s="11"/>
      <c r="AC246" s="9"/>
      <c r="AD246" s="10" t="n">
        <v>392196</v>
      </c>
      <c r="AE246" s="9" t="s">
        <v>151</v>
      </c>
      <c r="AF246" s="11" t="s">
        <v>315</v>
      </c>
      <c r="AG246" s="11" t="s">
        <v>316</v>
      </c>
      <c r="AH246" s="11" t="s">
        <v>318</v>
      </c>
      <c r="AI246" s="10"/>
      <c r="AJ246" s="9"/>
      <c r="AK246" s="11"/>
      <c r="AL246" s="11"/>
      <c r="AM246" s="11"/>
    </row>
    <row r="247" customFormat="false" ht="15" hidden="false" customHeight="false" outlineLevel="0" collapsed="false">
      <c r="A247" s="9" t="s">
        <v>302</v>
      </c>
      <c r="B247" s="9" t="s">
        <v>303</v>
      </c>
      <c r="C247" s="9" t="s">
        <v>304</v>
      </c>
      <c r="D247" s="9" t="s">
        <v>305</v>
      </c>
      <c r="E247" s="9" t="n">
        <v>1</v>
      </c>
      <c r="F247" s="9" t="n">
        <v>0</v>
      </c>
      <c r="G247" s="9" t="n">
        <v>2021</v>
      </c>
      <c r="H247" s="10" t="n">
        <v>51769539</v>
      </c>
      <c r="I247" s="11" t="s">
        <v>98</v>
      </c>
      <c r="J247" s="11" t="s">
        <v>99</v>
      </c>
      <c r="K247" s="10"/>
      <c r="L247" s="12"/>
      <c r="M247" s="9"/>
      <c r="N247" s="11"/>
      <c r="O247" s="11"/>
      <c r="P247" s="11"/>
      <c r="Q247" s="10" t="n">
        <v>1889454</v>
      </c>
      <c r="R247" s="12" t="n">
        <f aca="false">IF(OR($H247="",Q247=""),"",Q247/$H247)</f>
        <v>0.0364974082539155</v>
      </c>
      <c r="S247" s="9" t="s">
        <v>151</v>
      </c>
      <c r="T247" s="11" t="s">
        <v>152</v>
      </c>
      <c r="U247" s="11" t="s">
        <v>309</v>
      </c>
      <c r="V247" s="11" t="s">
        <v>310</v>
      </c>
      <c r="W247" s="10"/>
      <c r="X247" s="12"/>
      <c r="Y247" s="9"/>
      <c r="Z247" s="11"/>
      <c r="AA247" s="11"/>
      <c r="AB247" s="11"/>
      <c r="AC247" s="9"/>
      <c r="AD247" s="10" t="n">
        <v>388700</v>
      </c>
      <c r="AE247" s="9" t="s">
        <v>151</v>
      </c>
      <c r="AF247" s="11" t="s">
        <v>315</v>
      </c>
      <c r="AG247" s="11" t="s">
        <v>316</v>
      </c>
      <c r="AH247" s="11" t="s">
        <v>319</v>
      </c>
      <c r="AI247" s="10"/>
      <c r="AJ247" s="9"/>
      <c r="AK247" s="11"/>
      <c r="AL247" s="11"/>
      <c r="AM247" s="11"/>
    </row>
    <row r="248" customFormat="false" ht="15" hidden="false" customHeight="false" outlineLevel="0" collapsed="false">
      <c r="A248" s="9" t="s">
        <v>302</v>
      </c>
      <c r="B248" s="9" t="s">
        <v>303</v>
      </c>
      <c r="C248" s="9" t="s">
        <v>304</v>
      </c>
      <c r="D248" s="9" t="s">
        <v>305</v>
      </c>
      <c r="E248" s="9" t="n">
        <v>1</v>
      </c>
      <c r="F248" s="9" t="n">
        <v>0</v>
      </c>
      <c r="G248" s="9" t="n">
        <v>2022</v>
      </c>
      <c r="H248" s="10" t="n">
        <v>51672569</v>
      </c>
      <c r="I248" s="11" t="s">
        <v>98</v>
      </c>
      <c r="J248" s="11" t="s">
        <v>99</v>
      </c>
      <c r="K248" s="10"/>
      <c r="L248" s="12"/>
      <c r="M248" s="9"/>
      <c r="N248" s="11"/>
      <c r="O248" s="11"/>
      <c r="P248" s="11"/>
      <c r="Q248" s="10" t="n">
        <v>1829774</v>
      </c>
      <c r="R248" s="12" t="n">
        <f aca="false">IF(OR($H248="",Q248=""),"",Q248/$H248)</f>
        <v>0.0354109353455989</v>
      </c>
      <c r="S248" s="9" t="s">
        <v>151</v>
      </c>
      <c r="T248" s="11" t="s">
        <v>152</v>
      </c>
      <c r="U248" s="11" t="s">
        <v>309</v>
      </c>
      <c r="V248" s="11" t="s">
        <v>310</v>
      </c>
      <c r="W248" s="10"/>
      <c r="X248" s="12"/>
      <c r="Y248" s="9"/>
      <c r="Z248" s="11"/>
      <c r="AA248" s="11"/>
      <c r="AB248" s="11"/>
      <c r="AC248" s="9"/>
      <c r="AD248" s="10" t="n">
        <v>411270</v>
      </c>
      <c r="AE248" s="9" t="s">
        <v>151</v>
      </c>
      <c r="AF248" s="11" t="s">
        <v>315</v>
      </c>
      <c r="AG248" s="11" t="s">
        <v>316</v>
      </c>
      <c r="AH248" s="11" t="s">
        <v>320</v>
      </c>
      <c r="AI248" s="10"/>
      <c r="AJ248" s="9"/>
      <c r="AK248" s="11"/>
      <c r="AL248" s="11"/>
      <c r="AM248" s="11"/>
    </row>
    <row r="249" customFormat="false" ht="15" hidden="false" customHeight="false" outlineLevel="0" collapsed="false">
      <c r="A249" s="9" t="s">
        <v>321</v>
      </c>
      <c r="B249" s="9" t="s">
        <v>322</v>
      </c>
      <c r="C249" s="9" t="s">
        <v>323</v>
      </c>
      <c r="D249" s="9" t="s">
        <v>324</v>
      </c>
      <c r="E249" s="9" t="n">
        <v>1</v>
      </c>
      <c r="F249" s="9" t="n">
        <v>0</v>
      </c>
      <c r="G249" s="9" t="n">
        <v>2010</v>
      </c>
      <c r="H249" s="10" t="n">
        <v>3097282</v>
      </c>
      <c r="I249" s="11" t="s">
        <v>98</v>
      </c>
      <c r="J249" s="11" t="s">
        <v>99</v>
      </c>
      <c r="K249" s="10" t="n">
        <v>160772</v>
      </c>
      <c r="L249" s="12" t="n">
        <f aca="false">IF(OR($H249="",K249=""),"",K249/$H249)</f>
        <v>0.0519074465934971</v>
      </c>
      <c r="M249" s="9" t="s">
        <v>115</v>
      </c>
      <c r="N249" s="11" t="s">
        <v>116</v>
      </c>
      <c r="O249" s="11" t="s">
        <v>325</v>
      </c>
      <c r="P249" s="11" t="s">
        <v>118</v>
      </c>
      <c r="Q249" s="10" t="n">
        <v>27318</v>
      </c>
      <c r="R249" s="12" t="n">
        <f aca="false">IF(OR($H249="",Q249=""),"",Q249/$H249)</f>
        <v>0.00881999120519217</v>
      </c>
      <c r="S249" s="9" t="s">
        <v>115</v>
      </c>
      <c r="T249" s="11" t="s">
        <v>119</v>
      </c>
      <c r="U249" s="11" t="s">
        <v>326</v>
      </c>
      <c r="V249" s="11" t="s">
        <v>121</v>
      </c>
      <c r="W249" s="10"/>
      <c r="X249" s="12"/>
      <c r="Y249" s="9"/>
      <c r="Z249" s="11"/>
      <c r="AA249" s="11"/>
      <c r="AB249" s="11"/>
      <c r="AC249" s="9"/>
      <c r="AD249" s="10"/>
      <c r="AE249" s="9"/>
      <c r="AF249" s="11"/>
      <c r="AG249" s="11"/>
      <c r="AH249" s="11"/>
      <c r="AI249" s="10" t="n">
        <v>1345</v>
      </c>
      <c r="AJ249" s="9" t="s">
        <v>122</v>
      </c>
      <c r="AK249" s="11" t="s">
        <v>123</v>
      </c>
      <c r="AL249" s="11" t="s">
        <v>124</v>
      </c>
      <c r="AM249" s="11" t="s">
        <v>125</v>
      </c>
    </row>
    <row r="250" customFormat="false" ht="15" hidden="false" customHeight="false" outlineLevel="0" collapsed="false">
      <c r="A250" s="9" t="s">
        <v>321</v>
      </c>
      <c r="B250" s="9" t="s">
        <v>322</v>
      </c>
      <c r="C250" s="9" t="s">
        <v>323</v>
      </c>
      <c r="D250" s="9" t="s">
        <v>324</v>
      </c>
      <c r="E250" s="9" t="n">
        <v>1</v>
      </c>
      <c r="F250" s="9" t="n">
        <v>0</v>
      </c>
      <c r="G250" s="9" t="n">
        <v>2011</v>
      </c>
      <c r="H250" s="10" t="n">
        <v>3028115</v>
      </c>
      <c r="I250" s="11" t="s">
        <v>98</v>
      </c>
      <c r="J250" s="11" t="s">
        <v>99</v>
      </c>
      <c r="K250" s="10" t="n">
        <v>149544</v>
      </c>
      <c r="L250" s="12" t="n">
        <f aca="false">IF(OR($H250="",K250=""),"",K250/$H250)</f>
        <v>0.0493851785681852</v>
      </c>
      <c r="M250" s="9" t="s">
        <v>115</v>
      </c>
      <c r="N250" s="11" t="s">
        <v>116</v>
      </c>
      <c r="O250" s="11" t="s">
        <v>325</v>
      </c>
      <c r="P250" s="11" t="s">
        <v>118</v>
      </c>
      <c r="Q250" s="10" t="n">
        <v>24031</v>
      </c>
      <c r="R250" s="12" t="n">
        <f aca="false">IF(OR($H250="",Q250=""),"",Q250/$H250)</f>
        <v>0.00793596016003355</v>
      </c>
      <c r="S250" s="9" t="s">
        <v>115</v>
      </c>
      <c r="T250" s="11" t="s">
        <v>119</v>
      </c>
      <c r="U250" s="11" t="s">
        <v>326</v>
      </c>
      <c r="V250" s="11" t="s">
        <v>121</v>
      </c>
      <c r="W250" s="10"/>
      <c r="X250" s="12"/>
      <c r="Y250" s="9"/>
      <c r="Z250" s="11"/>
      <c r="AA250" s="11"/>
      <c r="AB250" s="11"/>
      <c r="AC250" s="9"/>
      <c r="AD250" s="10"/>
      <c r="AE250" s="9"/>
      <c r="AF250" s="11"/>
      <c r="AG250" s="11"/>
      <c r="AH250" s="11"/>
      <c r="AI250" s="10" t="n">
        <v>1895</v>
      </c>
      <c r="AJ250" s="9" t="s">
        <v>122</v>
      </c>
      <c r="AK250" s="11" t="s">
        <v>123</v>
      </c>
      <c r="AL250" s="11" t="s">
        <v>124</v>
      </c>
      <c r="AM250" s="11" t="s">
        <v>125</v>
      </c>
    </row>
    <row r="251" customFormat="false" ht="15" hidden="false" customHeight="false" outlineLevel="0" collapsed="false">
      <c r="A251" s="9" t="s">
        <v>321</v>
      </c>
      <c r="B251" s="9" t="s">
        <v>322</v>
      </c>
      <c r="C251" s="9" t="s">
        <v>323</v>
      </c>
      <c r="D251" s="9" t="s">
        <v>324</v>
      </c>
      <c r="E251" s="9" t="n">
        <v>1</v>
      </c>
      <c r="F251" s="9" t="n">
        <v>0</v>
      </c>
      <c r="G251" s="9" t="n">
        <v>2012</v>
      </c>
      <c r="H251" s="10" t="n">
        <v>2989139</v>
      </c>
      <c r="I251" s="11" t="s">
        <v>98</v>
      </c>
      <c r="J251" s="11" t="s">
        <v>99</v>
      </c>
      <c r="K251" s="10" t="n">
        <v>143675</v>
      </c>
      <c r="L251" s="12" t="n">
        <f aca="false">IF(OR($H251="",K251=""),"",K251/$H251)</f>
        <v>0.0480656804517957</v>
      </c>
      <c r="M251" s="9" t="s">
        <v>115</v>
      </c>
      <c r="N251" s="11" t="s">
        <v>116</v>
      </c>
      <c r="O251" s="11" t="s">
        <v>325</v>
      </c>
      <c r="P251" s="11" t="s">
        <v>118</v>
      </c>
      <c r="Q251" s="10" t="n">
        <v>22865</v>
      </c>
      <c r="R251" s="12" t="n">
        <f aca="false">IF(OR($H251="",Q251=""),"",Q251/$H251)</f>
        <v>0.00764935989928873</v>
      </c>
      <c r="S251" s="9" t="s">
        <v>115</v>
      </c>
      <c r="T251" s="11" t="s">
        <v>119</v>
      </c>
      <c r="U251" s="11" t="s">
        <v>326</v>
      </c>
      <c r="V251" s="11" t="s">
        <v>121</v>
      </c>
      <c r="W251" s="10"/>
      <c r="X251" s="12"/>
      <c r="Y251" s="9"/>
      <c r="Z251" s="11"/>
      <c r="AA251" s="11"/>
      <c r="AB251" s="11"/>
      <c r="AC251" s="9"/>
      <c r="AD251" s="10"/>
      <c r="AE251" s="9"/>
      <c r="AF251" s="11"/>
      <c r="AG251" s="11"/>
      <c r="AH251" s="11"/>
      <c r="AI251" s="10" t="n">
        <v>2080</v>
      </c>
      <c r="AJ251" s="9" t="s">
        <v>122</v>
      </c>
      <c r="AK251" s="11" t="s">
        <v>123</v>
      </c>
      <c r="AL251" s="11" t="s">
        <v>124</v>
      </c>
      <c r="AM251" s="11" t="s">
        <v>125</v>
      </c>
    </row>
    <row r="252" customFormat="false" ht="15" hidden="false" customHeight="false" outlineLevel="0" collapsed="false">
      <c r="A252" s="9" t="s">
        <v>321</v>
      </c>
      <c r="B252" s="9" t="s">
        <v>322</v>
      </c>
      <c r="C252" s="9" t="s">
        <v>323</v>
      </c>
      <c r="D252" s="9" t="s">
        <v>324</v>
      </c>
      <c r="E252" s="9" t="n">
        <v>1</v>
      </c>
      <c r="F252" s="9" t="n">
        <v>0</v>
      </c>
      <c r="G252" s="9" t="n">
        <v>2013</v>
      </c>
      <c r="H252" s="10" t="n">
        <v>2961250</v>
      </c>
      <c r="I252" s="11" t="s">
        <v>98</v>
      </c>
      <c r="J252" s="11" t="s">
        <v>99</v>
      </c>
      <c r="K252" s="10" t="n">
        <v>138297</v>
      </c>
      <c r="L252" s="12" t="n">
        <f aca="false">IF(OR($H252="",K252=""),"",K252/$H252)</f>
        <v>0.0467022372308991</v>
      </c>
      <c r="M252" s="9" t="s">
        <v>115</v>
      </c>
      <c r="N252" s="11" t="s">
        <v>116</v>
      </c>
      <c r="O252" s="11" t="s">
        <v>325</v>
      </c>
      <c r="P252" s="11" t="s">
        <v>118</v>
      </c>
      <c r="Q252" s="10" t="n">
        <v>21498</v>
      </c>
      <c r="R252" s="12" t="n">
        <f aca="false">IF(OR($H252="",Q252=""),"",Q252/$H252)</f>
        <v>0.00725977205571971</v>
      </c>
      <c r="S252" s="9" t="s">
        <v>115</v>
      </c>
      <c r="T252" s="11" t="s">
        <v>119</v>
      </c>
      <c r="U252" s="11" t="s">
        <v>326</v>
      </c>
      <c r="V252" s="11" t="s">
        <v>121</v>
      </c>
      <c r="W252" s="10"/>
      <c r="X252" s="12"/>
      <c r="Y252" s="9"/>
      <c r="Z252" s="11"/>
      <c r="AA252" s="11"/>
      <c r="AB252" s="11"/>
      <c r="AC252" s="9"/>
      <c r="AD252" s="10"/>
      <c r="AE252" s="9"/>
      <c r="AF252" s="11"/>
      <c r="AG252" s="11"/>
      <c r="AH252" s="11"/>
      <c r="AI252" s="10" t="n">
        <v>1910</v>
      </c>
      <c r="AJ252" s="9" t="s">
        <v>122</v>
      </c>
      <c r="AK252" s="11" t="s">
        <v>123</v>
      </c>
      <c r="AL252" s="11" t="s">
        <v>124</v>
      </c>
      <c r="AM252" s="11" t="s">
        <v>125</v>
      </c>
    </row>
    <row r="253" customFormat="false" ht="15" hidden="false" customHeight="false" outlineLevel="0" collapsed="false">
      <c r="A253" s="9" t="s">
        <v>321</v>
      </c>
      <c r="B253" s="9" t="s">
        <v>322</v>
      </c>
      <c r="C253" s="9" t="s">
        <v>323</v>
      </c>
      <c r="D253" s="9" t="s">
        <v>324</v>
      </c>
      <c r="E253" s="9" t="n">
        <v>1</v>
      </c>
      <c r="F253" s="9" t="n">
        <v>0</v>
      </c>
      <c r="G253" s="9" t="n">
        <v>2014</v>
      </c>
      <c r="H253" s="10" t="n">
        <v>2937253</v>
      </c>
      <c r="I253" s="11" t="s">
        <v>98</v>
      </c>
      <c r="J253" s="11" t="s">
        <v>99</v>
      </c>
      <c r="K253" s="10" t="n">
        <v>133746</v>
      </c>
      <c r="L253" s="12" t="n">
        <f aca="false">IF(OR($H253="",K253=""),"",K253/$H253)</f>
        <v>0.0455343819548401</v>
      </c>
      <c r="M253" s="9" t="s">
        <v>115</v>
      </c>
      <c r="N253" s="11" t="s">
        <v>116</v>
      </c>
      <c r="O253" s="11" t="s">
        <v>325</v>
      </c>
      <c r="P253" s="11" t="s">
        <v>118</v>
      </c>
      <c r="Q253" s="10" t="n">
        <v>20410</v>
      </c>
      <c r="R253" s="12" t="n">
        <f aca="false">IF(OR($H253="",Q253=""),"",Q253/$H253)</f>
        <v>0.00694866938598752</v>
      </c>
      <c r="S253" s="9" t="s">
        <v>115</v>
      </c>
      <c r="T253" s="11" t="s">
        <v>119</v>
      </c>
      <c r="U253" s="11" t="s">
        <v>326</v>
      </c>
      <c r="V253" s="11" t="s">
        <v>121</v>
      </c>
      <c r="W253" s="10"/>
      <c r="X253" s="12"/>
      <c r="Y253" s="9"/>
      <c r="Z253" s="11"/>
      <c r="AA253" s="11"/>
      <c r="AB253" s="11"/>
      <c r="AC253" s="9"/>
      <c r="AD253" s="10"/>
      <c r="AE253" s="9"/>
      <c r="AF253" s="11"/>
      <c r="AG253" s="11"/>
      <c r="AH253" s="11"/>
      <c r="AI253" s="10" t="n">
        <v>2465</v>
      </c>
      <c r="AJ253" s="9" t="s">
        <v>122</v>
      </c>
      <c r="AK253" s="11" t="s">
        <v>123</v>
      </c>
      <c r="AL253" s="11" t="s">
        <v>124</v>
      </c>
      <c r="AM253" s="11" t="s">
        <v>125</v>
      </c>
    </row>
    <row r="254" customFormat="false" ht="15" hidden="false" customHeight="false" outlineLevel="0" collapsed="false">
      <c r="A254" s="9" t="s">
        <v>321</v>
      </c>
      <c r="B254" s="9" t="s">
        <v>322</v>
      </c>
      <c r="C254" s="9" t="s">
        <v>323</v>
      </c>
      <c r="D254" s="9" t="s">
        <v>324</v>
      </c>
      <c r="E254" s="9" t="n">
        <v>1</v>
      </c>
      <c r="F254" s="9" t="n">
        <v>0</v>
      </c>
      <c r="G254" s="9" t="n">
        <v>2015</v>
      </c>
      <c r="H254" s="10" t="n">
        <v>2911109</v>
      </c>
      <c r="I254" s="11" t="s">
        <v>98</v>
      </c>
      <c r="J254" s="11" t="s">
        <v>99</v>
      </c>
      <c r="K254" s="10" t="n">
        <v>131929</v>
      </c>
      <c r="L254" s="12" t="n">
        <f aca="false">IF(OR($H254="",K254=""),"",K254/$H254)</f>
        <v>0.0453191550024407</v>
      </c>
      <c r="M254" s="9" t="s">
        <v>115</v>
      </c>
      <c r="N254" s="11" t="s">
        <v>116</v>
      </c>
      <c r="O254" s="11" t="s">
        <v>325</v>
      </c>
      <c r="P254" s="11" t="s">
        <v>118</v>
      </c>
      <c r="Q254" s="10" t="n">
        <v>20254</v>
      </c>
      <c r="R254" s="12" t="n">
        <f aca="false">IF(OR($H254="",Q254=""),"",Q254/$H254)</f>
        <v>0.00695748596153562</v>
      </c>
      <c r="S254" s="9" t="s">
        <v>115</v>
      </c>
      <c r="T254" s="11" t="s">
        <v>119</v>
      </c>
      <c r="U254" s="11" t="s">
        <v>326</v>
      </c>
      <c r="V254" s="11" t="s">
        <v>121</v>
      </c>
      <c r="W254" s="10"/>
      <c r="X254" s="12"/>
      <c r="Y254" s="9"/>
      <c r="Z254" s="11"/>
      <c r="AA254" s="11"/>
      <c r="AB254" s="11"/>
      <c r="AC254" s="9"/>
      <c r="AD254" s="10"/>
      <c r="AE254" s="9"/>
      <c r="AF254" s="11"/>
      <c r="AG254" s="11"/>
      <c r="AH254" s="11"/>
      <c r="AI254" s="10" t="n">
        <v>2040</v>
      </c>
      <c r="AJ254" s="9" t="s">
        <v>122</v>
      </c>
      <c r="AK254" s="11" t="s">
        <v>123</v>
      </c>
      <c r="AL254" s="11" t="s">
        <v>124</v>
      </c>
      <c r="AM254" s="11" t="s">
        <v>125</v>
      </c>
    </row>
    <row r="255" customFormat="false" ht="15" hidden="false" customHeight="false" outlineLevel="0" collapsed="false">
      <c r="A255" s="9" t="s">
        <v>321</v>
      </c>
      <c r="B255" s="9" t="s">
        <v>322</v>
      </c>
      <c r="C255" s="9" t="s">
        <v>323</v>
      </c>
      <c r="D255" s="9" t="s">
        <v>324</v>
      </c>
      <c r="E255" s="9" t="n">
        <v>1</v>
      </c>
      <c r="F255" s="9" t="n">
        <v>0</v>
      </c>
      <c r="G255" s="9" t="n">
        <v>2016</v>
      </c>
      <c r="H255" s="10" t="n">
        <v>2877325</v>
      </c>
      <c r="I255" s="11" t="s">
        <v>98</v>
      </c>
      <c r="J255" s="11" t="s">
        <v>99</v>
      </c>
      <c r="K255" s="10" t="n">
        <v>126264</v>
      </c>
      <c r="L255" s="12" t="n">
        <f aca="false">IF(OR($H255="",K255=""),"",K255/$H255)</f>
        <v>0.043882425516756</v>
      </c>
      <c r="M255" s="9" t="s">
        <v>115</v>
      </c>
      <c r="N255" s="11" t="s">
        <v>116</v>
      </c>
      <c r="O255" s="11" t="s">
        <v>325</v>
      </c>
      <c r="P255" s="11" t="s">
        <v>118</v>
      </c>
      <c r="Q255" s="10" t="n">
        <v>19123</v>
      </c>
      <c r="R255" s="12" t="n">
        <f aca="false">IF(OR($H255="",Q255=""),"",Q255/$H255)</f>
        <v>0.00664610358579584</v>
      </c>
      <c r="S255" s="9" t="s">
        <v>115</v>
      </c>
      <c r="T255" s="11" t="s">
        <v>119</v>
      </c>
      <c r="U255" s="11" t="s">
        <v>326</v>
      </c>
      <c r="V255" s="11" t="s">
        <v>121</v>
      </c>
      <c r="W255" s="10"/>
      <c r="X255" s="12"/>
      <c r="Y255" s="9"/>
      <c r="Z255" s="11"/>
      <c r="AA255" s="11"/>
      <c r="AB255" s="11"/>
      <c r="AC255" s="9"/>
      <c r="AD255" s="10"/>
      <c r="AE255" s="9"/>
      <c r="AF255" s="11"/>
      <c r="AG255" s="11"/>
      <c r="AH255" s="11"/>
      <c r="AI255" s="10" t="n">
        <v>1920</v>
      </c>
      <c r="AJ255" s="9" t="s">
        <v>122</v>
      </c>
      <c r="AK255" s="11" t="s">
        <v>123</v>
      </c>
      <c r="AL255" s="11" t="s">
        <v>124</v>
      </c>
      <c r="AM255" s="11" t="s">
        <v>125</v>
      </c>
    </row>
    <row r="256" customFormat="false" ht="15" hidden="false" customHeight="false" outlineLevel="0" collapsed="false">
      <c r="A256" s="9" t="s">
        <v>321</v>
      </c>
      <c r="B256" s="9" t="s">
        <v>322</v>
      </c>
      <c r="C256" s="9" t="s">
        <v>323</v>
      </c>
      <c r="D256" s="9" t="s">
        <v>324</v>
      </c>
      <c r="E256" s="9" t="n">
        <v>1</v>
      </c>
      <c r="F256" s="9" t="n">
        <v>0</v>
      </c>
      <c r="G256" s="9" t="n">
        <v>2017</v>
      </c>
      <c r="H256" s="10" t="n">
        <v>2842639</v>
      </c>
      <c r="I256" s="11" t="s">
        <v>98</v>
      </c>
      <c r="J256" s="11" t="s">
        <v>99</v>
      </c>
      <c r="K256" s="10" t="n">
        <v>124964</v>
      </c>
      <c r="L256" s="12" t="n">
        <f aca="false">IF(OR($H256="",K256=""),"",K256/$H256)</f>
        <v>0.0439605591846168</v>
      </c>
      <c r="M256" s="9" t="s">
        <v>115</v>
      </c>
      <c r="N256" s="11" t="s">
        <v>116</v>
      </c>
      <c r="O256" s="11" t="s">
        <v>325</v>
      </c>
      <c r="P256" s="11" t="s">
        <v>118</v>
      </c>
      <c r="Q256" s="10" t="n">
        <v>18665</v>
      </c>
      <c r="R256" s="12" t="n">
        <f aca="false">IF(OR($H256="",Q256=""),"",Q256/$H256)</f>
        <v>0.00656608172898493</v>
      </c>
      <c r="S256" s="9" t="s">
        <v>115</v>
      </c>
      <c r="T256" s="11" t="s">
        <v>119</v>
      </c>
      <c r="U256" s="11" t="s">
        <v>326</v>
      </c>
      <c r="V256" s="11" t="s">
        <v>121</v>
      </c>
      <c r="W256" s="10"/>
      <c r="X256" s="12"/>
      <c r="Y256" s="9"/>
      <c r="Z256" s="11"/>
      <c r="AA256" s="11"/>
      <c r="AB256" s="11"/>
      <c r="AC256" s="9"/>
      <c r="AD256" s="10"/>
      <c r="AE256" s="9"/>
      <c r="AF256" s="11"/>
      <c r="AG256" s="11"/>
      <c r="AH256" s="11"/>
      <c r="AI256" s="10" t="n">
        <v>2210</v>
      </c>
      <c r="AJ256" s="9" t="s">
        <v>122</v>
      </c>
      <c r="AK256" s="11" t="s">
        <v>123</v>
      </c>
      <c r="AL256" s="11" t="s">
        <v>124</v>
      </c>
      <c r="AM256" s="11" t="s">
        <v>125</v>
      </c>
    </row>
    <row r="257" customFormat="false" ht="15" hidden="false" customHeight="false" outlineLevel="0" collapsed="false">
      <c r="A257" s="9" t="s">
        <v>321</v>
      </c>
      <c r="B257" s="9" t="s">
        <v>322</v>
      </c>
      <c r="C257" s="9" t="s">
        <v>323</v>
      </c>
      <c r="D257" s="9" t="s">
        <v>324</v>
      </c>
      <c r="E257" s="9" t="n">
        <v>1</v>
      </c>
      <c r="F257" s="9" t="n">
        <v>0</v>
      </c>
      <c r="G257" s="9" t="n">
        <v>2018</v>
      </c>
      <c r="H257" s="10" t="n">
        <v>2819200</v>
      </c>
      <c r="I257" s="11" t="s">
        <v>98</v>
      </c>
      <c r="J257" s="11" t="s">
        <v>99</v>
      </c>
      <c r="K257" s="10" t="n">
        <v>132127</v>
      </c>
      <c r="L257" s="12" t="n">
        <f aca="false">IF(OR($H257="",K257=""),"",K257/$H257)</f>
        <v>0.0468668416572077</v>
      </c>
      <c r="M257" s="9" t="s">
        <v>115</v>
      </c>
      <c r="N257" s="11" t="s">
        <v>116</v>
      </c>
      <c r="O257" s="11" t="s">
        <v>325</v>
      </c>
      <c r="P257" s="11" t="s">
        <v>118</v>
      </c>
      <c r="Q257" s="10" t="n">
        <v>18923</v>
      </c>
      <c r="R257" s="12" t="n">
        <f aca="false">IF(OR($H257="",Q257=""),"",Q257/$H257)</f>
        <v>0.00671218785471056</v>
      </c>
      <c r="S257" s="9" t="s">
        <v>115</v>
      </c>
      <c r="T257" s="11" t="s">
        <v>119</v>
      </c>
      <c r="U257" s="11" t="s">
        <v>326</v>
      </c>
      <c r="V257" s="11" t="s">
        <v>121</v>
      </c>
      <c r="W257" s="10"/>
      <c r="X257" s="12"/>
      <c r="Y257" s="9"/>
      <c r="Z257" s="11"/>
      <c r="AA257" s="11"/>
      <c r="AB257" s="11"/>
      <c r="AC257" s="9"/>
      <c r="AD257" s="10"/>
      <c r="AE257" s="9"/>
      <c r="AF257" s="11"/>
      <c r="AG257" s="11"/>
      <c r="AH257" s="11"/>
      <c r="AI257" s="10" t="n">
        <v>2660</v>
      </c>
      <c r="AJ257" s="9" t="s">
        <v>122</v>
      </c>
      <c r="AK257" s="11" t="s">
        <v>123</v>
      </c>
      <c r="AL257" s="11" t="s">
        <v>124</v>
      </c>
      <c r="AM257" s="11" t="s">
        <v>125</v>
      </c>
    </row>
    <row r="258" customFormat="false" ht="15" hidden="false" customHeight="false" outlineLevel="0" collapsed="false">
      <c r="A258" s="9" t="s">
        <v>321</v>
      </c>
      <c r="B258" s="9" t="s">
        <v>322</v>
      </c>
      <c r="C258" s="9" t="s">
        <v>323</v>
      </c>
      <c r="D258" s="9" t="s">
        <v>324</v>
      </c>
      <c r="E258" s="9" t="n">
        <v>1</v>
      </c>
      <c r="F258" s="9" t="n">
        <v>0</v>
      </c>
      <c r="G258" s="9" t="n">
        <v>2019</v>
      </c>
      <c r="H258" s="10" t="n">
        <v>2811089</v>
      </c>
      <c r="I258" s="11" t="s">
        <v>98</v>
      </c>
      <c r="J258" s="11" t="s">
        <v>99</v>
      </c>
      <c r="K258" s="10" t="n">
        <v>148679</v>
      </c>
      <c r="L258" s="12" t="n">
        <f aca="false">IF(OR($H258="",K258=""),"",K258/$H258)</f>
        <v>0.0528901788595096</v>
      </c>
      <c r="M258" s="9" t="s">
        <v>115</v>
      </c>
      <c r="N258" s="11" t="s">
        <v>116</v>
      </c>
      <c r="O258" s="11" t="s">
        <v>325</v>
      </c>
      <c r="P258" s="11" t="s">
        <v>118</v>
      </c>
      <c r="Q258" s="10" t="n">
        <v>20202</v>
      </c>
      <c r="R258" s="12" t="n">
        <f aca="false">IF(OR($H258="",Q258=""),"",Q258/$H258)</f>
        <v>0.00718653873996875</v>
      </c>
      <c r="S258" s="9" t="s">
        <v>115</v>
      </c>
      <c r="T258" s="11" t="s">
        <v>119</v>
      </c>
      <c r="U258" s="11" t="s">
        <v>326</v>
      </c>
      <c r="V258" s="11" t="s">
        <v>121</v>
      </c>
      <c r="W258" s="10"/>
      <c r="X258" s="12"/>
      <c r="Y258" s="9"/>
      <c r="Z258" s="11"/>
      <c r="AA258" s="11"/>
      <c r="AB258" s="11"/>
      <c r="AC258" s="9"/>
      <c r="AD258" s="10"/>
      <c r="AE258" s="9"/>
      <c r="AF258" s="11"/>
      <c r="AG258" s="11"/>
      <c r="AH258" s="11"/>
      <c r="AI258" s="10" t="n">
        <v>2440</v>
      </c>
      <c r="AJ258" s="9" t="s">
        <v>122</v>
      </c>
      <c r="AK258" s="11" t="s">
        <v>123</v>
      </c>
      <c r="AL258" s="11" t="s">
        <v>124</v>
      </c>
      <c r="AM258" s="11" t="s">
        <v>125</v>
      </c>
    </row>
    <row r="259" customFormat="false" ht="15" hidden="false" customHeight="false" outlineLevel="0" collapsed="false">
      <c r="A259" s="9" t="s">
        <v>321</v>
      </c>
      <c r="B259" s="9" t="s">
        <v>322</v>
      </c>
      <c r="C259" s="9" t="s">
        <v>323</v>
      </c>
      <c r="D259" s="9" t="s">
        <v>324</v>
      </c>
      <c r="E259" s="9" t="n">
        <v>1</v>
      </c>
      <c r="F259" s="9" t="n">
        <v>0</v>
      </c>
      <c r="G259" s="9" t="n">
        <v>2020</v>
      </c>
      <c r="H259" s="10" t="n">
        <v>2810369</v>
      </c>
      <c r="I259" s="11" t="s">
        <v>98</v>
      </c>
      <c r="J259" s="11" t="s">
        <v>99</v>
      </c>
      <c r="K259" s="10" t="n">
        <v>153697</v>
      </c>
      <c r="L259" s="12" t="n">
        <f aca="false">IF(OR($H259="",K259=""),"",K259/$H259)</f>
        <v>0.0546892596666132</v>
      </c>
      <c r="M259" s="9" t="s">
        <v>115</v>
      </c>
      <c r="N259" s="11" t="s">
        <v>116</v>
      </c>
      <c r="O259" s="11" t="s">
        <v>325</v>
      </c>
      <c r="P259" s="11" t="s">
        <v>118</v>
      </c>
      <c r="Q259" s="10" t="n">
        <v>20680</v>
      </c>
      <c r="R259" s="12" t="n">
        <f aca="false">IF(OR($H259="",Q259=""),"",Q259/$H259)</f>
        <v>0.00735846431554006</v>
      </c>
      <c r="S259" s="9" t="s">
        <v>115</v>
      </c>
      <c r="T259" s="11" t="s">
        <v>119</v>
      </c>
      <c r="U259" s="11" t="s">
        <v>326</v>
      </c>
      <c r="V259" s="11" t="s">
        <v>121</v>
      </c>
      <c r="W259" s="10"/>
      <c r="X259" s="12"/>
      <c r="Y259" s="9"/>
      <c r="Z259" s="11"/>
      <c r="AA259" s="11"/>
      <c r="AB259" s="11"/>
      <c r="AC259" s="9"/>
      <c r="AD259" s="10"/>
      <c r="AE259" s="9"/>
      <c r="AF259" s="11"/>
      <c r="AG259" s="11"/>
      <c r="AH259" s="11"/>
      <c r="AI259" s="10" t="n">
        <v>1960</v>
      </c>
      <c r="AJ259" s="9" t="s">
        <v>122</v>
      </c>
      <c r="AK259" s="11" t="s">
        <v>123</v>
      </c>
      <c r="AL259" s="11" t="s">
        <v>124</v>
      </c>
      <c r="AM259" s="11" t="s">
        <v>125</v>
      </c>
    </row>
    <row r="260" customFormat="false" ht="15" hidden="false" customHeight="false" outlineLevel="0" collapsed="false">
      <c r="A260" s="9" t="s">
        <v>321</v>
      </c>
      <c r="B260" s="9" t="s">
        <v>322</v>
      </c>
      <c r="C260" s="9" t="s">
        <v>323</v>
      </c>
      <c r="D260" s="9" t="s">
        <v>324</v>
      </c>
      <c r="E260" s="9" t="n">
        <v>1</v>
      </c>
      <c r="F260" s="9" t="n">
        <v>0</v>
      </c>
      <c r="G260" s="9" t="n">
        <v>2021</v>
      </c>
      <c r="H260" s="10" t="n">
        <v>2808380</v>
      </c>
      <c r="I260" s="11" t="s">
        <v>98</v>
      </c>
      <c r="J260" s="11" t="s">
        <v>99</v>
      </c>
      <c r="K260" s="10" t="n">
        <v>155586</v>
      </c>
      <c r="L260" s="12" t="n">
        <f aca="false">IF(OR($H260="",K260=""),"",K260/$H260)</f>
        <v>0.0554006224228915</v>
      </c>
      <c r="M260" s="9" t="s">
        <v>115</v>
      </c>
      <c r="N260" s="11" t="s">
        <v>116</v>
      </c>
      <c r="O260" s="11" t="s">
        <v>325</v>
      </c>
      <c r="P260" s="11" t="s">
        <v>118</v>
      </c>
      <c r="Q260" s="10" t="n">
        <v>20001</v>
      </c>
      <c r="R260" s="12" t="n">
        <f aca="false">IF(OR($H260="",Q260=""),"",Q260/$H260)</f>
        <v>0.00712189945805055</v>
      </c>
      <c r="S260" s="9" t="s">
        <v>115</v>
      </c>
      <c r="T260" s="11" t="s">
        <v>119</v>
      </c>
      <c r="U260" s="11" t="s">
        <v>326</v>
      </c>
      <c r="V260" s="11" t="s">
        <v>121</v>
      </c>
      <c r="W260" s="10"/>
      <c r="X260" s="12"/>
      <c r="Y260" s="9"/>
      <c r="Z260" s="11"/>
      <c r="AA260" s="11"/>
      <c r="AB260" s="11"/>
      <c r="AC260" s="9"/>
      <c r="AD260" s="10"/>
      <c r="AE260" s="9"/>
      <c r="AF260" s="11"/>
      <c r="AG260" s="11"/>
      <c r="AH260" s="11"/>
      <c r="AI260" s="10" t="n">
        <v>5025</v>
      </c>
      <c r="AJ260" s="9" t="s">
        <v>122</v>
      </c>
      <c r="AK260" s="11" t="s">
        <v>123</v>
      </c>
      <c r="AL260" s="11" t="s">
        <v>124</v>
      </c>
      <c r="AM260" s="11" t="s">
        <v>125</v>
      </c>
    </row>
    <row r="261" customFormat="false" ht="15" hidden="false" customHeight="false" outlineLevel="0" collapsed="false">
      <c r="A261" s="9" t="s">
        <v>321</v>
      </c>
      <c r="B261" s="9" t="s">
        <v>322</v>
      </c>
      <c r="C261" s="9" t="s">
        <v>323</v>
      </c>
      <c r="D261" s="9" t="s">
        <v>324</v>
      </c>
      <c r="E261" s="9" t="n">
        <v>1</v>
      </c>
      <c r="F261" s="9" t="n">
        <v>0</v>
      </c>
      <c r="G261" s="9" t="n">
        <v>2022</v>
      </c>
      <c r="H261" s="10" t="n">
        <v>2831639</v>
      </c>
      <c r="I261" s="11" t="s">
        <v>98</v>
      </c>
      <c r="J261" s="11" t="s">
        <v>99</v>
      </c>
      <c r="K261" s="10" t="n">
        <v>168787</v>
      </c>
      <c r="L261" s="12" t="n">
        <f aca="false">IF(OR($H261="",K261=""),"",K261/$H261)</f>
        <v>0.0596075276544786</v>
      </c>
      <c r="M261" s="9" t="s">
        <v>115</v>
      </c>
      <c r="N261" s="11" t="s">
        <v>116</v>
      </c>
      <c r="O261" s="11" t="s">
        <v>325</v>
      </c>
      <c r="P261" s="11" t="s">
        <v>118</v>
      </c>
      <c r="Q261" s="10" t="n">
        <v>34310</v>
      </c>
      <c r="R261" s="12" t="n">
        <f aca="false">IF(OR($H261="",Q261=""),"",Q261/$H261)</f>
        <v>0.0121166575259064</v>
      </c>
      <c r="S261" s="9" t="s">
        <v>115</v>
      </c>
      <c r="T261" s="11" t="s">
        <v>119</v>
      </c>
      <c r="U261" s="11" t="s">
        <v>326</v>
      </c>
      <c r="V261" s="11" t="s">
        <v>144</v>
      </c>
      <c r="W261" s="10"/>
      <c r="X261" s="12"/>
      <c r="Y261" s="9"/>
      <c r="Z261" s="11"/>
      <c r="AA261" s="11"/>
      <c r="AB261" s="11"/>
      <c r="AC261" s="9"/>
      <c r="AD261" s="10"/>
      <c r="AE261" s="9"/>
      <c r="AF261" s="11"/>
      <c r="AG261" s="11"/>
      <c r="AH261" s="11"/>
      <c r="AI261" s="10" t="n">
        <v>3450</v>
      </c>
      <c r="AJ261" s="9" t="s">
        <v>122</v>
      </c>
      <c r="AK261" s="11" t="s">
        <v>123</v>
      </c>
      <c r="AL261" s="11" t="s">
        <v>124</v>
      </c>
      <c r="AM261" s="11" t="s">
        <v>125</v>
      </c>
    </row>
    <row r="262" customFormat="false" ht="15" hidden="false" customHeight="false" outlineLevel="0" collapsed="false">
      <c r="A262" s="9" t="s">
        <v>327</v>
      </c>
      <c r="B262" s="9" t="s">
        <v>328</v>
      </c>
      <c r="C262" s="9" t="s">
        <v>329</v>
      </c>
      <c r="D262" s="9" t="s">
        <v>330</v>
      </c>
      <c r="E262" s="9" t="n">
        <v>0</v>
      </c>
      <c r="F262" s="9" t="n">
        <v>1</v>
      </c>
      <c r="G262" s="9" t="n">
        <v>2010</v>
      </c>
      <c r="H262" s="10" t="n">
        <v>113623895</v>
      </c>
      <c r="I262" s="11" t="s">
        <v>98</v>
      </c>
      <c r="J262" s="11" t="s">
        <v>99</v>
      </c>
      <c r="K262" s="10" t="n">
        <v>961121</v>
      </c>
      <c r="L262" s="12" t="n">
        <f aca="false">IF(OR($H262="",K262=""),"",K262/$H262)</f>
        <v>0.00845879293259574</v>
      </c>
      <c r="M262" s="9" t="s">
        <v>126</v>
      </c>
      <c r="N262" s="11" t="s">
        <v>101</v>
      </c>
      <c r="O262" s="11" t="s">
        <v>331</v>
      </c>
      <c r="P262" s="11" t="s">
        <v>332</v>
      </c>
      <c r="Q262" s="10" t="n">
        <v>262672</v>
      </c>
      <c r="R262" s="12" t="n">
        <f aca="false">IF(OR($H262="",Q262=""),"",Q262/$H262)</f>
        <v>0.00231176725635044</v>
      </c>
      <c r="S262" s="9" t="s">
        <v>170</v>
      </c>
      <c r="T262" s="11" t="s">
        <v>152</v>
      </c>
      <c r="U262" s="11" t="s">
        <v>333</v>
      </c>
      <c r="V262" s="11" t="s">
        <v>334</v>
      </c>
      <c r="W262" s="10"/>
      <c r="X262" s="12"/>
      <c r="Y262" s="9"/>
      <c r="Z262" s="11"/>
      <c r="AA262" s="11"/>
      <c r="AB262" s="11"/>
      <c r="AC262" s="9"/>
      <c r="AD262" s="10"/>
      <c r="AE262" s="9"/>
      <c r="AF262" s="11"/>
      <c r="AG262" s="11"/>
      <c r="AH262" s="11"/>
      <c r="AI262" s="10"/>
      <c r="AJ262" s="9"/>
      <c r="AK262" s="11"/>
      <c r="AL262" s="11"/>
      <c r="AM262" s="11"/>
    </row>
    <row r="263" customFormat="false" ht="15" hidden="false" customHeight="false" outlineLevel="0" collapsed="false">
      <c r="A263" s="9" t="s">
        <v>327</v>
      </c>
      <c r="B263" s="9" t="s">
        <v>328</v>
      </c>
      <c r="C263" s="9" t="s">
        <v>329</v>
      </c>
      <c r="D263" s="9" t="s">
        <v>330</v>
      </c>
      <c r="E263" s="9" t="n">
        <v>0</v>
      </c>
      <c r="F263" s="9" t="n">
        <v>1</v>
      </c>
      <c r="G263" s="9" t="n">
        <v>2011</v>
      </c>
      <c r="H263" s="10" t="n">
        <v>115243504</v>
      </c>
      <c r="I263" s="11" t="s">
        <v>98</v>
      </c>
      <c r="J263" s="11" t="s">
        <v>99</v>
      </c>
      <c r="K263" s="10" t="n">
        <v>966778</v>
      </c>
      <c r="L263" s="12" t="n">
        <f aca="false">IF(OR($H263="",K263=""),"",K263/$H263)</f>
        <v>0.00838900212544735</v>
      </c>
      <c r="M263" s="9" t="s">
        <v>126</v>
      </c>
      <c r="N263" s="11" t="s">
        <v>101</v>
      </c>
      <c r="O263" s="11" t="s">
        <v>331</v>
      </c>
      <c r="P263" s="11" t="s">
        <v>332</v>
      </c>
      <c r="Q263" s="10" t="n">
        <v>281053</v>
      </c>
      <c r="R263" s="12" t="n">
        <f aca="false">IF(OR($H263="",Q263=""),"",Q263/$H263)</f>
        <v>0.00243877520419719</v>
      </c>
      <c r="S263" s="9" t="s">
        <v>170</v>
      </c>
      <c r="T263" s="11" t="s">
        <v>152</v>
      </c>
      <c r="U263" s="11" t="s">
        <v>333</v>
      </c>
      <c r="V263" s="11" t="s">
        <v>334</v>
      </c>
      <c r="W263" s="10"/>
      <c r="X263" s="12"/>
      <c r="Y263" s="9"/>
      <c r="Z263" s="11"/>
      <c r="AA263" s="11"/>
      <c r="AB263" s="11"/>
      <c r="AC263" s="9"/>
      <c r="AD263" s="10"/>
      <c r="AE263" s="9"/>
      <c r="AF263" s="11"/>
      <c r="AG263" s="11"/>
      <c r="AH263" s="11"/>
      <c r="AI263" s="10"/>
      <c r="AJ263" s="9"/>
      <c r="AK263" s="11"/>
      <c r="AL263" s="11"/>
      <c r="AM263" s="11"/>
    </row>
    <row r="264" customFormat="false" ht="15" hidden="false" customHeight="false" outlineLevel="0" collapsed="false">
      <c r="A264" s="9" t="s">
        <v>327</v>
      </c>
      <c r="B264" s="9" t="s">
        <v>328</v>
      </c>
      <c r="C264" s="9" t="s">
        <v>329</v>
      </c>
      <c r="D264" s="9" t="s">
        <v>330</v>
      </c>
      <c r="E264" s="9" t="n">
        <v>0</v>
      </c>
      <c r="F264" s="9" t="n">
        <v>1</v>
      </c>
      <c r="G264" s="9" t="n">
        <v>2012</v>
      </c>
      <c r="H264" s="10" t="n">
        <v>116818208</v>
      </c>
      <c r="I264" s="11" t="s">
        <v>98</v>
      </c>
      <c r="J264" s="11" t="s">
        <v>99</v>
      </c>
      <c r="K264" s="10" t="n">
        <v>973650</v>
      </c>
      <c r="L264" s="12" t="n">
        <f aca="false">IF(OR($H264="",K264=""),"",K264/$H264)</f>
        <v>0.00833474521369135</v>
      </c>
      <c r="M264" s="9" t="s">
        <v>126</v>
      </c>
      <c r="N264" s="11" t="s">
        <v>101</v>
      </c>
      <c r="O264" s="11" t="s">
        <v>331</v>
      </c>
      <c r="P264" s="11" t="s">
        <v>332</v>
      </c>
      <c r="Q264" s="10" t="n">
        <v>303936</v>
      </c>
      <c r="R264" s="12" t="n">
        <f aca="false">IF(OR($H264="",Q264=""),"",Q264/$H264)</f>
        <v>0.00260178618730395</v>
      </c>
      <c r="S264" s="9" t="s">
        <v>170</v>
      </c>
      <c r="T264" s="11" t="s">
        <v>152</v>
      </c>
      <c r="U264" s="11" t="s">
        <v>333</v>
      </c>
      <c r="V264" s="11" t="s">
        <v>334</v>
      </c>
      <c r="W264" s="10"/>
      <c r="X264" s="12"/>
      <c r="Y264" s="9"/>
      <c r="Z264" s="11"/>
      <c r="AA264" s="11"/>
      <c r="AB264" s="11"/>
      <c r="AC264" s="9"/>
      <c r="AD264" s="10"/>
      <c r="AE264" s="9"/>
      <c r="AF264" s="11"/>
      <c r="AG264" s="11"/>
      <c r="AH264" s="11"/>
      <c r="AI264" s="10"/>
      <c r="AJ264" s="9"/>
      <c r="AK264" s="11"/>
      <c r="AL264" s="11"/>
      <c r="AM264" s="11"/>
    </row>
    <row r="265" customFormat="false" ht="15" hidden="false" customHeight="false" outlineLevel="0" collapsed="false">
      <c r="A265" s="9" t="s">
        <v>327</v>
      </c>
      <c r="B265" s="9" t="s">
        <v>328</v>
      </c>
      <c r="C265" s="9" t="s">
        <v>329</v>
      </c>
      <c r="D265" s="9" t="s">
        <v>330</v>
      </c>
      <c r="E265" s="9" t="n">
        <v>0</v>
      </c>
      <c r="F265" s="9" t="n">
        <v>1</v>
      </c>
      <c r="G265" s="9" t="n">
        <v>2013</v>
      </c>
      <c r="H265" s="10" t="n">
        <v>118343573</v>
      </c>
      <c r="I265" s="11" t="s">
        <v>98</v>
      </c>
      <c r="J265" s="11" t="s">
        <v>99</v>
      </c>
      <c r="K265" s="10" t="n">
        <v>991160</v>
      </c>
      <c r="L265" s="12" t="n">
        <f aca="false">IF(OR($H265="",K265=""),"",K265/$H265)</f>
        <v>0.00837527526737764</v>
      </c>
      <c r="M265" s="9" t="s">
        <v>126</v>
      </c>
      <c r="N265" s="11" t="s">
        <v>101</v>
      </c>
      <c r="O265" s="11" t="s">
        <v>331</v>
      </c>
      <c r="P265" s="11" t="s">
        <v>332</v>
      </c>
      <c r="Q265" s="10" t="n">
        <v>296447</v>
      </c>
      <c r="R265" s="12" t="n">
        <f aca="false">IF(OR($H265="",Q265=""),"",Q265/$H265)</f>
        <v>0.0025049691545142</v>
      </c>
      <c r="S265" s="9" t="s">
        <v>170</v>
      </c>
      <c r="T265" s="11" t="s">
        <v>152</v>
      </c>
      <c r="U265" s="11" t="s">
        <v>333</v>
      </c>
      <c r="V265" s="11" t="s">
        <v>334</v>
      </c>
      <c r="W265" s="10"/>
      <c r="X265" s="12"/>
      <c r="Y265" s="9"/>
      <c r="Z265" s="11"/>
      <c r="AA265" s="11"/>
      <c r="AB265" s="11"/>
      <c r="AC265" s="9"/>
      <c r="AD265" s="10"/>
      <c r="AE265" s="9"/>
      <c r="AF265" s="11"/>
      <c r="AG265" s="11"/>
      <c r="AH265" s="11"/>
      <c r="AI265" s="10"/>
      <c r="AJ265" s="9"/>
      <c r="AK265" s="11"/>
      <c r="AL265" s="11"/>
      <c r="AM265" s="11"/>
    </row>
    <row r="266" customFormat="false" ht="15" hidden="false" customHeight="false" outlineLevel="0" collapsed="false">
      <c r="A266" s="9" t="s">
        <v>327</v>
      </c>
      <c r="B266" s="9" t="s">
        <v>328</v>
      </c>
      <c r="C266" s="9" t="s">
        <v>329</v>
      </c>
      <c r="D266" s="9" t="s">
        <v>330</v>
      </c>
      <c r="E266" s="9" t="n">
        <v>0</v>
      </c>
      <c r="F266" s="9" t="n">
        <v>1</v>
      </c>
      <c r="G266" s="9" t="n">
        <v>2014</v>
      </c>
      <c r="H266" s="10" t="n">
        <v>119784261</v>
      </c>
      <c r="I266" s="11" t="s">
        <v>98</v>
      </c>
      <c r="J266" s="11" t="s">
        <v>99</v>
      </c>
      <c r="K266" s="10" t="n">
        <v>939905</v>
      </c>
      <c r="L266" s="12" t="n">
        <f aca="false">IF(OR($H266="",K266=""),"",K266/$H266)</f>
        <v>0.00784664856762776</v>
      </c>
      <c r="M266" s="9" t="s">
        <v>126</v>
      </c>
      <c r="N266" s="11" t="s">
        <v>101</v>
      </c>
      <c r="O266" s="11" t="s">
        <v>331</v>
      </c>
      <c r="P266" s="11" t="s">
        <v>332</v>
      </c>
      <c r="Q266" s="10"/>
      <c r="R266" s="12"/>
      <c r="S266" s="9"/>
      <c r="T266" s="11"/>
      <c r="U266" s="11"/>
      <c r="V266" s="11"/>
      <c r="W266" s="10"/>
      <c r="X266" s="12"/>
      <c r="Y266" s="9"/>
      <c r="Z266" s="11"/>
      <c r="AA266" s="11"/>
      <c r="AB266" s="11"/>
      <c r="AC266" s="9"/>
      <c r="AD266" s="10"/>
      <c r="AE266" s="9"/>
      <c r="AF266" s="11"/>
      <c r="AG266" s="11"/>
      <c r="AH266" s="11"/>
      <c r="AI266" s="10"/>
      <c r="AJ266" s="9"/>
      <c r="AK266" s="11"/>
      <c r="AL266" s="11"/>
      <c r="AM266" s="11"/>
    </row>
    <row r="267" customFormat="false" ht="15" hidden="false" customHeight="false" outlineLevel="0" collapsed="false">
      <c r="A267" s="9" t="s">
        <v>327</v>
      </c>
      <c r="B267" s="9" t="s">
        <v>328</v>
      </c>
      <c r="C267" s="9" t="s">
        <v>329</v>
      </c>
      <c r="D267" s="9" t="s">
        <v>330</v>
      </c>
      <c r="E267" s="9" t="n">
        <v>0</v>
      </c>
      <c r="F267" s="9" t="n">
        <v>1</v>
      </c>
      <c r="G267" s="9" t="n">
        <v>2015</v>
      </c>
      <c r="H267" s="10" t="n">
        <v>121072306</v>
      </c>
      <c r="I267" s="11" t="s">
        <v>98</v>
      </c>
      <c r="J267" s="11" t="s">
        <v>99</v>
      </c>
      <c r="K267" s="10" t="n">
        <v>1007063</v>
      </c>
      <c r="L267" s="12" t="n">
        <f aca="false">IF(OR($H267="",K267=""),"",K267/$H267)</f>
        <v>0.00831786420256999</v>
      </c>
      <c r="M267" s="9" t="s">
        <v>126</v>
      </c>
      <c r="N267" s="11" t="s">
        <v>101</v>
      </c>
      <c r="O267" s="11" t="s">
        <v>331</v>
      </c>
      <c r="P267" s="11" t="s">
        <v>332</v>
      </c>
      <c r="Q267" s="10" t="n">
        <v>325979</v>
      </c>
      <c r="R267" s="12" t="n">
        <f aca="false">IF(OR($H267="",Q267=""),"",Q267/$H267)</f>
        <v>0.00269243240481436</v>
      </c>
      <c r="S267" s="9" t="s">
        <v>170</v>
      </c>
      <c r="T267" s="11" t="s">
        <v>152</v>
      </c>
      <c r="U267" s="11" t="s">
        <v>333</v>
      </c>
      <c r="V267" s="11" t="s">
        <v>334</v>
      </c>
      <c r="W267" s="10"/>
      <c r="X267" s="12"/>
      <c r="Y267" s="9"/>
      <c r="Z267" s="11"/>
      <c r="AA267" s="11"/>
      <c r="AB267" s="11"/>
      <c r="AC267" s="9"/>
      <c r="AD267" s="10"/>
      <c r="AE267" s="9"/>
      <c r="AF267" s="11"/>
      <c r="AG267" s="11"/>
      <c r="AH267" s="11"/>
      <c r="AI267" s="10"/>
      <c r="AJ267" s="9"/>
      <c r="AK267" s="11"/>
      <c r="AL267" s="11"/>
      <c r="AM267" s="11"/>
    </row>
    <row r="268" customFormat="false" ht="15" hidden="false" customHeight="false" outlineLevel="0" collapsed="false">
      <c r="A268" s="9" t="s">
        <v>327</v>
      </c>
      <c r="B268" s="9" t="s">
        <v>328</v>
      </c>
      <c r="C268" s="9" t="s">
        <v>329</v>
      </c>
      <c r="D268" s="9" t="s">
        <v>330</v>
      </c>
      <c r="E268" s="9" t="n">
        <v>0</v>
      </c>
      <c r="F268" s="9" t="n">
        <v>1</v>
      </c>
      <c r="G268" s="9" t="n">
        <v>2016</v>
      </c>
      <c r="H268" s="10" t="n">
        <v>122251351</v>
      </c>
      <c r="I268" s="11" t="s">
        <v>98</v>
      </c>
      <c r="J268" s="11" t="s">
        <v>99</v>
      </c>
      <c r="K268" s="10"/>
      <c r="L268" s="12"/>
      <c r="M268" s="9"/>
      <c r="N268" s="11"/>
      <c r="O268" s="11"/>
      <c r="P268" s="11"/>
      <c r="Q268" s="10" t="n">
        <v>355206</v>
      </c>
      <c r="R268" s="12" t="n">
        <f aca="false">IF(OR($H268="",Q268=""),"",Q268/$H268)</f>
        <v>0.00290553844267946</v>
      </c>
      <c r="S268" s="9" t="s">
        <v>170</v>
      </c>
      <c r="T268" s="11" t="s">
        <v>152</v>
      </c>
      <c r="U268" s="11" t="s">
        <v>333</v>
      </c>
      <c r="V268" s="11" t="s">
        <v>334</v>
      </c>
      <c r="W268" s="10"/>
      <c r="X268" s="12"/>
      <c r="Y268" s="9"/>
      <c r="Z268" s="11"/>
      <c r="AA268" s="11"/>
      <c r="AB268" s="11"/>
      <c r="AC268" s="9"/>
      <c r="AD268" s="10"/>
      <c r="AE268" s="9"/>
      <c r="AF268" s="11"/>
      <c r="AG268" s="11"/>
      <c r="AH268" s="11"/>
      <c r="AI268" s="10"/>
      <c r="AJ268" s="9"/>
      <c r="AK268" s="11"/>
      <c r="AL268" s="11"/>
      <c r="AM268" s="11"/>
    </row>
    <row r="269" customFormat="false" ht="15" hidden="false" customHeight="false" outlineLevel="0" collapsed="false">
      <c r="A269" s="9" t="s">
        <v>327</v>
      </c>
      <c r="B269" s="9" t="s">
        <v>328</v>
      </c>
      <c r="C269" s="9" t="s">
        <v>329</v>
      </c>
      <c r="D269" s="9" t="s">
        <v>330</v>
      </c>
      <c r="E269" s="9" t="n">
        <v>0</v>
      </c>
      <c r="F269" s="9" t="n">
        <v>1</v>
      </c>
      <c r="G269" s="9" t="n">
        <v>2017</v>
      </c>
      <c r="H269" s="10" t="n">
        <v>123400057</v>
      </c>
      <c r="I269" s="11" t="s">
        <v>98</v>
      </c>
      <c r="J269" s="11" t="s">
        <v>99</v>
      </c>
      <c r="K269" s="10"/>
      <c r="L269" s="12"/>
      <c r="M269" s="9"/>
      <c r="N269" s="11"/>
      <c r="O269" s="11"/>
      <c r="P269" s="11"/>
      <c r="Q269" s="10" t="n">
        <v>381770</v>
      </c>
      <c r="R269" s="12" t="n">
        <f aca="false">IF(OR($H269="",Q269=""),"",Q269/$H269)</f>
        <v>0.00309375870061389</v>
      </c>
      <c r="S269" s="9" t="s">
        <v>170</v>
      </c>
      <c r="T269" s="11" t="s">
        <v>152</v>
      </c>
      <c r="U269" s="11" t="s">
        <v>333</v>
      </c>
      <c r="V269" s="11" t="s">
        <v>334</v>
      </c>
      <c r="W269" s="10"/>
      <c r="X269" s="12"/>
      <c r="Y269" s="9"/>
      <c r="Z269" s="11"/>
      <c r="AA269" s="11"/>
      <c r="AB269" s="11"/>
      <c r="AC269" s="9"/>
      <c r="AD269" s="10"/>
      <c r="AE269" s="9"/>
      <c r="AF269" s="11"/>
      <c r="AG269" s="11"/>
      <c r="AH269" s="11"/>
      <c r="AI269" s="10" t="n">
        <v>93846</v>
      </c>
      <c r="AJ269" s="9" t="s">
        <v>126</v>
      </c>
      <c r="AK269" s="11" t="s">
        <v>335</v>
      </c>
      <c r="AL269" s="11" t="s">
        <v>336</v>
      </c>
      <c r="AM269" s="11" t="s">
        <v>337</v>
      </c>
    </row>
    <row r="270" customFormat="false" ht="15" hidden="false" customHeight="false" outlineLevel="0" collapsed="false">
      <c r="A270" s="9" t="s">
        <v>327</v>
      </c>
      <c r="B270" s="9" t="s">
        <v>328</v>
      </c>
      <c r="C270" s="9" t="s">
        <v>329</v>
      </c>
      <c r="D270" s="9" t="s">
        <v>330</v>
      </c>
      <c r="E270" s="9" t="n">
        <v>0</v>
      </c>
      <c r="F270" s="9" t="n">
        <v>1</v>
      </c>
      <c r="G270" s="9" t="n">
        <v>2018</v>
      </c>
      <c r="H270" s="10" t="n">
        <v>124573711</v>
      </c>
      <c r="I270" s="11" t="s">
        <v>98</v>
      </c>
      <c r="J270" s="11" t="s">
        <v>99</v>
      </c>
      <c r="K270" s="10" t="n">
        <v>1074752</v>
      </c>
      <c r="L270" s="12" t="n">
        <f aca="false">IF(OR($H270="",K270=""),"",K270/$H270)</f>
        <v>0.00862743825621443</v>
      </c>
      <c r="M270" s="9" t="s">
        <v>126</v>
      </c>
      <c r="N270" s="11" t="s">
        <v>101</v>
      </c>
      <c r="O270" s="11" t="s">
        <v>331</v>
      </c>
      <c r="P270" s="11" t="s">
        <v>332</v>
      </c>
      <c r="Q270" s="10" t="n">
        <v>423864</v>
      </c>
      <c r="R270" s="12" t="n">
        <f aca="false">IF(OR($H270="",Q270=""),"",Q270/$H270)</f>
        <v>0.003402515639917</v>
      </c>
      <c r="S270" s="9" t="s">
        <v>170</v>
      </c>
      <c r="T270" s="11" t="s">
        <v>152</v>
      </c>
      <c r="U270" s="11" t="s">
        <v>333</v>
      </c>
      <c r="V270" s="11" t="s">
        <v>334</v>
      </c>
      <c r="W270" s="10"/>
      <c r="X270" s="12"/>
      <c r="Y270" s="9"/>
      <c r="Z270" s="11"/>
      <c r="AA270" s="11"/>
      <c r="AB270" s="11"/>
      <c r="AC270" s="9"/>
      <c r="AD270" s="10"/>
      <c r="AE270" s="9"/>
      <c r="AF270" s="11"/>
      <c r="AG270" s="11"/>
      <c r="AH270" s="11"/>
      <c r="AI270" s="10" t="n">
        <v>131445</v>
      </c>
      <c r="AJ270" s="9" t="s">
        <v>126</v>
      </c>
      <c r="AK270" s="11" t="s">
        <v>335</v>
      </c>
      <c r="AL270" s="11" t="s">
        <v>336</v>
      </c>
      <c r="AM270" s="11" t="s">
        <v>338</v>
      </c>
    </row>
    <row r="271" customFormat="false" ht="15" hidden="false" customHeight="false" outlineLevel="0" collapsed="false">
      <c r="A271" s="9" t="s">
        <v>327</v>
      </c>
      <c r="B271" s="9" t="s">
        <v>328</v>
      </c>
      <c r="C271" s="9" t="s">
        <v>329</v>
      </c>
      <c r="D271" s="9" t="s">
        <v>330</v>
      </c>
      <c r="E271" s="9" t="n">
        <v>0</v>
      </c>
      <c r="F271" s="9" t="n">
        <v>1</v>
      </c>
      <c r="G271" s="9" t="n">
        <v>2019</v>
      </c>
      <c r="H271" s="10" t="n">
        <v>125762982</v>
      </c>
      <c r="I271" s="11" t="s">
        <v>98</v>
      </c>
      <c r="J271" s="11" t="s">
        <v>99</v>
      </c>
      <c r="K271" s="10"/>
      <c r="L271" s="12"/>
      <c r="M271" s="9"/>
      <c r="N271" s="11"/>
      <c r="O271" s="11"/>
      <c r="P271" s="11"/>
      <c r="Q271" s="10" t="n">
        <v>461988</v>
      </c>
      <c r="R271" s="12" t="n">
        <f aca="false">IF(OR($H271="",Q271=""),"",Q271/$H271)</f>
        <v>0.00367348159731136</v>
      </c>
      <c r="S271" s="9" t="s">
        <v>170</v>
      </c>
      <c r="T271" s="11" t="s">
        <v>152</v>
      </c>
      <c r="U271" s="11" t="s">
        <v>333</v>
      </c>
      <c r="V271" s="11" t="s">
        <v>334</v>
      </c>
      <c r="W271" s="10"/>
      <c r="X271" s="12"/>
      <c r="Y271" s="9"/>
      <c r="Z271" s="11"/>
      <c r="AA271" s="11"/>
      <c r="AB271" s="11"/>
      <c r="AC271" s="9"/>
      <c r="AD271" s="10"/>
      <c r="AE271" s="9"/>
      <c r="AF271" s="11"/>
      <c r="AG271" s="11"/>
      <c r="AH271" s="11"/>
      <c r="AI271" s="10" t="n">
        <v>182940</v>
      </c>
      <c r="AJ271" s="9" t="s">
        <v>126</v>
      </c>
      <c r="AK271" s="11" t="s">
        <v>335</v>
      </c>
      <c r="AL271" s="11" t="s">
        <v>336</v>
      </c>
      <c r="AM271" s="11" t="s">
        <v>339</v>
      </c>
    </row>
    <row r="272" customFormat="false" ht="15" hidden="false" customHeight="false" outlineLevel="0" collapsed="false">
      <c r="A272" s="9" t="s">
        <v>327</v>
      </c>
      <c r="B272" s="9" t="s">
        <v>328</v>
      </c>
      <c r="C272" s="9" t="s">
        <v>329</v>
      </c>
      <c r="D272" s="9" t="s">
        <v>330</v>
      </c>
      <c r="E272" s="9" t="n">
        <v>0</v>
      </c>
      <c r="F272" s="9" t="n">
        <v>1</v>
      </c>
      <c r="G272" s="9" t="n">
        <v>2020</v>
      </c>
      <c r="H272" s="10" t="n">
        <v>126799054</v>
      </c>
      <c r="I272" s="11" t="s">
        <v>98</v>
      </c>
      <c r="J272" s="11" t="s">
        <v>99</v>
      </c>
      <c r="K272" s="10" t="n">
        <v>1169883</v>
      </c>
      <c r="L272" s="12" t="n">
        <f aca="false">IF(OR($H272="",K272=""),"",K272/$H272)</f>
        <v>0.00922627545785949</v>
      </c>
      <c r="M272" s="9" t="s">
        <v>126</v>
      </c>
      <c r="N272" s="11" t="s">
        <v>101</v>
      </c>
      <c r="O272" s="11" t="s">
        <v>331</v>
      </c>
      <c r="P272" s="11" t="s">
        <v>332</v>
      </c>
      <c r="Q272" s="10" t="n">
        <v>480328</v>
      </c>
      <c r="R272" s="12" t="n">
        <f aca="false">IF(OR($H272="",Q272=""),"",Q272/$H272)</f>
        <v>0.00378810397118578</v>
      </c>
      <c r="S272" s="9" t="s">
        <v>170</v>
      </c>
      <c r="T272" s="11" t="s">
        <v>152</v>
      </c>
      <c r="U272" s="11" t="s">
        <v>333</v>
      </c>
      <c r="V272" s="11" t="s">
        <v>334</v>
      </c>
      <c r="W272" s="10"/>
      <c r="X272" s="12"/>
      <c r="Y272" s="9"/>
      <c r="Z272" s="11"/>
      <c r="AA272" s="11"/>
      <c r="AB272" s="11"/>
      <c r="AC272" s="9"/>
      <c r="AD272" s="10"/>
      <c r="AE272" s="9"/>
      <c r="AF272" s="11"/>
      <c r="AG272" s="11"/>
      <c r="AH272" s="11"/>
      <c r="AI272" s="10" t="n">
        <v>82379</v>
      </c>
      <c r="AJ272" s="9" t="s">
        <v>126</v>
      </c>
      <c r="AK272" s="11" t="s">
        <v>335</v>
      </c>
      <c r="AL272" s="11" t="s">
        <v>336</v>
      </c>
      <c r="AM272" s="11" t="s">
        <v>340</v>
      </c>
    </row>
    <row r="273" customFormat="false" ht="15" hidden="false" customHeight="false" outlineLevel="0" collapsed="false">
      <c r="A273" s="9" t="s">
        <v>327</v>
      </c>
      <c r="B273" s="9" t="s">
        <v>328</v>
      </c>
      <c r="C273" s="9" t="s">
        <v>329</v>
      </c>
      <c r="D273" s="9" t="s">
        <v>330</v>
      </c>
      <c r="E273" s="9" t="n">
        <v>0</v>
      </c>
      <c r="F273" s="9" t="n">
        <v>1</v>
      </c>
      <c r="G273" s="9" t="n">
        <v>2021</v>
      </c>
      <c r="H273" s="10" t="n">
        <v>127648148</v>
      </c>
      <c r="I273" s="11" t="s">
        <v>98</v>
      </c>
      <c r="J273" s="11" t="s">
        <v>99</v>
      </c>
      <c r="K273" s="10"/>
      <c r="L273" s="12"/>
      <c r="M273" s="9"/>
      <c r="N273" s="11"/>
      <c r="O273" s="11"/>
      <c r="P273" s="11"/>
      <c r="Q273" s="10" t="n">
        <v>579843</v>
      </c>
      <c r="R273" s="12" t="n">
        <f aca="false">IF(OR($H273="",Q273=""),"",Q273/$H273)</f>
        <v>0.00454251008796461</v>
      </c>
      <c r="S273" s="9" t="s">
        <v>170</v>
      </c>
      <c r="T273" s="11" t="s">
        <v>152</v>
      </c>
      <c r="U273" s="11" t="s">
        <v>333</v>
      </c>
      <c r="V273" s="11" t="s">
        <v>334</v>
      </c>
      <c r="W273" s="10"/>
      <c r="X273" s="12"/>
      <c r="Y273" s="9"/>
      <c r="Z273" s="11"/>
      <c r="AA273" s="11"/>
      <c r="AB273" s="11"/>
      <c r="AC273" s="9"/>
      <c r="AD273" s="10"/>
      <c r="AE273" s="9"/>
      <c r="AF273" s="11"/>
      <c r="AG273" s="11"/>
      <c r="AH273" s="11"/>
      <c r="AI273" s="10" t="n">
        <v>309692</v>
      </c>
      <c r="AJ273" s="9" t="s">
        <v>126</v>
      </c>
      <c r="AK273" s="11" t="s">
        <v>335</v>
      </c>
      <c r="AL273" s="11" t="s">
        <v>336</v>
      </c>
      <c r="AM273" s="11" t="s">
        <v>341</v>
      </c>
    </row>
    <row r="274" customFormat="false" ht="15" hidden="false" customHeight="false" outlineLevel="0" collapsed="false">
      <c r="A274" s="9" t="s">
        <v>327</v>
      </c>
      <c r="B274" s="9" t="s">
        <v>328</v>
      </c>
      <c r="C274" s="9" t="s">
        <v>329</v>
      </c>
      <c r="D274" s="9" t="s">
        <v>330</v>
      </c>
      <c r="E274" s="9" t="n">
        <v>0</v>
      </c>
      <c r="F274" s="9" t="n">
        <v>1</v>
      </c>
      <c r="G274" s="9" t="n">
        <v>2022</v>
      </c>
      <c r="H274" s="10" t="n">
        <v>128613117</v>
      </c>
      <c r="I274" s="11" t="s">
        <v>98</v>
      </c>
      <c r="J274" s="11" t="s">
        <v>99</v>
      </c>
      <c r="K274" s="10"/>
      <c r="L274" s="12"/>
      <c r="M274" s="9"/>
      <c r="N274" s="11"/>
      <c r="O274" s="11"/>
      <c r="P274" s="11"/>
      <c r="Q274" s="10" t="n">
        <v>720371</v>
      </c>
      <c r="R274" s="12" t="n">
        <f aca="false">IF(OR($H274="",Q274=""),"",Q274/$H274)</f>
        <v>0.00560106944612811</v>
      </c>
      <c r="S274" s="9" t="s">
        <v>170</v>
      </c>
      <c r="T274" s="11" t="s">
        <v>152</v>
      </c>
      <c r="U274" s="11" t="s">
        <v>333</v>
      </c>
      <c r="V274" s="11" t="s">
        <v>334</v>
      </c>
      <c r="W274" s="10"/>
      <c r="X274" s="12"/>
      <c r="Y274" s="9"/>
      <c r="Z274" s="11"/>
      <c r="AA274" s="11"/>
      <c r="AB274" s="11"/>
      <c r="AC274" s="9"/>
      <c r="AD274" s="10"/>
      <c r="AE274" s="9"/>
      <c r="AF274" s="11"/>
      <c r="AG274" s="11"/>
      <c r="AH274" s="11"/>
      <c r="AI274" s="10" t="n">
        <v>441409</v>
      </c>
      <c r="AJ274" s="9" t="s">
        <v>126</v>
      </c>
      <c r="AK274" s="11" t="s">
        <v>335</v>
      </c>
      <c r="AL274" s="11" t="s">
        <v>336</v>
      </c>
      <c r="AM274" s="11" t="s">
        <v>342</v>
      </c>
    </row>
    <row r="275" customFormat="false" ht="15" hidden="false" customHeight="false" outlineLevel="0" collapsed="false">
      <c r="A275" s="9" t="s">
        <v>343</v>
      </c>
      <c r="B275" s="9" t="s">
        <v>344</v>
      </c>
      <c r="C275" s="9" t="s">
        <v>345</v>
      </c>
      <c r="D275" s="9" t="s">
        <v>346</v>
      </c>
      <c r="E275" s="9" t="n">
        <v>1</v>
      </c>
      <c r="F275" s="9" t="n">
        <v>1</v>
      </c>
      <c r="G275" s="9" t="n">
        <v>2010</v>
      </c>
      <c r="H275" s="10" t="n">
        <v>16615394</v>
      </c>
      <c r="I275" s="11" t="s">
        <v>98</v>
      </c>
      <c r="J275" s="11" t="s">
        <v>99</v>
      </c>
      <c r="K275" s="10" t="n">
        <v>1832510</v>
      </c>
      <c r="L275" s="12" t="n">
        <f aca="false">IF(OR($H275="",K275=""),"",K275/$H275)</f>
        <v>0.110289891410339</v>
      </c>
      <c r="M275" s="9" t="s">
        <v>115</v>
      </c>
      <c r="N275" s="11" t="s">
        <v>116</v>
      </c>
      <c r="O275" s="11" t="s">
        <v>347</v>
      </c>
      <c r="P275" s="11" t="s">
        <v>118</v>
      </c>
      <c r="Q275" s="10" t="n">
        <v>652188</v>
      </c>
      <c r="R275" s="12" t="n">
        <f aca="false">IF(OR($H275="",Q275=""),"",Q275/$H275)</f>
        <v>0.0392520333854256</v>
      </c>
      <c r="S275" s="9" t="s">
        <v>115</v>
      </c>
      <c r="T275" s="11" t="s">
        <v>119</v>
      </c>
      <c r="U275" s="11" t="s">
        <v>348</v>
      </c>
      <c r="V275" s="11" t="s">
        <v>121</v>
      </c>
      <c r="W275" s="10"/>
      <c r="X275" s="12"/>
      <c r="Y275" s="9"/>
      <c r="Z275" s="11"/>
      <c r="AA275" s="11"/>
      <c r="AB275" s="11"/>
      <c r="AC275" s="9"/>
      <c r="AD275" s="10"/>
      <c r="AE275" s="9"/>
      <c r="AF275" s="11"/>
      <c r="AG275" s="11"/>
      <c r="AH275" s="11"/>
      <c r="AI275" s="10" t="n">
        <v>7580</v>
      </c>
      <c r="AJ275" s="9" t="s">
        <v>122</v>
      </c>
      <c r="AK275" s="11" t="s">
        <v>123</v>
      </c>
      <c r="AL275" s="11" t="s">
        <v>124</v>
      </c>
      <c r="AM275" s="11" t="s">
        <v>125</v>
      </c>
    </row>
    <row r="276" customFormat="false" ht="15" hidden="false" customHeight="false" outlineLevel="0" collapsed="false">
      <c r="A276" s="9" t="s">
        <v>343</v>
      </c>
      <c r="B276" s="9" t="s">
        <v>344</v>
      </c>
      <c r="C276" s="9" t="s">
        <v>345</v>
      </c>
      <c r="D276" s="9" t="s">
        <v>346</v>
      </c>
      <c r="E276" s="9" t="n">
        <v>1</v>
      </c>
      <c r="F276" s="9" t="n">
        <v>1</v>
      </c>
      <c r="G276" s="9" t="n">
        <v>2011</v>
      </c>
      <c r="H276" s="10" t="n">
        <v>16693074</v>
      </c>
      <c r="I276" s="11" t="s">
        <v>98</v>
      </c>
      <c r="J276" s="11" t="s">
        <v>99</v>
      </c>
      <c r="K276" s="10" t="n">
        <v>1868655</v>
      </c>
      <c r="L276" s="12" t="n">
        <f aca="false">IF(OR($H276="",K276=""),"",K276/$H276)</f>
        <v>0.111941934720951</v>
      </c>
      <c r="M276" s="9" t="s">
        <v>115</v>
      </c>
      <c r="N276" s="11" t="s">
        <v>116</v>
      </c>
      <c r="O276" s="11" t="s">
        <v>347</v>
      </c>
      <c r="P276" s="11" t="s">
        <v>118</v>
      </c>
      <c r="Q276" s="10" t="n">
        <v>673235</v>
      </c>
      <c r="R276" s="12" t="n">
        <f aca="false">IF(OR($H276="",Q276=""),"",Q276/$H276)</f>
        <v>0.0403301992191492</v>
      </c>
      <c r="S276" s="9" t="s">
        <v>115</v>
      </c>
      <c r="T276" s="11" t="s">
        <v>119</v>
      </c>
      <c r="U276" s="11" t="s">
        <v>348</v>
      </c>
      <c r="V276" s="11" t="s">
        <v>121</v>
      </c>
      <c r="W276" s="10"/>
      <c r="X276" s="12"/>
      <c r="Y276" s="9"/>
      <c r="Z276" s="11"/>
      <c r="AA276" s="11"/>
      <c r="AB276" s="11"/>
      <c r="AC276" s="9"/>
      <c r="AD276" s="10"/>
      <c r="AE276" s="9"/>
      <c r="AF276" s="11"/>
      <c r="AG276" s="11"/>
      <c r="AH276" s="11"/>
      <c r="AI276" s="10" t="n">
        <v>6145</v>
      </c>
      <c r="AJ276" s="9" t="s">
        <v>122</v>
      </c>
      <c r="AK276" s="11" t="s">
        <v>123</v>
      </c>
      <c r="AL276" s="11" t="s">
        <v>124</v>
      </c>
      <c r="AM276" s="11" t="s">
        <v>125</v>
      </c>
    </row>
    <row r="277" customFormat="false" ht="15" hidden="false" customHeight="false" outlineLevel="0" collapsed="false">
      <c r="A277" s="9" t="s">
        <v>343</v>
      </c>
      <c r="B277" s="9" t="s">
        <v>344</v>
      </c>
      <c r="C277" s="9" t="s">
        <v>345</v>
      </c>
      <c r="D277" s="9" t="s">
        <v>346</v>
      </c>
      <c r="E277" s="9" t="n">
        <v>1</v>
      </c>
      <c r="F277" s="9" t="n">
        <v>1</v>
      </c>
      <c r="G277" s="9" t="n">
        <v>2012</v>
      </c>
      <c r="H277" s="10" t="n">
        <v>16754962</v>
      </c>
      <c r="I277" s="11" t="s">
        <v>98</v>
      </c>
      <c r="J277" s="11" t="s">
        <v>99</v>
      </c>
      <c r="K277" s="10" t="n">
        <v>1906295</v>
      </c>
      <c r="L277" s="12" t="n">
        <f aca="false">IF(OR($H277="",K277=""),"",K277/$H277)</f>
        <v>0.113774952160441</v>
      </c>
      <c r="M277" s="9" t="s">
        <v>115</v>
      </c>
      <c r="N277" s="11" t="s">
        <v>116</v>
      </c>
      <c r="O277" s="11" t="s">
        <v>347</v>
      </c>
      <c r="P277" s="11" t="s">
        <v>118</v>
      </c>
      <c r="Q277" s="10" t="n">
        <v>697741</v>
      </c>
      <c r="R277" s="12" t="n">
        <f aca="false">IF(OR($H277="",Q277=""),"",Q277/$H277)</f>
        <v>0.041643842582275</v>
      </c>
      <c r="S277" s="9" t="s">
        <v>115</v>
      </c>
      <c r="T277" s="11" t="s">
        <v>119</v>
      </c>
      <c r="U277" s="11" t="s">
        <v>348</v>
      </c>
      <c r="V277" s="11" t="s">
        <v>121</v>
      </c>
      <c r="W277" s="10"/>
      <c r="X277" s="12"/>
      <c r="Y277" s="9"/>
      <c r="Z277" s="11"/>
      <c r="AA277" s="11"/>
      <c r="AB277" s="11"/>
      <c r="AC277" s="9"/>
      <c r="AD277" s="10"/>
      <c r="AE277" s="9"/>
      <c r="AF277" s="11"/>
      <c r="AG277" s="11"/>
      <c r="AH277" s="11"/>
      <c r="AI277" s="10" t="n">
        <v>4005</v>
      </c>
      <c r="AJ277" s="9" t="s">
        <v>122</v>
      </c>
      <c r="AK277" s="11" t="s">
        <v>123</v>
      </c>
      <c r="AL277" s="11" t="s">
        <v>124</v>
      </c>
      <c r="AM277" s="11" t="s">
        <v>125</v>
      </c>
    </row>
    <row r="278" customFormat="false" ht="15" hidden="false" customHeight="false" outlineLevel="0" collapsed="false">
      <c r="A278" s="9" t="s">
        <v>343</v>
      </c>
      <c r="B278" s="9" t="s">
        <v>344</v>
      </c>
      <c r="C278" s="9" t="s">
        <v>345</v>
      </c>
      <c r="D278" s="9" t="s">
        <v>346</v>
      </c>
      <c r="E278" s="9" t="n">
        <v>1</v>
      </c>
      <c r="F278" s="9" t="n">
        <v>1</v>
      </c>
      <c r="G278" s="9" t="n">
        <v>2013</v>
      </c>
      <c r="H278" s="10" t="n">
        <v>16804432</v>
      </c>
      <c r="I278" s="11" t="s">
        <v>98</v>
      </c>
      <c r="J278" s="11" t="s">
        <v>99</v>
      </c>
      <c r="K278" s="10" t="n">
        <v>1927728</v>
      </c>
      <c r="L278" s="12" t="n">
        <f aca="false">IF(OR($H278="",K278=""),"",K278/$H278)</f>
        <v>0.114715451257145</v>
      </c>
      <c r="M278" s="9" t="s">
        <v>115</v>
      </c>
      <c r="N278" s="11" t="s">
        <v>116</v>
      </c>
      <c r="O278" s="11" t="s">
        <v>347</v>
      </c>
      <c r="P278" s="11" t="s">
        <v>118</v>
      </c>
      <c r="Q278" s="10" t="n">
        <v>714552</v>
      </c>
      <c r="R278" s="12" t="n">
        <f aca="false">IF(OR($H278="",Q278=""),"",Q278/$H278)</f>
        <v>0.0425216395293813</v>
      </c>
      <c r="S278" s="9" t="s">
        <v>115</v>
      </c>
      <c r="T278" s="11" t="s">
        <v>119</v>
      </c>
      <c r="U278" s="11" t="s">
        <v>348</v>
      </c>
      <c r="V278" s="11" t="s">
        <v>121</v>
      </c>
      <c r="W278" s="10"/>
      <c r="X278" s="12"/>
      <c r="Y278" s="9"/>
      <c r="Z278" s="11"/>
      <c r="AA278" s="11"/>
      <c r="AB278" s="11"/>
      <c r="AC278" s="9"/>
      <c r="AD278" s="10"/>
      <c r="AE278" s="9"/>
      <c r="AF278" s="11"/>
      <c r="AG278" s="11"/>
      <c r="AH278" s="11"/>
      <c r="AI278" s="10" t="n">
        <v>2715</v>
      </c>
      <c r="AJ278" s="9" t="s">
        <v>122</v>
      </c>
      <c r="AK278" s="11" t="s">
        <v>123</v>
      </c>
      <c r="AL278" s="11" t="s">
        <v>124</v>
      </c>
      <c r="AM278" s="11" t="s">
        <v>125</v>
      </c>
    </row>
    <row r="279" customFormat="false" ht="15" hidden="false" customHeight="false" outlineLevel="0" collapsed="false">
      <c r="A279" s="9" t="s">
        <v>343</v>
      </c>
      <c r="B279" s="9" t="s">
        <v>344</v>
      </c>
      <c r="C279" s="9" t="s">
        <v>345</v>
      </c>
      <c r="D279" s="9" t="s">
        <v>346</v>
      </c>
      <c r="E279" s="9" t="n">
        <v>1</v>
      </c>
      <c r="F279" s="9" t="n">
        <v>1</v>
      </c>
      <c r="G279" s="9" t="n">
        <v>2014</v>
      </c>
      <c r="H279" s="10" t="n">
        <v>16865008</v>
      </c>
      <c r="I279" s="11" t="s">
        <v>98</v>
      </c>
      <c r="J279" s="11" t="s">
        <v>99</v>
      </c>
      <c r="K279" s="10" t="n">
        <v>1953436</v>
      </c>
      <c r="L279" s="12" t="n">
        <f aca="false">IF(OR($H279="",K279=""),"",K279/$H279)</f>
        <v>0.115827754128548</v>
      </c>
      <c r="M279" s="9" t="s">
        <v>115</v>
      </c>
      <c r="N279" s="11" t="s">
        <v>116</v>
      </c>
      <c r="O279" s="11" t="s">
        <v>347</v>
      </c>
      <c r="P279" s="11" t="s">
        <v>118</v>
      </c>
      <c r="Q279" s="10" t="n">
        <v>735354</v>
      </c>
      <c r="R279" s="12" t="n">
        <f aca="false">IF(OR($H279="",Q279=""),"",Q279/$H279)</f>
        <v>0.0436023510928664</v>
      </c>
      <c r="S279" s="9" t="s">
        <v>115</v>
      </c>
      <c r="T279" s="11" t="s">
        <v>119</v>
      </c>
      <c r="U279" s="11" t="s">
        <v>348</v>
      </c>
      <c r="V279" s="11" t="s">
        <v>121</v>
      </c>
      <c r="W279" s="10"/>
      <c r="X279" s="12"/>
      <c r="Y279" s="9"/>
      <c r="Z279" s="11"/>
      <c r="AA279" s="11"/>
      <c r="AB279" s="11"/>
      <c r="AC279" s="9"/>
      <c r="AD279" s="10"/>
      <c r="AE279" s="9"/>
      <c r="AF279" s="11"/>
      <c r="AG279" s="11"/>
      <c r="AH279" s="11"/>
      <c r="AI279" s="10" t="n">
        <v>2645</v>
      </c>
      <c r="AJ279" s="9" t="s">
        <v>122</v>
      </c>
      <c r="AK279" s="11" t="s">
        <v>123</v>
      </c>
      <c r="AL279" s="11" t="s">
        <v>124</v>
      </c>
      <c r="AM279" s="11" t="s">
        <v>125</v>
      </c>
    </row>
    <row r="280" customFormat="false" ht="15" hidden="false" customHeight="false" outlineLevel="0" collapsed="false">
      <c r="A280" s="9" t="s">
        <v>343</v>
      </c>
      <c r="B280" s="9" t="s">
        <v>344</v>
      </c>
      <c r="C280" s="9" t="s">
        <v>345</v>
      </c>
      <c r="D280" s="9" t="s">
        <v>346</v>
      </c>
      <c r="E280" s="9" t="n">
        <v>1</v>
      </c>
      <c r="F280" s="9" t="n">
        <v>1</v>
      </c>
      <c r="G280" s="9" t="n">
        <v>2015</v>
      </c>
      <c r="H280" s="10" t="n">
        <v>16939923</v>
      </c>
      <c r="I280" s="11" t="s">
        <v>98</v>
      </c>
      <c r="J280" s="11" t="s">
        <v>99</v>
      </c>
      <c r="K280" s="10" t="n">
        <v>1996318</v>
      </c>
      <c r="L280" s="12" t="n">
        <f aca="false">IF(OR($H280="",K280=""),"",K280/$H280)</f>
        <v>0.117846934723375</v>
      </c>
      <c r="M280" s="9" t="s">
        <v>115</v>
      </c>
      <c r="N280" s="11" t="s">
        <v>116</v>
      </c>
      <c r="O280" s="11" t="s">
        <v>347</v>
      </c>
      <c r="P280" s="11" t="s">
        <v>118</v>
      </c>
      <c r="Q280" s="10" t="n">
        <v>773288</v>
      </c>
      <c r="R280" s="12" t="n">
        <f aca="false">IF(OR($H280="",Q280=""),"",Q280/$H280)</f>
        <v>0.0456488497615957</v>
      </c>
      <c r="S280" s="9" t="s">
        <v>115</v>
      </c>
      <c r="T280" s="11" t="s">
        <v>119</v>
      </c>
      <c r="U280" s="11" t="s">
        <v>348</v>
      </c>
      <c r="V280" s="11" t="s">
        <v>121</v>
      </c>
      <c r="W280" s="10"/>
      <c r="X280" s="12"/>
      <c r="Y280" s="9"/>
      <c r="Z280" s="11"/>
      <c r="AA280" s="11"/>
      <c r="AB280" s="11"/>
      <c r="AC280" s="9"/>
      <c r="AD280" s="10"/>
      <c r="AE280" s="9"/>
      <c r="AF280" s="11"/>
      <c r="AG280" s="11"/>
      <c r="AH280" s="11"/>
      <c r="AI280" s="10" t="n">
        <v>3150</v>
      </c>
      <c r="AJ280" s="9" t="s">
        <v>122</v>
      </c>
      <c r="AK280" s="11" t="s">
        <v>123</v>
      </c>
      <c r="AL280" s="11" t="s">
        <v>124</v>
      </c>
      <c r="AM280" s="11" t="s">
        <v>125</v>
      </c>
    </row>
    <row r="281" customFormat="false" ht="15" hidden="false" customHeight="false" outlineLevel="0" collapsed="false">
      <c r="A281" s="9" t="s">
        <v>343</v>
      </c>
      <c r="B281" s="9" t="s">
        <v>344</v>
      </c>
      <c r="C281" s="9" t="s">
        <v>345</v>
      </c>
      <c r="D281" s="9" t="s">
        <v>346</v>
      </c>
      <c r="E281" s="9" t="n">
        <v>1</v>
      </c>
      <c r="F281" s="9" t="n">
        <v>1</v>
      </c>
      <c r="G281" s="9" t="n">
        <v>2016</v>
      </c>
      <c r="H281" s="10" t="n">
        <v>17030314</v>
      </c>
      <c r="I281" s="11" t="s">
        <v>98</v>
      </c>
      <c r="J281" s="11" t="s">
        <v>99</v>
      </c>
      <c r="K281" s="10" t="n">
        <v>2056520</v>
      </c>
      <c r="L281" s="12" t="n">
        <f aca="false">IF(OR($H281="",K281=""),"",K281/$H281)</f>
        <v>0.120756434672902</v>
      </c>
      <c r="M281" s="9" t="s">
        <v>115</v>
      </c>
      <c r="N281" s="11" t="s">
        <v>116</v>
      </c>
      <c r="O281" s="11" t="s">
        <v>347</v>
      </c>
      <c r="P281" s="11" t="s">
        <v>118</v>
      </c>
      <c r="Q281" s="10" t="n">
        <v>834786</v>
      </c>
      <c r="R281" s="12" t="n">
        <f aca="false">IF(OR($H281="",Q281=""),"",Q281/$H281)</f>
        <v>0.0490176517003738</v>
      </c>
      <c r="S281" s="9" t="s">
        <v>115</v>
      </c>
      <c r="T281" s="11" t="s">
        <v>119</v>
      </c>
      <c r="U281" s="11" t="s">
        <v>348</v>
      </c>
      <c r="V281" s="11" t="s">
        <v>121</v>
      </c>
      <c r="W281" s="10"/>
      <c r="X281" s="12"/>
      <c r="Y281" s="9"/>
      <c r="Z281" s="11"/>
      <c r="AA281" s="11"/>
      <c r="AB281" s="11"/>
      <c r="AC281" s="9"/>
      <c r="AD281" s="10"/>
      <c r="AE281" s="9"/>
      <c r="AF281" s="11"/>
      <c r="AG281" s="11"/>
      <c r="AH281" s="11"/>
      <c r="AI281" s="10" t="n">
        <v>2760</v>
      </c>
      <c r="AJ281" s="9" t="s">
        <v>122</v>
      </c>
      <c r="AK281" s="11" t="s">
        <v>123</v>
      </c>
      <c r="AL281" s="11" t="s">
        <v>124</v>
      </c>
      <c r="AM281" s="11" t="s">
        <v>125</v>
      </c>
    </row>
    <row r="282" customFormat="false" ht="15" hidden="false" customHeight="false" outlineLevel="0" collapsed="false">
      <c r="A282" s="9" t="s">
        <v>343</v>
      </c>
      <c r="B282" s="9" t="s">
        <v>344</v>
      </c>
      <c r="C282" s="9" t="s">
        <v>345</v>
      </c>
      <c r="D282" s="9" t="s">
        <v>346</v>
      </c>
      <c r="E282" s="9" t="n">
        <v>1</v>
      </c>
      <c r="F282" s="9" t="n">
        <v>1</v>
      </c>
      <c r="G282" s="9" t="n">
        <v>2017</v>
      </c>
      <c r="H282" s="10" t="n">
        <v>17131296</v>
      </c>
      <c r="I282" s="11" t="s">
        <v>98</v>
      </c>
      <c r="J282" s="11" t="s">
        <v>99</v>
      </c>
      <c r="K282" s="10" t="n">
        <v>2137234</v>
      </c>
      <c r="L282" s="12" t="n">
        <f aca="false">IF(OR($H282="",K282=""),"",K282/$H282)</f>
        <v>0.124756118859892</v>
      </c>
      <c r="M282" s="9" t="s">
        <v>115</v>
      </c>
      <c r="N282" s="11" t="s">
        <v>116</v>
      </c>
      <c r="O282" s="11" t="s">
        <v>347</v>
      </c>
      <c r="P282" s="11" t="s">
        <v>118</v>
      </c>
      <c r="Q282" s="10" t="n">
        <v>914997</v>
      </c>
      <c r="R282" s="12" t="n">
        <f aca="false">IF(OR($H282="",Q282=""),"",Q282/$H282)</f>
        <v>0.0534108452740528</v>
      </c>
      <c r="S282" s="9" t="s">
        <v>115</v>
      </c>
      <c r="T282" s="11" t="s">
        <v>119</v>
      </c>
      <c r="U282" s="11" t="s">
        <v>348</v>
      </c>
      <c r="V282" s="11" t="s">
        <v>121</v>
      </c>
      <c r="W282" s="10" t="n">
        <v>40500</v>
      </c>
      <c r="X282" s="12" t="n">
        <f aca="false">IF(OR($H282="",W282=""),"",W282/$H282)</f>
        <v>0.00236409434522642</v>
      </c>
      <c r="Y282" s="9" t="s">
        <v>126</v>
      </c>
      <c r="Z282" s="11" t="s">
        <v>349</v>
      </c>
      <c r="AA282" s="11" t="s">
        <v>350</v>
      </c>
      <c r="AB282" s="11" t="s">
        <v>351</v>
      </c>
      <c r="AC282" s="9" t="n">
        <v>1</v>
      </c>
      <c r="AD282" s="10"/>
      <c r="AE282" s="9"/>
      <c r="AF282" s="11"/>
      <c r="AG282" s="11"/>
      <c r="AH282" s="11"/>
      <c r="AI282" s="10" t="n">
        <v>2120</v>
      </c>
      <c r="AJ282" s="9" t="s">
        <v>122</v>
      </c>
      <c r="AK282" s="11" t="s">
        <v>123</v>
      </c>
      <c r="AL282" s="11" t="s">
        <v>124</v>
      </c>
      <c r="AM282" s="11" t="s">
        <v>125</v>
      </c>
    </row>
    <row r="283" customFormat="false" ht="15" hidden="false" customHeight="false" outlineLevel="0" collapsed="false">
      <c r="A283" s="9" t="s">
        <v>343</v>
      </c>
      <c r="B283" s="9" t="s">
        <v>344</v>
      </c>
      <c r="C283" s="9" t="s">
        <v>345</v>
      </c>
      <c r="D283" s="9" t="s">
        <v>346</v>
      </c>
      <c r="E283" s="9" t="n">
        <v>1</v>
      </c>
      <c r="F283" s="9" t="n">
        <v>1</v>
      </c>
      <c r="G283" s="9" t="n">
        <v>2018</v>
      </c>
      <c r="H283" s="10" t="n">
        <v>17231624</v>
      </c>
      <c r="I283" s="11" t="s">
        <v>98</v>
      </c>
      <c r="J283" s="11" t="s">
        <v>99</v>
      </c>
      <c r="K283" s="10" t="n">
        <v>2215849</v>
      </c>
      <c r="L283" s="12" t="n">
        <f aca="false">IF(OR($H283="",K283=""),"",K283/$H283)</f>
        <v>0.128592000382552</v>
      </c>
      <c r="M283" s="9" t="s">
        <v>115</v>
      </c>
      <c r="N283" s="11" t="s">
        <v>116</v>
      </c>
      <c r="O283" s="11" t="s">
        <v>347</v>
      </c>
      <c r="P283" s="11" t="s">
        <v>118</v>
      </c>
      <c r="Q283" s="10" t="n">
        <v>991440</v>
      </c>
      <c r="R283" s="12" t="n">
        <f aca="false">IF(OR($H283="",Q283=""),"",Q283/$H283)</f>
        <v>0.0575360743711678</v>
      </c>
      <c r="S283" s="9" t="s">
        <v>115</v>
      </c>
      <c r="T283" s="11" t="s">
        <v>119</v>
      </c>
      <c r="U283" s="11" t="s">
        <v>348</v>
      </c>
      <c r="V283" s="11" t="s">
        <v>121</v>
      </c>
      <c r="W283" s="10" t="n">
        <v>34952</v>
      </c>
      <c r="X283" s="12" t="n">
        <f aca="false">IF(OR($H283="",W283=""),"",W283/$H283)</f>
        <v>0.00202836366438822</v>
      </c>
      <c r="Y283" s="9" t="s">
        <v>126</v>
      </c>
      <c r="Z283" s="11" t="s">
        <v>352</v>
      </c>
      <c r="AA283" s="11" t="s">
        <v>353</v>
      </c>
      <c r="AB283" s="11" t="s">
        <v>354</v>
      </c>
      <c r="AC283" s="9" t="n">
        <v>1</v>
      </c>
      <c r="AD283" s="10"/>
      <c r="AE283" s="9"/>
      <c r="AF283" s="11"/>
      <c r="AG283" s="11"/>
      <c r="AH283" s="11"/>
      <c r="AI283" s="10" t="n">
        <v>2790</v>
      </c>
      <c r="AJ283" s="9" t="s">
        <v>122</v>
      </c>
      <c r="AK283" s="11" t="s">
        <v>123</v>
      </c>
      <c r="AL283" s="11" t="s">
        <v>124</v>
      </c>
      <c r="AM283" s="11" t="s">
        <v>125</v>
      </c>
    </row>
    <row r="284" customFormat="false" ht="15" hidden="false" customHeight="false" outlineLevel="0" collapsed="false">
      <c r="A284" s="9" t="s">
        <v>343</v>
      </c>
      <c r="B284" s="9" t="s">
        <v>344</v>
      </c>
      <c r="C284" s="9" t="s">
        <v>345</v>
      </c>
      <c r="D284" s="9" t="s">
        <v>346</v>
      </c>
      <c r="E284" s="9" t="n">
        <v>1</v>
      </c>
      <c r="F284" s="9" t="n">
        <v>1</v>
      </c>
      <c r="G284" s="9" t="n">
        <v>2019</v>
      </c>
      <c r="H284" s="10" t="n">
        <v>17344874</v>
      </c>
      <c r="I284" s="11" t="s">
        <v>98</v>
      </c>
      <c r="J284" s="11" t="s">
        <v>99</v>
      </c>
      <c r="K284" s="10" t="n">
        <v>2298705</v>
      </c>
      <c r="L284" s="12" t="n">
        <f aca="false">IF(OR($H284="",K284=""),"",K284/$H284)</f>
        <v>0.13252935708844</v>
      </c>
      <c r="M284" s="9" t="s">
        <v>115</v>
      </c>
      <c r="N284" s="11" t="s">
        <v>116</v>
      </c>
      <c r="O284" s="11" t="s">
        <v>347</v>
      </c>
      <c r="P284" s="11" t="s">
        <v>118</v>
      </c>
      <c r="Q284" s="10" t="n">
        <v>1068107</v>
      </c>
      <c r="R284" s="12" t="n">
        <f aca="false">IF(OR($H284="",Q284=""),"",Q284/$H284)</f>
        <v>0.0615805568838378</v>
      </c>
      <c r="S284" s="9" t="s">
        <v>115</v>
      </c>
      <c r="T284" s="11" t="s">
        <v>119</v>
      </c>
      <c r="U284" s="11" t="s">
        <v>348</v>
      </c>
      <c r="V284" s="11" t="s">
        <v>121</v>
      </c>
      <c r="W284" s="10" t="n">
        <v>24124</v>
      </c>
      <c r="X284" s="12" t="n">
        <f aca="false">IF(OR($H284="",W284=""),"",W284/$H284)</f>
        <v>0.00139084319667009</v>
      </c>
      <c r="Y284" s="9" t="s">
        <v>126</v>
      </c>
      <c r="Z284" s="11" t="s">
        <v>352</v>
      </c>
      <c r="AA284" s="11" t="s">
        <v>353</v>
      </c>
      <c r="AB284" s="11" t="s">
        <v>355</v>
      </c>
      <c r="AC284" s="9" t="n">
        <v>1</v>
      </c>
      <c r="AD284" s="10"/>
      <c r="AE284" s="9"/>
      <c r="AF284" s="11"/>
      <c r="AG284" s="11"/>
      <c r="AH284" s="11"/>
      <c r="AI284" s="10" t="n">
        <v>3565</v>
      </c>
      <c r="AJ284" s="9" t="s">
        <v>122</v>
      </c>
      <c r="AK284" s="11" t="s">
        <v>123</v>
      </c>
      <c r="AL284" s="11" t="s">
        <v>124</v>
      </c>
      <c r="AM284" s="11" t="s">
        <v>125</v>
      </c>
    </row>
    <row r="285" customFormat="false" ht="15" hidden="false" customHeight="false" outlineLevel="0" collapsed="false">
      <c r="A285" s="9" t="s">
        <v>343</v>
      </c>
      <c r="B285" s="9" t="s">
        <v>344</v>
      </c>
      <c r="C285" s="9" t="s">
        <v>345</v>
      </c>
      <c r="D285" s="9" t="s">
        <v>346</v>
      </c>
      <c r="E285" s="9" t="n">
        <v>1</v>
      </c>
      <c r="F285" s="9" t="n">
        <v>1</v>
      </c>
      <c r="G285" s="9" t="n">
        <v>2020</v>
      </c>
      <c r="H285" s="10" t="n">
        <v>17441500</v>
      </c>
      <c r="I285" s="11" t="s">
        <v>98</v>
      </c>
      <c r="J285" s="11" t="s">
        <v>99</v>
      </c>
      <c r="K285" s="10" t="n">
        <v>2399804</v>
      </c>
      <c r="L285" s="12" t="n">
        <f aca="false">IF(OR($H285="",K285=""),"",K285/$H285)</f>
        <v>0.137591606226529</v>
      </c>
      <c r="M285" s="9" t="s">
        <v>115</v>
      </c>
      <c r="N285" s="11" t="s">
        <v>116</v>
      </c>
      <c r="O285" s="11" t="s">
        <v>347</v>
      </c>
      <c r="P285" s="11" t="s">
        <v>118</v>
      </c>
      <c r="Q285" s="10" t="n">
        <v>1154830</v>
      </c>
      <c r="R285" s="12" t="n">
        <f aca="false">IF(OR($H285="",Q285=""),"",Q285/$H285)</f>
        <v>0.0662116217068486</v>
      </c>
      <c r="S285" s="9" t="s">
        <v>115</v>
      </c>
      <c r="T285" s="11" t="s">
        <v>119</v>
      </c>
      <c r="U285" s="11" t="s">
        <v>348</v>
      </c>
      <c r="V285" s="11" t="s">
        <v>121</v>
      </c>
      <c r="W285" s="10" t="n">
        <v>24283</v>
      </c>
      <c r="X285" s="12" t="n">
        <f aca="false">IF(OR($H285="",W285=""),"",W285/$H285)</f>
        <v>0.00139225410658487</v>
      </c>
      <c r="Y285" s="9" t="s">
        <v>126</v>
      </c>
      <c r="Z285" s="11" t="s">
        <v>352</v>
      </c>
      <c r="AA285" s="11" t="s">
        <v>353</v>
      </c>
      <c r="AB285" s="11" t="s">
        <v>356</v>
      </c>
      <c r="AC285" s="9" t="n">
        <v>1</v>
      </c>
      <c r="AD285" s="10"/>
      <c r="AE285" s="9"/>
      <c r="AF285" s="11"/>
      <c r="AG285" s="11"/>
      <c r="AH285" s="11"/>
      <c r="AI285" s="10" t="n">
        <v>3640</v>
      </c>
      <c r="AJ285" s="9" t="s">
        <v>122</v>
      </c>
      <c r="AK285" s="11" t="s">
        <v>123</v>
      </c>
      <c r="AL285" s="11" t="s">
        <v>124</v>
      </c>
      <c r="AM285" s="11" t="s">
        <v>125</v>
      </c>
    </row>
    <row r="286" customFormat="false" ht="15" hidden="false" customHeight="false" outlineLevel="0" collapsed="false">
      <c r="A286" s="9" t="s">
        <v>343</v>
      </c>
      <c r="B286" s="9" t="s">
        <v>344</v>
      </c>
      <c r="C286" s="9" t="s">
        <v>345</v>
      </c>
      <c r="D286" s="9" t="s">
        <v>346</v>
      </c>
      <c r="E286" s="9" t="n">
        <v>1</v>
      </c>
      <c r="F286" s="9" t="n">
        <v>1</v>
      </c>
      <c r="G286" s="9" t="n">
        <v>2021</v>
      </c>
      <c r="H286" s="10" t="n">
        <v>17533044</v>
      </c>
      <c r="I286" s="11" t="s">
        <v>98</v>
      </c>
      <c r="J286" s="11" t="s">
        <v>99</v>
      </c>
      <c r="K286" s="10" t="n">
        <v>2451157</v>
      </c>
      <c r="L286" s="12" t="n">
        <f aca="false">IF(OR($H286="",K286=""),"",K286/$H286)</f>
        <v>0.139802135898364</v>
      </c>
      <c r="M286" s="9" t="s">
        <v>115</v>
      </c>
      <c r="N286" s="11" t="s">
        <v>116</v>
      </c>
      <c r="O286" s="11" t="s">
        <v>347</v>
      </c>
      <c r="P286" s="11" t="s">
        <v>118</v>
      </c>
      <c r="Q286" s="10" t="n">
        <v>1171380</v>
      </c>
      <c r="R286" s="12" t="n">
        <f aca="false">IF(OR($H286="",Q286=""),"",Q286/$H286)</f>
        <v>0.0668098477366509</v>
      </c>
      <c r="S286" s="9" t="s">
        <v>115</v>
      </c>
      <c r="T286" s="11" t="s">
        <v>119</v>
      </c>
      <c r="U286" s="11" t="s">
        <v>348</v>
      </c>
      <c r="V286" s="11" t="s">
        <v>121</v>
      </c>
      <c r="W286" s="10" t="n">
        <v>20197</v>
      </c>
      <c r="X286" s="12" t="n">
        <f aca="false">IF(OR($H286="",W286=""),"",W286/$H286)</f>
        <v>0.00115193916127741</v>
      </c>
      <c r="Y286" s="9" t="s">
        <v>126</v>
      </c>
      <c r="Z286" s="11" t="s">
        <v>352</v>
      </c>
      <c r="AA286" s="11" t="s">
        <v>353</v>
      </c>
      <c r="AB286" s="11" t="s">
        <v>357</v>
      </c>
      <c r="AC286" s="9" t="n">
        <v>1</v>
      </c>
      <c r="AD286" s="10"/>
      <c r="AE286" s="9"/>
      <c r="AF286" s="11"/>
      <c r="AG286" s="11"/>
      <c r="AH286" s="11"/>
      <c r="AI286" s="10" t="n">
        <v>5010</v>
      </c>
      <c r="AJ286" s="9" t="s">
        <v>122</v>
      </c>
      <c r="AK286" s="11" t="s">
        <v>123</v>
      </c>
      <c r="AL286" s="11" t="s">
        <v>124</v>
      </c>
      <c r="AM286" s="11" t="s">
        <v>125</v>
      </c>
    </row>
    <row r="287" customFormat="false" ht="15" hidden="false" customHeight="false" outlineLevel="0" collapsed="false">
      <c r="A287" s="9" t="s">
        <v>343</v>
      </c>
      <c r="B287" s="9" t="s">
        <v>344</v>
      </c>
      <c r="C287" s="9" t="s">
        <v>345</v>
      </c>
      <c r="D287" s="9" t="s">
        <v>346</v>
      </c>
      <c r="E287" s="9" t="n">
        <v>1</v>
      </c>
      <c r="F287" s="9" t="n">
        <v>1</v>
      </c>
      <c r="G287" s="9" t="n">
        <v>2022</v>
      </c>
      <c r="H287" s="10" t="n">
        <v>17700982</v>
      </c>
      <c r="I287" s="11" t="s">
        <v>98</v>
      </c>
      <c r="J287" s="11" t="s">
        <v>99</v>
      </c>
      <c r="K287" s="10" t="n">
        <v>2550837</v>
      </c>
      <c r="L287" s="12" t="n">
        <f aca="false">IF(OR($H287="",K287=""),"",K287/$H287)</f>
        <v>0.144107089651862</v>
      </c>
      <c r="M287" s="9" t="s">
        <v>115</v>
      </c>
      <c r="N287" s="11" t="s">
        <v>116</v>
      </c>
      <c r="O287" s="11" t="s">
        <v>347</v>
      </c>
      <c r="P287" s="11" t="s">
        <v>118</v>
      </c>
      <c r="Q287" s="10" t="n">
        <v>1230012</v>
      </c>
      <c r="R287" s="12" t="n">
        <f aca="false">IF(OR($H287="",Q287=""),"",Q287/$H287)</f>
        <v>0.069488348160571</v>
      </c>
      <c r="S287" s="9" t="s">
        <v>115</v>
      </c>
      <c r="T287" s="11" t="s">
        <v>119</v>
      </c>
      <c r="U287" s="11" t="s">
        <v>348</v>
      </c>
      <c r="V287" s="11" t="s">
        <v>121</v>
      </c>
      <c r="W287" s="10" t="n">
        <v>20065</v>
      </c>
      <c r="X287" s="12" t="n">
        <f aca="false">IF(OR($H287="",W287=""),"",W287/$H287)</f>
        <v>0.00113355292943634</v>
      </c>
      <c r="Y287" s="9" t="s">
        <v>126</v>
      </c>
      <c r="Z287" s="11" t="s">
        <v>352</v>
      </c>
      <c r="AA287" s="11" t="s">
        <v>353</v>
      </c>
      <c r="AB287" s="11" t="s">
        <v>358</v>
      </c>
      <c r="AC287" s="9" t="n">
        <v>1</v>
      </c>
      <c r="AD287" s="10"/>
      <c r="AE287" s="9"/>
      <c r="AF287" s="11"/>
      <c r="AG287" s="11"/>
      <c r="AH287" s="11"/>
      <c r="AI287" s="10" t="n">
        <v>5475</v>
      </c>
      <c r="AJ287" s="9" t="s">
        <v>122</v>
      </c>
      <c r="AK287" s="11" t="s">
        <v>123</v>
      </c>
      <c r="AL287" s="11" t="s">
        <v>124</v>
      </c>
      <c r="AM287" s="11" t="s">
        <v>125</v>
      </c>
    </row>
    <row r="288" customFormat="false" ht="15" hidden="false" customHeight="false" outlineLevel="0" collapsed="false">
      <c r="A288" s="9" t="s">
        <v>359</v>
      </c>
      <c r="B288" s="9" t="s">
        <v>360</v>
      </c>
      <c r="C288" s="9" t="s">
        <v>361</v>
      </c>
      <c r="D288" s="9" t="s">
        <v>362</v>
      </c>
      <c r="E288" s="9" t="n">
        <v>0</v>
      </c>
      <c r="F288" s="9" t="n">
        <v>1</v>
      </c>
      <c r="G288" s="9" t="n">
        <v>2010</v>
      </c>
      <c r="H288" s="10" t="n">
        <v>4350700</v>
      </c>
      <c r="I288" s="11" t="s">
        <v>98</v>
      </c>
      <c r="J288" s="11" t="s">
        <v>99</v>
      </c>
      <c r="K288" s="10" t="n">
        <v>956982</v>
      </c>
      <c r="L288" s="12" t="n">
        <f aca="false">IF(OR($H288="",K288=""),"",K288/$H288)</f>
        <v>0.219960466131887</v>
      </c>
      <c r="M288" s="9" t="s">
        <v>100</v>
      </c>
      <c r="N288" s="11" t="s">
        <v>306</v>
      </c>
      <c r="O288" s="11" t="s">
        <v>363</v>
      </c>
      <c r="P288" s="11" t="s">
        <v>364</v>
      </c>
      <c r="Q288" s="10"/>
      <c r="R288" s="12"/>
      <c r="S288" s="9"/>
      <c r="T288" s="11"/>
      <c r="U288" s="11"/>
      <c r="V288" s="11"/>
      <c r="W288" s="10"/>
      <c r="X288" s="12"/>
      <c r="Y288" s="9"/>
      <c r="Z288" s="11"/>
      <c r="AA288" s="11"/>
      <c r="AB288" s="11"/>
      <c r="AC288" s="9"/>
      <c r="AD288" s="10" t="n">
        <v>15614</v>
      </c>
      <c r="AE288" s="9" t="s">
        <v>126</v>
      </c>
      <c r="AF288" s="11" t="s">
        <v>365</v>
      </c>
      <c r="AG288" s="11" t="s">
        <v>366</v>
      </c>
      <c r="AH288" s="11" t="s">
        <v>367</v>
      </c>
      <c r="AI288" s="10"/>
      <c r="AJ288" s="9"/>
      <c r="AK288" s="11"/>
      <c r="AL288" s="11"/>
      <c r="AM288" s="11"/>
    </row>
    <row r="289" customFormat="false" ht="15" hidden="false" customHeight="false" outlineLevel="0" collapsed="false">
      <c r="A289" s="9" t="s">
        <v>359</v>
      </c>
      <c r="B289" s="9" t="s">
        <v>360</v>
      </c>
      <c r="C289" s="9" t="s">
        <v>361</v>
      </c>
      <c r="D289" s="9" t="s">
        <v>362</v>
      </c>
      <c r="E289" s="9" t="n">
        <v>0</v>
      </c>
      <c r="F289" s="9" t="n">
        <v>1</v>
      </c>
      <c r="G289" s="9" t="n">
        <v>2011</v>
      </c>
      <c r="H289" s="10" t="n">
        <v>4384000</v>
      </c>
      <c r="I289" s="11" t="s">
        <v>98</v>
      </c>
      <c r="J289" s="11" t="s">
        <v>99</v>
      </c>
      <c r="K289" s="10"/>
      <c r="L289" s="12"/>
      <c r="M289" s="9"/>
      <c r="N289" s="11"/>
      <c r="O289" s="11"/>
      <c r="P289" s="11"/>
      <c r="Q289" s="10"/>
      <c r="R289" s="12"/>
      <c r="S289" s="9"/>
      <c r="T289" s="11"/>
      <c r="U289" s="11"/>
      <c r="V289" s="11"/>
      <c r="W289" s="10"/>
      <c r="X289" s="12"/>
      <c r="Y289" s="9"/>
      <c r="Z289" s="11"/>
      <c r="AA289" s="11"/>
      <c r="AB289" s="11"/>
      <c r="AC289" s="9"/>
      <c r="AD289" s="10" t="n">
        <v>15030</v>
      </c>
      <c r="AE289" s="9" t="s">
        <v>126</v>
      </c>
      <c r="AF289" s="11" t="s">
        <v>365</v>
      </c>
      <c r="AG289" s="11" t="s">
        <v>366</v>
      </c>
      <c r="AH289" s="11" t="s">
        <v>368</v>
      </c>
      <c r="AI289" s="10"/>
      <c r="AJ289" s="9"/>
      <c r="AK289" s="11"/>
      <c r="AL289" s="11"/>
      <c r="AM289" s="11"/>
    </row>
    <row r="290" customFormat="false" ht="15" hidden="false" customHeight="false" outlineLevel="0" collapsed="false">
      <c r="A290" s="9" t="s">
        <v>359</v>
      </c>
      <c r="B290" s="9" t="s">
        <v>360</v>
      </c>
      <c r="C290" s="9" t="s">
        <v>361</v>
      </c>
      <c r="D290" s="9" t="s">
        <v>362</v>
      </c>
      <c r="E290" s="9" t="n">
        <v>0</v>
      </c>
      <c r="F290" s="9" t="n">
        <v>1</v>
      </c>
      <c r="G290" s="9" t="n">
        <v>2012</v>
      </c>
      <c r="H290" s="10" t="n">
        <v>4408100</v>
      </c>
      <c r="I290" s="11" t="s">
        <v>98</v>
      </c>
      <c r="J290" s="11" t="s">
        <v>99</v>
      </c>
      <c r="K290" s="10"/>
      <c r="L290" s="12"/>
      <c r="M290" s="9"/>
      <c r="N290" s="11"/>
      <c r="O290" s="11"/>
      <c r="P290" s="11"/>
      <c r="Q290" s="10"/>
      <c r="R290" s="12"/>
      <c r="S290" s="9"/>
      <c r="T290" s="11"/>
      <c r="U290" s="11"/>
      <c r="V290" s="11"/>
      <c r="W290" s="10"/>
      <c r="X290" s="12"/>
      <c r="Y290" s="9"/>
      <c r="Z290" s="11"/>
      <c r="AA290" s="11"/>
      <c r="AB290" s="11"/>
      <c r="AC290" s="9"/>
      <c r="AD290" s="10" t="n">
        <v>14044</v>
      </c>
      <c r="AE290" s="9" t="s">
        <v>126</v>
      </c>
      <c r="AF290" s="11" t="s">
        <v>365</v>
      </c>
      <c r="AG290" s="11" t="s">
        <v>366</v>
      </c>
      <c r="AH290" s="11" t="s">
        <v>369</v>
      </c>
      <c r="AI290" s="10"/>
      <c r="AJ290" s="9"/>
      <c r="AK290" s="11"/>
      <c r="AL290" s="11"/>
      <c r="AM290" s="11"/>
    </row>
    <row r="291" customFormat="false" ht="15" hidden="false" customHeight="false" outlineLevel="0" collapsed="false">
      <c r="A291" s="9" t="s">
        <v>359</v>
      </c>
      <c r="B291" s="9" t="s">
        <v>360</v>
      </c>
      <c r="C291" s="9" t="s">
        <v>361</v>
      </c>
      <c r="D291" s="9" t="s">
        <v>362</v>
      </c>
      <c r="E291" s="9" t="n">
        <v>0</v>
      </c>
      <c r="F291" s="9" t="n">
        <v>1</v>
      </c>
      <c r="G291" s="9" t="n">
        <v>2013</v>
      </c>
      <c r="H291" s="10" t="n">
        <v>4442100</v>
      </c>
      <c r="I291" s="11" t="s">
        <v>98</v>
      </c>
      <c r="J291" s="11" t="s">
        <v>99</v>
      </c>
      <c r="K291" s="10" t="n">
        <v>1001772</v>
      </c>
      <c r="L291" s="12" t="n">
        <f aca="false">IF(OR($H291="",K291=""),"",K291/$H291)</f>
        <v>0.225517660565949</v>
      </c>
      <c r="M291" s="9" t="s">
        <v>170</v>
      </c>
      <c r="N291" s="11" t="s">
        <v>101</v>
      </c>
      <c r="O291" s="11" t="s">
        <v>370</v>
      </c>
      <c r="P291" s="11" t="s">
        <v>371</v>
      </c>
      <c r="Q291" s="10"/>
      <c r="R291" s="12"/>
      <c r="S291" s="9"/>
      <c r="T291" s="11"/>
      <c r="U291" s="11"/>
      <c r="V291" s="11"/>
      <c r="W291" s="10"/>
      <c r="X291" s="12"/>
      <c r="Y291" s="9"/>
      <c r="Z291" s="11"/>
      <c r="AA291" s="11"/>
      <c r="AB291" s="11"/>
      <c r="AC291" s="9"/>
      <c r="AD291" s="10" t="n">
        <v>13151</v>
      </c>
      <c r="AE291" s="9" t="s">
        <v>126</v>
      </c>
      <c r="AF291" s="11" t="s">
        <v>365</v>
      </c>
      <c r="AG291" s="11" t="s">
        <v>366</v>
      </c>
      <c r="AH291" s="11" t="s">
        <v>372</v>
      </c>
      <c r="AI291" s="10"/>
      <c r="AJ291" s="9"/>
      <c r="AK291" s="11"/>
      <c r="AL291" s="11"/>
      <c r="AM291" s="11"/>
    </row>
    <row r="292" customFormat="false" ht="15" hidden="false" customHeight="false" outlineLevel="0" collapsed="false">
      <c r="A292" s="9" t="s">
        <v>359</v>
      </c>
      <c r="B292" s="9" t="s">
        <v>360</v>
      </c>
      <c r="C292" s="9" t="s">
        <v>361</v>
      </c>
      <c r="D292" s="9" t="s">
        <v>362</v>
      </c>
      <c r="E292" s="9" t="n">
        <v>0</v>
      </c>
      <c r="F292" s="9" t="n">
        <v>1</v>
      </c>
      <c r="G292" s="9" t="n">
        <v>2014</v>
      </c>
      <c r="H292" s="10" t="n">
        <v>4516500</v>
      </c>
      <c r="I292" s="11" t="s">
        <v>98</v>
      </c>
      <c r="J292" s="11" t="s">
        <v>99</v>
      </c>
      <c r="K292" s="10"/>
      <c r="L292" s="12"/>
      <c r="M292" s="9"/>
      <c r="N292" s="11"/>
      <c r="O292" s="11"/>
      <c r="P292" s="11"/>
      <c r="Q292" s="10"/>
      <c r="R292" s="12"/>
      <c r="S292" s="9"/>
      <c r="T292" s="11"/>
      <c r="U292" s="11"/>
      <c r="V292" s="11"/>
      <c r="W292" s="10"/>
      <c r="X292" s="12"/>
      <c r="Y292" s="9"/>
      <c r="Z292" s="11"/>
      <c r="AA292" s="11"/>
      <c r="AB292" s="11"/>
      <c r="AC292" s="9"/>
      <c r="AD292" s="10" t="n">
        <v>12162</v>
      </c>
      <c r="AE292" s="9" t="s">
        <v>126</v>
      </c>
      <c r="AF292" s="11" t="s">
        <v>365</v>
      </c>
      <c r="AG292" s="11" t="s">
        <v>366</v>
      </c>
      <c r="AH292" s="11" t="s">
        <v>373</v>
      </c>
      <c r="AI292" s="10"/>
      <c r="AJ292" s="9"/>
      <c r="AK292" s="11"/>
      <c r="AL292" s="11"/>
      <c r="AM292" s="11"/>
    </row>
    <row r="293" customFormat="false" ht="15" hidden="false" customHeight="false" outlineLevel="0" collapsed="false">
      <c r="A293" s="9" t="s">
        <v>359</v>
      </c>
      <c r="B293" s="9" t="s">
        <v>360</v>
      </c>
      <c r="C293" s="9" t="s">
        <v>361</v>
      </c>
      <c r="D293" s="9" t="s">
        <v>362</v>
      </c>
      <c r="E293" s="9" t="n">
        <v>0</v>
      </c>
      <c r="F293" s="9" t="n">
        <v>1</v>
      </c>
      <c r="G293" s="9" t="n">
        <v>2015</v>
      </c>
      <c r="H293" s="10" t="n">
        <v>4609400</v>
      </c>
      <c r="I293" s="11" t="s">
        <v>98</v>
      </c>
      <c r="J293" s="11" t="s">
        <v>99</v>
      </c>
      <c r="K293" s="10" t="n">
        <v>1132201</v>
      </c>
      <c r="L293" s="12" t="n">
        <f aca="false">IF(OR($H293="",K293=""),"",K293/$H293)</f>
        <v>0.245628715234087</v>
      </c>
      <c r="M293" s="9" t="s">
        <v>100</v>
      </c>
      <c r="N293" s="11" t="s">
        <v>306</v>
      </c>
      <c r="O293" s="11" t="s">
        <v>363</v>
      </c>
      <c r="P293" s="11" t="s">
        <v>364</v>
      </c>
      <c r="Q293" s="10"/>
      <c r="R293" s="12"/>
      <c r="S293" s="9"/>
      <c r="T293" s="11"/>
      <c r="U293" s="11"/>
      <c r="V293" s="11"/>
      <c r="W293" s="10"/>
      <c r="X293" s="12"/>
      <c r="Y293" s="9"/>
      <c r="Z293" s="11"/>
      <c r="AA293" s="11"/>
      <c r="AB293" s="11"/>
      <c r="AC293" s="9"/>
      <c r="AD293" s="10"/>
      <c r="AE293" s="9"/>
      <c r="AF293" s="11"/>
      <c r="AG293" s="11"/>
      <c r="AH293" s="11"/>
      <c r="AI293" s="10"/>
      <c r="AJ293" s="9"/>
      <c r="AK293" s="11"/>
      <c r="AL293" s="11"/>
      <c r="AM293" s="11"/>
    </row>
    <row r="294" customFormat="false" ht="15" hidden="false" customHeight="false" outlineLevel="0" collapsed="false">
      <c r="A294" s="9" t="s">
        <v>359</v>
      </c>
      <c r="B294" s="9" t="s">
        <v>360</v>
      </c>
      <c r="C294" s="9" t="s">
        <v>361</v>
      </c>
      <c r="D294" s="9" t="s">
        <v>362</v>
      </c>
      <c r="E294" s="9" t="n">
        <v>0</v>
      </c>
      <c r="F294" s="9" t="n">
        <v>1</v>
      </c>
      <c r="G294" s="9" t="n">
        <v>2016</v>
      </c>
      <c r="H294" s="10" t="n">
        <v>4714100</v>
      </c>
      <c r="I294" s="11" t="s">
        <v>98</v>
      </c>
      <c r="J294" s="11" t="s">
        <v>99</v>
      </c>
      <c r="K294" s="10"/>
      <c r="L294" s="12"/>
      <c r="M294" s="9"/>
      <c r="N294" s="11"/>
      <c r="O294" s="11"/>
      <c r="P294" s="11"/>
      <c r="Q294" s="10"/>
      <c r="R294" s="12"/>
      <c r="S294" s="9"/>
      <c r="T294" s="11"/>
      <c r="U294" s="11"/>
      <c r="V294" s="11"/>
      <c r="W294" s="10"/>
      <c r="X294" s="12"/>
      <c r="Y294" s="9"/>
      <c r="Z294" s="11"/>
      <c r="AA294" s="11"/>
      <c r="AB294" s="11"/>
      <c r="AC294" s="9"/>
      <c r="AD294" s="10" t="n">
        <v>10894</v>
      </c>
      <c r="AE294" s="9" t="s">
        <v>126</v>
      </c>
      <c r="AF294" s="11" t="s">
        <v>365</v>
      </c>
      <c r="AG294" s="11" t="s">
        <v>366</v>
      </c>
      <c r="AH294" s="11" t="s">
        <v>374</v>
      </c>
      <c r="AI294" s="10"/>
      <c r="AJ294" s="9"/>
      <c r="AK294" s="11"/>
      <c r="AL294" s="11"/>
      <c r="AM294" s="11"/>
    </row>
    <row r="295" customFormat="false" ht="15" hidden="false" customHeight="false" outlineLevel="0" collapsed="false">
      <c r="A295" s="9" t="s">
        <v>359</v>
      </c>
      <c r="B295" s="9" t="s">
        <v>360</v>
      </c>
      <c r="C295" s="9" t="s">
        <v>361</v>
      </c>
      <c r="D295" s="9" t="s">
        <v>362</v>
      </c>
      <c r="E295" s="9" t="n">
        <v>0</v>
      </c>
      <c r="F295" s="9" t="n">
        <v>1</v>
      </c>
      <c r="G295" s="9" t="n">
        <v>2017</v>
      </c>
      <c r="H295" s="10" t="n">
        <v>4813600</v>
      </c>
      <c r="I295" s="11" t="s">
        <v>98</v>
      </c>
      <c r="J295" s="11" t="s">
        <v>99</v>
      </c>
      <c r="K295" s="10"/>
      <c r="L295" s="12"/>
      <c r="M295" s="9"/>
      <c r="N295" s="11"/>
      <c r="O295" s="11"/>
      <c r="P295" s="11"/>
      <c r="Q295" s="10"/>
      <c r="R295" s="12"/>
      <c r="S295" s="9"/>
      <c r="T295" s="11"/>
      <c r="U295" s="11"/>
      <c r="V295" s="11"/>
      <c r="W295" s="10"/>
      <c r="X295" s="12"/>
      <c r="Y295" s="9"/>
      <c r="Z295" s="11"/>
      <c r="AA295" s="11"/>
      <c r="AB295" s="11"/>
      <c r="AC295" s="9"/>
      <c r="AD295" s="10" t="n">
        <v>14000</v>
      </c>
      <c r="AE295" s="9" t="s">
        <v>126</v>
      </c>
      <c r="AF295" s="11" t="s">
        <v>375</v>
      </c>
      <c r="AG295" s="11" t="s">
        <v>376</v>
      </c>
      <c r="AH295" s="11" t="s">
        <v>377</v>
      </c>
      <c r="AI295" s="10"/>
      <c r="AJ295" s="9"/>
      <c r="AK295" s="11"/>
      <c r="AL295" s="11"/>
      <c r="AM295" s="11"/>
    </row>
    <row r="296" customFormat="false" ht="15" hidden="false" customHeight="false" outlineLevel="0" collapsed="false">
      <c r="A296" s="9" t="s">
        <v>359</v>
      </c>
      <c r="B296" s="9" t="s">
        <v>360</v>
      </c>
      <c r="C296" s="9" t="s">
        <v>361</v>
      </c>
      <c r="D296" s="9" t="s">
        <v>362</v>
      </c>
      <c r="E296" s="9" t="n">
        <v>0</v>
      </c>
      <c r="F296" s="9" t="n">
        <v>1</v>
      </c>
      <c r="G296" s="9" t="n">
        <v>2018</v>
      </c>
      <c r="H296" s="10" t="n">
        <v>4900600</v>
      </c>
      <c r="I296" s="11" t="s">
        <v>98</v>
      </c>
      <c r="J296" s="11" t="s">
        <v>99</v>
      </c>
      <c r="K296" s="10" t="n">
        <v>1329633</v>
      </c>
      <c r="L296" s="12" t="n">
        <f aca="false">IF(OR($H296="",K296=""),"",K296/$H296)</f>
        <v>0.271320450557075</v>
      </c>
      <c r="M296" s="9" t="s">
        <v>170</v>
      </c>
      <c r="N296" s="11" t="s">
        <v>101</v>
      </c>
      <c r="O296" s="11" t="s">
        <v>370</v>
      </c>
      <c r="P296" s="11" t="s">
        <v>371</v>
      </c>
      <c r="Q296" s="10"/>
      <c r="R296" s="12"/>
      <c r="S296" s="9"/>
      <c r="T296" s="11"/>
      <c r="U296" s="11"/>
      <c r="V296" s="11"/>
      <c r="W296" s="10"/>
      <c r="X296" s="12"/>
      <c r="Y296" s="9"/>
      <c r="Z296" s="11"/>
      <c r="AA296" s="11"/>
      <c r="AB296" s="11"/>
      <c r="AC296" s="9"/>
      <c r="AD296" s="10"/>
      <c r="AE296" s="9"/>
      <c r="AF296" s="11"/>
      <c r="AG296" s="11"/>
      <c r="AH296" s="11"/>
      <c r="AI296" s="10"/>
      <c r="AJ296" s="9"/>
      <c r="AK296" s="11"/>
      <c r="AL296" s="11"/>
      <c r="AM296" s="11"/>
    </row>
    <row r="297" customFormat="false" ht="15" hidden="false" customHeight="false" outlineLevel="0" collapsed="false">
      <c r="A297" s="9" t="s">
        <v>359</v>
      </c>
      <c r="B297" s="9" t="s">
        <v>360</v>
      </c>
      <c r="C297" s="9" t="s">
        <v>361</v>
      </c>
      <c r="D297" s="9" t="s">
        <v>362</v>
      </c>
      <c r="E297" s="9" t="n">
        <v>0</v>
      </c>
      <c r="F297" s="9" t="n">
        <v>1</v>
      </c>
      <c r="G297" s="9" t="n">
        <v>2019</v>
      </c>
      <c r="H297" s="10" t="n">
        <v>4970300</v>
      </c>
      <c r="I297" s="11" t="s">
        <v>98</v>
      </c>
      <c r="J297" s="11" t="s">
        <v>99</v>
      </c>
      <c r="K297" s="10"/>
      <c r="L297" s="12"/>
      <c r="M297" s="9"/>
      <c r="N297" s="11"/>
      <c r="O297" s="11"/>
      <c r="P297" s="11"/>
      <c r="Q297" s="10"/>
      <c r="R297" s="12"/>
      <c r="S297" s="9"/>
      <c r="T297" s="11"/>
      <c r="U297" s="11"/>
      <c r="V297" s="11"/>
      <c r="W297" s="10"/>
      <c r="X297" s="12"/>
      <c r="Y297" s="9"/>
      <c r="Z297" s="11"/>
      <c r="AA297" s="11"/>
      <c r="AB297" s="11"/>
      <c r="AC297" s="9"/>
      <c r="AD297" s="10"/>
      <c r="AE297" s="9"/>
      <c r="AF297" s="11"/>
      <c r="AG297" s="11"/>
      <c r="AH297" s="11"/>
      <c r="AI297" s="10"/>
      <c r="AJ297" s="9"/>
      <c r="AK297" s="11"/>
      <c r="AL297" s="11"/>
      <c r="AM297" s="11"/>
    </row>
    <row r="298" customFormat="false" ht="15" hidden="false" customHeight="false" outlineLevel="0" collapsed="false">
      <c r="A298" s="9" t="s">
        <v>359</v>
      </c>
      <c r="B298" s="9" t="s">
        <v>360</v>
      </c>
      <c r="C298" s="9" t="s">
        <v>361</v>
      </c>
      <c r="D298" s="9" t="s">
        <v>362</v>
      </c>
      <c r="E298" s="9" t="n">
        <v>0</v>
      </c>
      <c r="F298" s="9" t="n">
        <v>1</v>
      </c>
      <c r="G298" s="9" t="n">
        <v>2020</v>
      </c>
      <c r="H298" s="10" t="n">
        <v>5072400</v>
      </c>
      <c r="I298" s="11" t="s">
        <v>98</v>
      </c>
      <c r="J298" s="11" t="s">
        <v>99</v>
      </c>
      <c r="K298" s="10" t="n">
        <v>1343900</v>
      </c>
      <c r="L298" s="12" t="n">
        <f aca="false">IF(OR($H298="",K298=""),"",K298/$H298)</f>
        <v>0.264943616434035</v>
      </c>
      <c r="M298" s="9" t="s">
        <v>100</v>
      </c>
      <c r="N298" s="11" t="s">
        <v>306</v>
      </c>
      <c r="O298" s="11" t="s">
        <v>363</v>
      </c>
      <c r="P298" s="11" t="s">
        <v>364</v>
      </c>
      <c r="Q298" s="10"/>
      <c r="R298" s="12"/>
      <c r="S298" s="9"/>
      <c r="T298" s="11"/>
      <c r="U298" s="11"/>
      <c r="V298" s="11"/>
      <c r="W298" s="10"/>
      <c r="X298" s="12"/>
      <c r="Y298" s="9"/>
      <c r="Z298" s="11"/>
      <c r="AA298" s="11"/>
      <c r="AB298" s="11"/>
      <c r="AC298" s="9"/>
      <c r="AD298" s="10"/>
      <c r="AE298" s="9"/>
      <c r="AF298" s="11"/>
      <c r="AG298" s="11"/>
      <c r="AH298" s="11"/>
      <c r="AI298" s="10"/>
      <c r="AJ298" s="9"/>
      <c r="AK298" s="11"/>
      <c r="AL298" s="11"/>
      <c r="AM298" s="11"/>
    </row>
    <row r="299" customFormat="false" ht="15" hidden="false" customHeight="false" outlineLevel="0" collapsed="false">
      <c r="A299" s="9" t="s">
        <v>359</v>
      </c>
      <c r="B299" s="9" t="s">
        <v>360</v>
      </c>
      <c r="C299" s="9" t="s">
        <v>361</v>
      </c>
      <c r="D299" s="9" t="s">
        <v>362</v>
      </c>
      <c r="E299" s="9" t="n">
        <v>0</v>
      </c>
      <c r="F299" s="9" t="n">
        <v>1</v>
      </c>
      <c r="G299" s="9" t="n">
        <v>2021</v>
      </c>
      <c r="H299" s="10" t="n">
        <v>5084600</v>
      </c>
      <c r="I299" s="11" t="s">
        <v>98</v>
      </c>
      <c r="J299" s="11" t="s">
        <v>99</v>
      </c>
      <c r="K299" s="10"/>
      <c r="L299" s="12"/>
      <c r="M299" s="9"/>
      <c r="N299" s="11"/>
      <c r="O299" s="11"/>
      <c r="P299" s="11"/>
      <c r="Q299" s="10"/>
      <c r="R299" s="12"/>
      <c r="S299" s="9"/>
      <c r="T299" s="11"/>
      <c r="U299" s="11"/>
      <c r="V299" s="11"/>
      <c r="W299" s="10"/>
      <c r="X299" s="12"/>
      <c r="Y299" s="9"/>
      <c r="Z299" s="11"/>
      <c r="AA299" s="11"/>
      <c r="AB299" s="11"/>
      <c r="AC299" s="9"/>
      <c r="AD299" s="10"/>
      <c r="AE299" s="9"/>
      <c r="AF299" s="11"/>
      <c r="AG299" s="11"/>
      <c r="AH299" s="11"/>
      <c r="AI299" s="10"/>
      <c r="AJ299" s="9"/>
      <c r="AK299" s="11"/>
      <c r="AL299" s="11"/>
      <c r="AM299" s="11"/>
    </row>
    <row r="300" customFormat="false" ht="15" hidden="false" customHeight="false" outlineLevel="0" collapsed="false">
      <c r="A300" s="9" t="s">
        <v>359</v>
      </c>
      <c r="B300" s="9" t="s">
        <v>360</v>
      </c>
      <c r="C300" s="9" t="s">
        <v>361</v>
      </c>
      <c r="D300" s="9" t="s">
        <v>362</v>
      </c>
      <c r="E300" s="9" t="n">
        <v>0</v>
      </c>
      <c r="F300" s="9" t="n">
        <v>1</v>
      </c>
      <c r="G300" s="9" t="n">
        <v>2022</v>
      </c>
      <c r="H300" s="10" t="n">
        <v>5081700</v>
      </c>
      <c r="I300" s="11" t="s">
        <v>98</v>
      </c>
      <c r="J300" s="11" t="s">
        <v>99</v>
      </c>
      <c r="K300" s="10"/>
      <c r="L300" s="12"/>
      <c r="M300" s="9"/>
      <c r="N300" s="11"/>
      <c r="O300" s="11"/>
      <c r="P300" s="11"/>
      <c r="Q300" s="10"/>
      <c r="R300" s="12"/>
      <c r="S300" s="9"/>
      <c r="T300" s="11"/>
      <c r="U300" s="11"/>
      <c r="V300" s="11"/>
      <c r="W300" s="10"/>
      <c r="X300" s="12"/>
      <c r="Y300" s="9"/>
      <c r="Z300" s="11"/>
      <c r="AA300" s="11"/>
      <c r="AB300" s="11"/>
      <c r="AC300" s="9"/>
      <c r="AD300" s="10"/>
      <c r="AE300" s="9"/>
      <c r="AF300" s="11"/>
      <c r="AG300" s="11"/>
      <c r="AH300" s="11"/>
      <c r="AI300" s="10"/>
      <c r="AJ300" s="9"/>
      <c r="AK300" s="11"/>
      <c r="AL300" s="11"/>
      <c r="AM300" s="11"/>
    </row>
    <row r="301" customFormat="false" ht="15" hidden="false" customHeight="false" outlineLevel="0" collapsed="false">
      <c r="A301" s="9" t="s">
        <v>378</v>
      </c>
      <c r="B301" s="9" t="s">
        <v>379</v>
      </c>
      <c r="C301" s="9" t="s">
        <v>380</v>
      </c>
      <c r="D301" s="9" t="s">
        <v>381</v>
      </c>
      <c r="E301" s="9" t="n">
        <v>1</v>
      </c>
      <c r="F301" s="9" t="n">
        <v>1</v>
      </c>
      <c r="G301" s="9" t="n">
        <v>2010</v>
      </c>
      <c r="H301" s="10" t="n">
        <v>4889252</v>
      </c>
      <c r="I301" s="11" t="s">
        <v>98</v>
      </c>
      <c r="J301" s="11" t="s">
        <v>99</v>
      </c>
      <c r="K301" s="10" t="n">
        <v>529532</v>
      </c>
      <c r="L301" s="12" t="n">
        <f aca="false">IF(OR($H301="",K301=""),"",K301/$H301)</f>
        <v>0.108305319504906</v>
      </c>
      <c r="M301" s="9" t="s">
        <v>115</v>
      </c>
      <c r="N301" s="11" t="s">
        <v>116</v>
      </c>
      <c r="O301" s="11" t="s">
        <v>382</v>
      </c>
      <c r="P301" s="11" t="s">
        <v>118</v>
      </c>
      <c r="Q301" s="10" t="n">
        <v>333791</v>
      </c>
      <c r="R301" s="12" t="n">
        <f aca="false">IF(OR($H301="",Q301=""),"",Q301/$H301)</f>
        <v>0.0682703611922642</v>
      </c>
      <c r="S301" s="9" t="s">
        <v>115</v>
      </c>
      <c r="T301" s="11" t="s">
        <v>119</v>
      </c>
      <c r="U301" s="11" t="s">
        <v>383</v>
      </c>
      <c r="V301" s="11" t="s">
        <v>121</v>
      </c>
      <c r="W301" s="10"/>
      <c r="X301" s="12"/>
      <c r="Y301" s="9"/>
      <c r="Z301" s="11"/>
      <c r="AA301" s="11"/>
      <c r="AB301" s="11"/>
      <c r="AC301" s="9"/>
      <c r="AD301" s="10"/>
      <c r="AE301" s="9"/>
      <c r="AF301" s="11"/>
      <c r="AG301" s="11"/>
      <c r="AH301" s="11"/>
      <c r="AI301" s="10" t="n">
        <v>2410</v>
      </c>
      <c r="AJ301" s="9" t="s">
        <v>122</v>
      </c>
      <c r="AK301" s="11" t="s">
        <v>123</v>
      </c>
      <c r="AL301" s="11" t="s">
        <v>124</v>
      </c>
      <c r="AM301" s="11" t="s">
        <v>125</v>
      </c>
    </row>
    <row r="302" customFormat="false" ht="15" hidden="false" customHeight="false" outlineLevel="0" collapsed="false">
      <c r="A302" s="9" t="s">
        <v>378</v>
      </c>
      <c r="B302" s="9" t="s">
        <v>379</v>
      </c>
      <c r="C302" s="9" t="s">
        <v>380</v>
      </c>
      <c r="D302" s="9" t="s">
        <v>381</v>
      </c>
      <c r="E302" s="9" t="n">
        <v>1</v>
      </c>
      <c r="F302" s="9" t="n">
        <v>1</v>
      </c>
      <c r="G302" s="9" t="n">
        <v>2011</v>
      </c>
      <c r="H302" s="10" t="n">
        <v>4953088</v>
      </c>
      <c r="I302" s="11" t="s">
        <v>98</v>
      </c>
      <c r="J302" s="11" t="s">
        <v>99</v>
      </c>
      <c r="K302" s="10" t="n">
        <v>572231</v>
      </c>
      <c r="L302" s="12" t="n">
        <f aca="false">IF(OR($H302="",K302=""),"",K302/$H302)</f>
        <v>0.115530150080112</v>
      </c>
      <c r="M302" s="9" t="s">
        <v>115</v>
      </c>
      <c r="N302" s="11" t="s">
        <v>116</v>
      </c>
      <c r="O302" s="11" t="s">
        <v>382</v>
      </c>
      <c r="P302" s="11" t="s">
        <v>118</v>
      </c>
      <c r="Q302" s="10" t="n">
        <v>369132</v>
      </c>
      <c r="R302" s="12" t="n">
        <f aca="false">IF(OR($H302="",Q302=""),"",Q302/$H302)</f>
        <v>0.0745256292640066</v>
      </c>
      <c r="S302" s="9" t="s">
        <v>115</v>
      </c>
      <c r="T302" s="11" t="s">
        <v>119</v>
      </c>
      <c r="U302" s="11" t="s">
        <v>383</v>
      </c>
      <c r="V302" s="11" t="s">
        <v>121</v>
      </c>
      <c r="W302" s="10"/>
      <c r="X302" s="12"/>
      <c r="Y302" s="9"/>
      <c r="Z302" s="11"/>
      <c r="AA302" s="11"/>
      <c r="AB302" s="11"/>
      <c r="AC302" s="9"/>
      <c r="AD302" s="10"/>
      <c r="AE302" s="9"/>
      <c r="AF302" s="11"/>
      <c r="AG302" s="11"/>
      <c r="AH302" s="11"/>
      <c r="AI302" s="10" t="n">
        <v>1925</v>
      </c>
      <c r="AJ302" s="9" t="s">
        <v>122</v>
      </c>
      <c r="AK302" s="11" t="s">
        <v>123</v>
      </c>
      <c r="AL302" s="11" t="s">
        <v>124</v>
      </c>
      <c r="AM302" s="11" t="s">
        <v>125</v>
      </c>
    </row>
    <row r="303" customFormat="false" ht="15" hidden="false" customHeight="false" outlineLevel="0" collapsed="false">
      <c r="A303" s="9" t="s">
        <v>378</v>
      </c>
      <c r="B303" s="9" t="s">
        <v>379</v>
      </c>
      <c r="C303" s="9" t="s">
        <v>380</v>
      </c>
      <c r="D303" s="9" t="s">
        <v>381</v>
      </c>
      <c r="E303" s="9" t="n">
        <v>1</v>
      </c>
      <c r="F303" s="9" t="n">
        <v>1</v>
      </c>
      <c r="G303" s="9" t="n">
        <v>2012</v>
      </c>
      <c r="H303" s="10" t="n">
        <v>5018573</v>
      </c>
      <c r="I303" s="11" t="s">
        <v>98</v>
      </c>
      <c r="J303" s="11" t="s">
        <v>99</v>
      </c>
      <c r="K303" s="10" t="n">
        <v>619978</v>
      </c>
      <c r="L303" s="12" t="n">
        <f aca="false">IF(OR($H303="",K303=""),"",K303/$H303)</f>
        <v>0.123536710535047</v>
      </c>
      <c r="M303" s="9" t="s">
        <v>115</v>
      </c>
      <c r="N303" s="11" t="s">
        <v>116</v>
      </c>
      <c r="O303" s="11" t="s">
        <v>382</v>
      </c>
      <c r="P303" s="11" t="s">
        <v>118</v>
      </c>
      <c r="Q303" s="10" t="n">
        <v>407171</v>
      </c>
      <c r="R303" s="12" t="n">
        <f aca="false">IF(OR($H303="",Q303=""),"",Q303/$H303)</f>
        <v>0.0811328240119253</v>
      </c>
      <c r="S303" s="9" t="s">
        <v>115</v>
      </c>
      <c r="T303" s="11" t="s">
        <v>119</v>
      </c>
      <c r="U303" s="11" t="s">
        <v>383</v>
      </c>
      <c r="V303" s="11" t="s">
        <v>121</v>
      </c>
      <c r="W303" s="10"/>
      <c r="X303" s="12"/>
      <c r="Y303" s="9"/>
      <c r="Z303" s="11"/>
      <c r="AA303" s="11"/>
      <c r="AB303" s="11"/>
      <c r="AC303" s="9"/>
      <c r="AD303" s="10"/>
      <c r="AE303" s="9"/>
      <c r="AF303" s="11"/>
      <c r="AG303" s="11"/>
      <c r="AH303" s="11"/>
      <c r="AI303" s="10" t="n">
        <v>2760</v>
      </c>
      <c r="AJ303" s="9" t="s">
        <v>122</v>
      </c>
      <c r="AK303" s="11" t="s">
        <v>123</v>
      </c>
      <c r="AL303" s="11" t="s">
        <v>124</v>
      </c>
      <c r="AM303" s="11" t="s">
        <v>125</v>
      </c>
    </row>
    <row r="304" customFormat="false" ht="15" hidden="false" customHeight="false" outlineLevel="0" collapsed="false">
      <c r="A304" s="9" t="s">
        <v>378</v>
      </c>
      <c r="B304" s="9" t="s">
        <v>379</v>
      </c>
      <c r="C304" s="9" t="s">
        <v>380</v>
      </c>
      <c r="D304" s="9" t="s">
        <v>381</v>
      </c>
      <c r="E304" s="9" t="n">
        <v>1</v>
      </c>
      <c r="F304" s="9" t="n">
        <v>1</v>
      </c>
      <c r="G304" s="9" t="n">
        <v>2013</v>
      </c>
      <c r="H304" s="10" t="n">
        <v>5079623</v>
      </c>
      <c r="I304" s="11" t="s">
        <v>98</v>
      </c>
      <c r="J304" s="11" t="s">
        <v>99</v>
      </c>
      <c r="K304" s="10" t="n">
        <v>668178</v>
      </c>
      <c r="L304" s="12" t="n">
        <f aca="false">IF(OR($H304="",K304=""),"",K304/$H304)</f>
        <v>0.131540864351547</v>
      </c>
      <c r="M304" s="9" t="s">
        <v>115</v>
      </c>
      <c r="N304" s="11" t="s">
        <v>116</v>
      </c>
      <c r="O304" s="11" t="s">
        <v>382</v>
      </c>
      <c r="P304" s="11" t="s">
        <v>118</v>
      </c>
      <c r="Q304" s="10" t="n">
        <v>448665</v>
      </c>
      <c r="R304" s="12" t="n">
        <f aca="false">IF(OR($H304="",Q304=""),"",Q304/$H304)</f>
        <v>0.0883264368241502</v>
      </c>
      <c r="S304" s="9" t="s">
        <v>115</v>
      </c>
      <c r="T304" s="11" t="s">
        <v>119</v>
      </c>
      <c r="U304" s="11" t="s">
        <v>383</v>
      </c>
      <c r="V304" s="11" t="s">
        <v>121</v>
      </c>
      <c r="W304" s="10"/>
      <c r="X304" s="12"/>
      <c r="Y304" s="9"/>
      <c r="Z304" s="11"/>
      <c r="AA304" s="11"/>
      <c r="AB304" s="11"/>
      <c r="AC304" s="9"/>
      <c r="AD304" s="10"/>
      <c r="AE304" s="9"/>
      <c r="AF304" s="11"/>
      <c r="AG304" s="11"/>
      <c r="AH304" s="11"/>
      <c r="AI304" s="10" t="n">
        <v>3180</v>
      </c>
      <c r="AJ304" s="9" t="s">
        <v>122</v>
      </c>
      <c r="AK304" s="11" t="s">
        <v>123</v>
      </c>
      <c r="AL304" s="11" t="s">
        <v>124</v>
      </c>
      <c r="AM304" s="11" t="s">
        <v>125</v>
      </c>
    </row>
    <row r="305" customFormat="false" ht="15" hidden="false" customHeight="false" outlineLevel="0" collapsed="false">
      <c r="A305" s="9" t="s">
        <v>378</v>
      </c>
      <c r="B305" s="9" t="s">
        <v>379</v>
      </c>
      <c r="C305" s="9" t="s">
        <v>380</v>
      </c>
      <c r="D305" s="9" t="s">
        <v>381</v>
      </c>
      <c r="E305" s="9" t="n">
        <v>1</v>
      </c>
      <c r="F305" s="9" t="n">
        <v>1</v>
      </c>
      <c r="G305" s="9" t="n">
        <v>2014</v>
      </c>
      <c r="H305" s="10" t="n">
        <v>5137232</v>
      </c>
      <c r="I305" s="11" t="s">
        <v>98</v>
      </c>
      <c r="J305" s="11" t="s">
        <v>99</v>
      </c>
      <c r="K305" s="10" t="n">
        <v>709566</v>
      </c>
      <c r="L305" s="12" t="n">
        <f aca="false">IF(OR($H305="",K305=""),"",K305/$H305)</f>
        <v>0.138122241705261</v>
      </c>
      <c r="M305" s="9" t="s">
        <v>115</v>
      </c>
      <c r="N305" s="11" t="s">
        <v>116</v>
      </c>
      <c r="O305" s="11" t="s">
        <v>382</v>
      </c>
      <c r="P305" s="11" t="s">
        <v>118</v>
      </c>
      <c r="Q305" s="10" t="n">
        <v>483057</v>
      </c>
      <c r="R305" s="12" t="n">
        <f aca="false">IF(OR($H305="",Q305=""),"",Q305/$H305)</f>
        <v>0.094030598579157</v>
      </c>
      <c r="S305" s="9" t="s">
        <v>115</v>
      </c>
      <c r="T305" s="11" t="s">
        <v>119</v>
      </c>
      <c r="U305" s="11" t="s">
        <v>383</v>
      </c>
      <c r="V305" s="11" t="s">
        <v>121</v>
      </c>
      <c r="W305" s="10"/>
      <c r="X305" s="12"/>
      <c r="Y305" s="9"/>
      <c r="Z305" s="11"/>
      <c r="AA305" s="11"/>
      <c r="AB305" s="11"/>
      <c r="AC305" s="9"/>
      <c r="AD305" s="10"/>
      <c r="AE305" s="9"/>
      <c r="AF305" s="11"/>
      <c r="AG305" s="11"/>
      <c r="AH305" s="11"/>
      <c r="AI305" s="10" t="n">
        <v>3720</v>
      </c>
      <c r="AJ305" s="9" t="s">
        <v>122</v>
      </c>
      <c r="AK305" s="11" t="s">
        <v>123</v>
      </c>
      <c r="AL305" s="11" t="s">
        <v>124</v>
      </c>
      <c r="AM305" s="11" t="s">
        <v>125</v>
      </c>
    </row>
    <row r="306" customFormat="false" ht="15" hidden="false" customHeight="false" outlineLevel="0" collapsed="false">
      <c r="A306" s="9" t="s">
        <v>378</v>
      </c>
      <c r="B306" s="9" t="s">
        <v>379</v>
      </c>
      <c r="C306" s="9" t="s">
        <v>380</v>
      </c>
      <c r="D306" s="9" t="s">
        <v>381</v>
      </c>
      <c r="E306" s="9" t="n">
        <v>1</v>
      </c>
      <c r="F306" s="9" t="n">
        <v>1</v>
      </c>
      <c r="G306" s="9" t="n">
        <v>2015</v>
      </c>
      <c r="H306" s="10" t="n">
        <v>5188607</v>
      </c>
      <c r="I306" s="11" t="s">
        <v>98</v>
      </c>
      <c r="J306" s="11" t="s">
        <v>99</v>
      </c>
      <c r="K306" s="10" t="n">
        <v>747423</v>
      </c>
      <c r="L306" s="12" t="n">
        <f aca="false">IF(OR($H306="",K306=""),"",K306/$H306)</f>
        <v>0.144050802074622</v>
      </c>
      <c r="M306" s="9" t="s">
        <v>115</v>
      </c>
      <c r="N306" s="11" t="s">
        <v>116</v>
      </c>
      <c r="O306" s="11" t="s">
        <v>382</v>
      </c>
      <c r="P306" s="11" t="s">
        <v>118</v>
      </c>
      <c r="Q306" s="10" t="n">
        <v>512024</v>
      </c>
      <c r="R306" s="12" t="n">
        <f aca="false">IF(OR($H306="",Q306=""),"",Q306/$H306)</f>
        <v>0.0986823631082485</v>
      </c>
      <c r="S306" s="9" t="s">
        <v>115</v>
      </c>
      <c r="T306" s="11" t="s">
        <v>119</v>
      </c>
      <c r="U306" s="11" t="s">
        <v>383</v>
      </c>
      <c r="V306" s="11" t="s">
        <v>121</v>
      </c>
      <c r="W306" s="10"/>
      <c r="X306" s="12"/>
      <c r="Y306" s="9"/>
      <c r="Z306" s="11"/>
      <c r="AA306" s="11"/>
      <c r="AB306" s="11"/>
      <c r="AC306" s="9"/>
      <c r="AD306" s="10"/>
      <c r="AE306" s="9"/>
      <c r="AF306" s="11"/>
      <c r="AG306" s="11"/>
      <c r="AH306" s="11"/>
      <c r="AI306" s="10" t="n">
        <v>5455</v>
      </c>
      <c r="AJ306" s="9" t="s">
        <v>122</v>
      </c>
      <c r="AK306" s="11" t="s">
        <v>123</v>
      </c>
      <c r="AL306" s="11" t="s">
        <v>124</v>
      </c>
      <c r="AM306" s="11" t="s">
        <v>125</v>
      </c>
    </row>
    <row r="307" customFormat="false" ht="15" hidden="false" customHeight="false" outlineLevel="0" collapsed="false">
      <c r="A307" s="9" t="s">
        <v>378</v>
      </c>
      <c r="B307" s="9" t="s">
        <v>379</v>
      </c>
      <c r="C307" s="9" t="s">
        <v>380</v>
      </c>
      <c r="D307" s="9" t="s">
        <v>381</v>
      </c>
      <c r="E307" s="9" t="n">
        <v>1</v>
      </c>
      <c r="F307" s="9" t="n">
        <v>1</v>
      </c>
      <c r="G307" s="9" t="n">
        <v>2016</v>
      </c>
      <c r="H307" s="10" t="n">
        <v>5234519</v>
      </c>
      <c r="I307" s="11" t="s">
        <v>98</v>
      </c>
      <c r="J307" s="11" t="s">
        <v>99</v>
      </c>
      <c r="K307" s="10" t="n">
        <v>778764</v>
      </c>
      <c r="L307" s="12" t="n">
        <f aca="false">IF(OR($H307="",K307=""),"",K307/$H307)</f>
        <v>0.148774701171206</v>
      </c>
      <c r="M307" s="9" t="s">
        <v>115</v>
      </c>
      <c r="N307" s="11" t="s">
        <v>116</v>
      </c>
      <c r="O307" s="11" t="s">
        <v>382</v>
      </c>
      <c r="P307" s="11" t="s">
        <v>118</v>
      </c>
      <c r="Q307" s="10" t="n">
        <v>538087</v>
      </c>
      <c r="R307" s="12" t="n">
        <f aca="false">IF(OR($H307="",Q307=""),"",Q307/$H307)</f>
        <v>0.102795882487006</v>
      </c>
      <c r="S307" s="9" t="s">
        <v>115</v>
      </c>
      <c r="T307" s="11" t="s">
        <v>119</v>
      </c>
      <c r="U307" s="11" t="s">
        <v>383</v>
      </c>
      <c r="V307" s="11" t="s">
        <v>121</v>
      </c>
      <c r="W307" s="10"/>
      <c r="X307" s="12"/>
      <c r="Y307" s="9"/>
      <c r="Z307" s="11"/>
      <c r="AA307" s="11"/>
      <c r="AB307" s="11"/>
      <c r="AC307" s="9"/>
      <c r="AD307" s="10"/>
      <c r="AE307" s="9"/>
      <c r="AF307" s="11"/>
      <c r="AG307" s="11"/>
      <c r="AH307" s="11"/>
      <c r="AI307" s="10" t="n">
        <v>5330</v>
      </c>
      <c r="AJ307" s="9" t="s">
        <v>122</v>
      </c>
      <c r="AK307" s="11" t="s">
        <v>123</v>
      </c>
      <c r="AL307" s="11" t="s">
        <v>124</v>
      </c>
      <c r="AM307" s="11" t="s">
        <v>125</v>
      </c>
    </row>
    <row r="308" customFormat="false" ht="15" hidden="false" customHeight="false" outlineLevel="0" collapsed="false">
      <c r="A308" s="9" t="s">
        <v>378</v>
      </c>
      <c r="B308" s="9" t="s">
        <v>379</v>
      </c>
      <c r="C308" s="9" t="s">
        <v>380</v>
      </c>
      <c r="D308" s="9" t="s">
        <v>381</v>
      </c>
      <c r="E308" s="9" t="n">
        <v>1</v>
      </c>
      <c r="F308" s="9" t="n">
        <v>1</v>
      </c>
      <c r="G308" s="9" t="n">
        <v>2017</v>
      </c>
      <c r="H308" s="10" t="n">
        <v>5276968</v>
      </c>
      <c r="I308" s="11" t="s">
        <v>98</v>
      </c>
      <c r="J308" s="11" t="s">
        <v>99</v>
      </c>
      <c r="K308" s="10" t="n">
        <v>806618</v>
      </c>
      <c r="L308" s="12" t="n">
        <f aca="false">IF(OR($H308="",K308=""),"",K308/$H308)</f>
        <v>0.152856337199695</v>
      </c>
      <c r="M308" s="9" t="s">
        <v>115</v>
      </c>
      <c r="N308" s="11" t="s">
        <v>116</v>
      </c>
      <c r="O308" s="11" t="s">
        <v>382</v>
      </c>
      <c r="P308" s="11" t="s">
        <v>118</v>
      </c>
      <c r="Q308" s="10" t="n">
        <v>559059</v>
      </c>
      <c r="R308" s="12" t="n">
        <f aca="false">IF(OR($H308="",Q308=""),"",Q308/$H308)</f>
        <v>0.105943223457106</v>
      </c>
      <c r="S308" s="9" t="s">
        <v>115</v>
      </c>
      <c r="T308" s="11" t="s">
        <v>119</v>
      </c>
      <c r="U308" s="11" t="s">
        <v>383</v>
      </c>
      <c r="V308" s="11" t="s">
        <v>121</v>
      </c>
      <c r="W308" s="10"/>
      <c r="X308" s="12"/>
      <c r="Y308" s="9"/>
      <c r="Z308" s="11"/>
      <c r="AA308" s="11"/>
      <c r="AB308" s="11"/>
      <c r="AC308" s="9"/>
      <c r="AD308" s="10"/>
      <c r="AE308" s="9"/>
      <c r="AF308" s="11"/>
      <c r="AG308" s="11"/>
      <c r="AH308" s="11"/>
      <c r="AI308" s="10" t="n">
        <v>3850</v>
      </c>
      <c r="AJ308" s="9" t="s">
        <v>122</v>
      </c>
      <c r="AK308" s="11" t="s">
        <v>123</v>
      </c>
      <c r="AL308" s="11" t="s">
        <v>124</v>
      </c>
      <c r="AM308" s="11" t="s">
        <v>125</v>
      </c>
    </row>
    <row r="309" customFormat="false" ht="15" hidden="false" customHeight="false" outlineLevel="0" collapsed="false">
      <c r="A309" s="9" t="s">
        <v>378</v>
      </c>
      <c r="B309" s="9" t="s">
        <v>379</v>
      </c>
      <c r="C309" s="9" t="s">
        <v>380</v>
      </c>
      <c r="D309" s="9" t="s">
        <v>381</v>
      </c>
      <c r="E309" s="9" t="n">
        <v>1</v>
      </c>
      <c r="F309" s="9" t="n">
        <v>1</v>
      </c>
      <c r="G309" s="9" t="n">
        <v>2018</v>
      </c>
      <c r="H309" s="10" t="n">
        <v>5311916</v>
      </c>
      <c r="I309" s="11" t="s">
        <v>98</v>
      </c>
      <c r="J309" s="11" t="s">
        <v>99</v>
      </c>
      <c r="K309" s="10" t="n">
        <v>829705</v>
      </c>
      <c r="L309" s="12" t="n">
        <f aca="false">IF(OR($H309="",K309=""),"",K309/$H309)</f>
        <v>0.156196935343104</v>
      </c>
      <c r="M309" s="9" t="s">
        <v>115</v>
      </c>
      <c r="N309" s="11" t="s">
        <v>116</v>
      </c>
      <c r="O309" s="11" t="s">
        <v>382</v>
      </c>
      <c r="P309" s="11" t="s">
        <v>118</v>
      </c>
      <c r="Q309" s="10" t="n">
        <v>567594</v>
      </c>
      <c r="R309" s="12" t="n">
        <f aca="false">IF(OR($H309="",Q309=""),"",Q309/$H309)</f>
        <v>0.106852969813529</v>
      </c>
      <c r="S309" s="9" t="s">
        <v>115</v>
      </c>
      <c r="T309" s="11" t="s">
        <v>119</v>
      </c>
      <c r="U309" s="11" t="s">
        <v>383</v>
      </c>
      <c r="V309" s="11" t="s">
        <v>121</v>
      </c>
      <c r="W309" s="10"/>
      <c r="X309" s="12"/>
      <c r="Y309" s="9"/>
      <c r="Z309" s="11"/>
      <c r="AA309" s="11"/>
      <c r="AB309" s="11"/>
      <c r="AC309" s="9"/>
      <c r="AD309" s="10"/>
      <c r="AE309" s="9"/>
      <c r="AF309" s="11"/>
      <c r="AG309" s="11"/>
      <c r="AH309" s="11"/>
      <c r="AI309" s="10" t="n">
        <v>3230</v>
      </c>
      <c r="AJ309" s="9" t="s">
        <v>122</v>
      </c>
      <c r="AK309" s="11" t="s">
        <v>123</v>
      </c>
      <c r="AL309" s="11" t="s">
        <v>124</v>
      </c>
      <c r="AM309" s="11" t="s">
        <v>125</v>
      </c>
    </row>
    <row r="310" customFormat="false" ht="15" hidden="false" customHeight="false" outlineLevel="0" collapsed="false">
      <c r="A310" s="9" t="s">
        <v>378</v>
      </c>
      <c r="B310" s="9" t="s">
        <v>379</v>
      </c>
      <c r="C310" s="9" t="s">
        <v>380</v>
      </c>
      <c r="D310" s="9" t="s">
        <v>381</v>
      </c>
      <c r="E310" s="9" t="n">
        <v>1</v>
      </c>
      <c r="F310" s="9" t="n">
        <v>1</v>
      </c>
      <c r="G310" s="9" t="n">
        <v>2019</v>
      </c>
      <c r="H310" s="10" t="n">
        <v>5347896</v>
      </c>
      <c r="I310" s="11" t="s">
        <v>98</v>
      </c>
      <c r="J310" s="11" t="s">
        <v>99</v>
      </c>
      <c r="K310" s="10" t="n">
        <v>849354</v>
      </c>
      <c r="L310" s="12" t="n">
        <f aca="false">IF(OR($H310="",K310=""),"",K310/$H310)</f>
        <v>0.158820216399122</v>
      </c>
      <c r="M310" s="9" t="s">
        <v>115</v>
      </c>
      <c r="N310" s="11" t="s">
        <v>116</v>
      </c>
      <c r="O310" s="11" t="s">
        <v>382</v>
      </c>
      <c r="P310" s="11" t="s">
        <v>118</v>
      </c>
      <c r="Q310" s="10" t="n">
        <v>584062</v>
      </c>
      <c r="R310" s="12" t="n">
        <f aca="false">IF(OR($H310="",Q310=""),"",Q310/$H310)</f>
        <v>0.109213417762799</v>
      </c>
      <c r="S310" s="9" t="s">
        <v>115</v>
      </c>
      <c r="T310" s="11" t="s">
        <v>119</v>
      </c>
      <c r="U310" s="11" t="s">
        <v>383</v>
      </c>
      <c r="V310" s="11" t="s">
        <v>121</v>
      </c>
      <c r="W310" s="10"/>
      <c r="X310" s="12"/>
      <c r="Y310" s="9"/>
      <c r="Z310" s="11"/>
      <c r="AA310" s="11"/>
      <c r="AB310" s="11"/>
      <c r="AC310" s="9"/>
      <c r="AD310" s="10"/>
      <c r="AE310" s="9"/>
      <c r="AF310" s="11"/>
      <c r="AG310" s="11"/>
      <c r="AH310" s="11"/>
      <c r="AI310" s="10" t="n">
        <v>2915</v>
      </c>
      <c r="AJ310" s="9" t="s">
        <v>122</v>
      </c>
      <c r="AK310" s="11" t="s">
        <v>123</v>
      </c>
      <c r="AL310" s="11" t="s">
        <v>124</v>
      </c>
      <c r="AM310" s="11" t="s">
        <v>125</v>
      </c>
    </row>
    <row r="311" customFormat="false" ht="15" hidden="false" customHeight="false" outlineLevel="0" collapsed="false">
      <c r="A311" s="9" t="s">
        <v>378</v>
      </c>
      <c r="B311" s="9" t="s">
        <v>379</v>
      </c>
      <c r="C311" s="9" t="s">
        <v>380</v>
      </c>
      <c r="D311" s="9" t="s">
        <v>381</v>
      </c>
      <c r="E311" s="9" t="n">
        <v>1</v>
      </c>
      <c r="F311" s="9" t="n">
        <v>1</v>
      </c>
      <c r="G311" s="9" t="n">
        <v>2020</v>
      </c>
      <c r="H311" s="10" t="n">
        <v>5379475</v>
      </c>
      <c r="I311" s="11" t="s">
        <v>98</v>
      </c>
      <c r="J311" s="11" t="s">
        <v>99</v>
      </c>
      <c r="K311" s="10" t="n">
        <v>875977</v>
      </c>
      <c r="L311" s="12" t="n">
        <f aca="false">IF(OR($H311="",K311=""),"",K311/$H311)</f>
        <v>0.162836893934817</v>
      </c>
      <c r="M311" s="9" t="s">
        <v>115</v>
      </c>
      <c r="N311" s="11" t="s">
        <v>116</v>
      </c>
      <c r="O311" s="11" t="s">
        <v>382</v>
      </c>
      <c r="P311" s="11" t="s">
        <v>118</v>
      </c>
      <c r="Q311" s="10" t="n">
        <v>604362</v>
      </c>
      <c r="R311" s="12" t="n">
        <f aca="false">IF(OR($H311="",Q311=""),"",Q311/$H311)</f>
        <v>0.112345907360848</v>
      </c>
      <c r="S311" s="9" t="s">
        <v>115</v>
      </c>
      <c r="T311" s="11" t="s">
        <v>119</v>
      </c>
      <c r="U311" s="11" t="s">
        <v>383</v>
      </c>
      <c r="V311" s="11" t="s">
        <v>121</v>
      </c>
      <c r="W311" s="10"/>
      <c r="X311" s="12"/>
      <c r="Y311" s="9"/>
      <c r="Z311" s="11"/>
      <c r="AA311" s="11"/>
      <c r="AB311" s="11"/>
      <c r="AC311" s="9"/>
      <c r="AD311" s="10"/>
      <c r="AE311" s="9"/>
      <c r="AF311" s="11"/>
      <c r="AG311" s="11"/>
      <c r="AH311" s="11"/>
      <c r="AI311" s="10" t="n">
        <v>1900</v>
      </c>
      <c r="AJ311" s="9" t="s">
        <v>122</v>
      </c>
      <c r="AK311" s="11" t="s">
        <v>123</v>
      </c>
      <c r="AL311" s="11" t="s">
        <v>124</v>
      </c>
      <c r="AM311" s="11" t="s">
        <v>125</v>
      </c>
    </row>
    <row r="312" customFormat="false" ht="15" hidden="false" customHeight="false" outlineLevel="0" collapsed="false">
      <c r="A312" s="9" t="s">
        <v>378</v>
      </c>
      <c r="B312" s="9" t="s">
        <v>379</v>
      </c>
      <c r="C312" s="9" t="s">
        <v>380</v>
      </c>
      <c r="D312" s="9" t="s">
        <v>381</v>
      </c>
      <c r="E312" s="9" t="n">
        <v>1</v>
      </c>
      <c r="F312" s="9" t="n">
        <v>1</v>
      </c>
      <c r="G312" s="9" t="n">
        <v>2021</v>
      </c>
      <c r="H312" s="10" t="n">
        <v>5408320</v>
      </c>
      <c r="I312" s="11" t="s">
        <v>98</v>
      </c>
      <c r="J312" s="11" t="s">
        <v>99</v>
      </c>
      <c r="K312" s="10" t="n">
        <v>878153</v>
      </c>
      <c r="L312" s="12" t="n">
        <f aca="false">IF(OR($H312="",K312=""),"",K312/$H312)</f>
        <v>0.162370754689072</v>
      </c>
      <c r="M312" s="9" t="s">
        <v>115</v>
      </c>
      <c r="N312" s="11" t="s">
        <v>116</v>
      </c>
      <c r="O312" s="11" t="s">
        <v>382</v>
      </c>
      <c r="P312" s="11" t="s">
        <v>118</v>
      </c>
      <c r="Q312" s="10" t="n">
        <v>601525</v>
      </c>
      <c r="R312" s="12" t="n">
        <f aca="false">IF(OR($H312="",Q312=""),"",Q312/$H312)</f>
        <v>0.111222154014555</v>
      </c>
      <c r="S312" s="9" t="s">
        <v>115</v>
      </c>
      <c r="T312" s="11" t="s">
        <v>119</v>
      </c>
      <c r="U312" s="11" t="s">
        <v>383</v>
      </c>
      <c r="V312" s="11" t="s">
        <v>121</v>
      </c>
      <c r="W312" s="10"/>
      <c r="X312" s="12"/>
      <c r="Y312" s="9"/>
      <c r="Z312" s="11"/>
      <c r="AA312" s="11"/>
      <c r="AB312" s="11"/>
      <c r="AC312" s="9"/>
      <c r="AD312" s="10"/>
      <c r="AE312" s="9"/>
      <c r="AF312" s="11"/>
      <c r="AG312" s="11"/>
      <c r="AH312" s="11"/>
      <c r="AI312" s="10" t="n">
        <v>1430</v>
      </c>
      <c r="AJ312" s="9" t="s">
        <v>122</v>
      </c>
      <c r="AK312" s="11" t="s">
        <v>123</v>
      </c>
      <c r="AL312" s="11" t="s">
        <v>124</v>
      </c>
      <c r="AM312" s="11" t="s">
        <v>125</v>
      </c>
    </row>
    <row r="313" customFormat="false" ht="15" hidden="false" customHeight="false" outlineLevel="0" collapsed="false">
      <c r="A313" s="9" t="s">
        <v>378</v>
      </c>
      <c r="B313" s="9" t="s">
        <v>379</v>
      </c>
      <c r="C313" s="9" t="s">
        <v>380</v>
      </c>
      <c r="D313" s="9" t="s">
        <v>381</v>
      </c>
      <c r="E313" s="9" t="n">
        <v>1</v>
      </c>
      <c r="F313" s="9" t="n">
        <v>1</v>
      </c>
      <c r="G313" s="9" t="n">
        <v>2022</v>
      </c>
      <c r="H313" s="10" t="n">
        <v>5457127</v>
      </c>
      <c r="I313" s="11" t="s">
        <v>98</v>
      </c>
      <c r="J313" s="11" t="s">
        <v>99</v>
      </c>
      <c r="K313" s="10" t="n">
        <v>906843</v>
      </c>
      <c r="L313" s="12" t="n">
        <f aca="false">IF(OR($H313="",K313=""),"",K313/$H313)</f>
        <v>0.166175901715317</v>
      </c>
      <c r="M313" s="9" t="s">
        <v>115</v>
      </c>
      <c r="N313" s="11" t="s">
        <v>116</v>
      </c>
      <c r="O313" s="11" t="s">
        <v>382</v>
      </c>
      <c r="P313" s="11" t="s">
        <v>118</v>
      </c>
      <c r="Q313" s="10" t="n">
        <v>585964</v>
      </c>
      <c r="R313" s="12" t="n">
        <f aca="false">IF(OR($H313="",Q313=""),"",Q313/$H313)</f>
        <v>0.107375914102787</v>
      </c>
      <c r="S313" s="9" t="s">
        <v>115</v>
      </c>
      <c r="T313" s="11" t="s">
        <v>119</v>
      </c>
      <c r="U313" s="11" t="s">
        <v>383</v>
      </c>
      <c r="V313" s="11" t="s">
        <v>121</v>
      </c>
      <c r="W313" s="10"/>
      <c r="X313" s="12"/>
      <c r="Y313" s="9"/>
      <c r="Z313" s="11"/>
      <c r="AA313" s="11"/>
      <c r="AB313" s="11"/>
      <c r="AC313" s="9"/>
      <c r="AD313" s="10"/>
      <c r="AE313" s="9"/>
      <c r="AF313" s="11"/>
      <c r="AG313" s="11"/>
      <c r="AH313" s="11"/>
      <c r="AI313" s="10" t="n">
        <v>2305</v>
      </c>
      <c r="AJ313" s="9" t="s">
        <v>122</v>
      </c>
      <c r="AK313" s="11" t="s">
        <v>123</v>
      </c>
      <c r="AL313" s="11" t="s">
        <v>124</v>
      </c>
      <c r="AM313" s="11" t="s">
        <v>125</v>
      </c>
    </row>
    <row r="314" customFormat="false" ht="15" hidden="false" customHeight="false" outlineLevel="0" collapsed="false">
      <c r="A314" s="9" t="s">
        <v>384</v>
      </c>
      <c r="B314" s="9" t="s">
        <v>385</v>
      </c>
      <c r="C314" s="9" t="s">
        <v>386</v>
      </c>
      <c r="D314" s="9" t="s">
        <v>387</v>
      </c>
      <c r="E314" s="9" t="n">
        <v>1</v>
      </c>
      <c r="F314" s="9" t="n">
        <v>1</v>
      </c>
      <c r="G314" s="9" t="n">
        <v>2010</v>
      </c>
      <c r="H314" s="10" t="n">
        <v>96337125</v>
      </c>
      <c r="I314" s="11" t="s">
        <v>98</v>
      </c>
      <c r="J314" s="11" t="s">
        <v>99</v>
      </c>
      <c r="K314" s="10" t="n">
        <v>178147</v>
      </c>
      <c r="L314" s="12" t="n">
        <f aca="false">IF(OR($H314="",K314=""),"",K314/$H314)</f>
        <v>0.00184920403219423</v>
      </c>
      <c r="M314" s="9" t="s">
        <v>100</v>
      </c>
      <c r="N314" s="11" t="s">
        <v>167</v>
      </c>
      <c r="O314" s="11" t="s">
        <v>168</v>
      </c>
      <c r="P314" s="11" t="s">
        <v>174</v>
      </c>
      <c r="Q314" s="10" t="n">
        <v>177368</v>
      </c>
      <c r="R314" s="12" t="n">
        <f aca="false">IF(OR($H314="",Q314=""),"",Q314/$H314)</f>
        <v>0.00184111784527512</v>
      </c>
      <c r="S314" s="9" t="s">
        <v>170</v>
      </c>
      <c r="T314" s="11" t="s">
        <v>388</v>
      </c>
      <c r="U314" s="11" t="s">
        <v>389</v>
      </c>
      <c r="V314" s="11" t="s">
        <v>390</v>
      </c>
      <c r="W314" s="10"/>
      <c r="X314" s="12"/>
      <c r="Y314" s="9"/>
      <c r="Z314" s="11"/>
      <c r="AA314" s="11"/>
      <c r="AB314" s="11"/>
      <c r="AC314" s="9"/>
      <c r="AD314" s="10"/>
      <c r="AE314" s="9"/>
      <c r="AF314" s="11"/>
      <c r="AG314" s="11"/>
      <c r="AH314" s="11"/>
      <c r="AI314" s="10"/>
      <c r="AJ314" s="9"/>
      <c r="AK314" s="11"/>
      <c r="AL314" s="11"/>
      <c r="AM314" s="11"/>
    </row>
    <row r="315" customFormat="false" ht="15" hidden="false" customHeight="false" outlineLevel="0" collapsed="false">
      <c r="A315" s="9" t="s">
        <v>384</v>
      </c>
      <c r="B315" s="9" t="s">
        <v>385</v>
      </c>
      <c r="C315" s="9" t="s">
        <v>386</v>
      </c>
      <c r="D315" s="9" t="s">
        <v>387</v>
      </c>
      <c r="E315" s="9" t="n">
        <v>1</v>
      </c>
      <c r="F315" s="9" t="n">
        <v>1</v>
      </c>
      <c r="G315" s="9" t="n">
        <v>2011</v>
      </c>
      <c r="H315" s="10" t="n">
        <v>98248614</v>
      </c>
      <c r="I315" s="11" t="s">
        <v>98</v>
      </c>
      <c r="J315" s="11" t="s">
        <v>99</v>
      </c>
      <c r="K315" s="10"/>
      <c r="L315" s="12"/>
      <c r="M315" s="9"/>
      <c r="N315" s="11"/>
      <c r="O315" s="11"/>
      <c r="P315" s="11"/>
      <c r="Q315" s="10"/>
      <c r="R315" s="12"/>
      <c r="S315" s="9"/>
      <c r="T315" s="11"/>
      <c r="U315" s="11"/>
      <c r="V315" s="11"/>
      <c r="W315" s="10"/>
      <c r="X315" s="12"/>
      <c r="Y315" s="9"/>
      <c r="Z315" s="11"/>
      <c r="AA315" s="11"/>
      <c r="AB315" s="11"/>
      <c r="AC315" s="9"/>
      <c r="AD315" s="10"/>
      <c r="AE315" s="9"/>
      <c r="AF315" s="11"/>
      <c r="AG315" s="11"/>
      <c r="AH315" s="11"/>
      <c r="AI315" s="10"/>
      <c r="AJ315" s="9"/>
      <c r="AK315" s="11"/>
      <c r="AL315" s="11"/>
      <c r="AM315" s="11"/>
    </row>
    <row r="316" customFormat="false" ht="15" hidden="false" customHeight="false" outlineLevel="0" collapsed="false">
      <c r="A316" s="9" t="s">
        <v>384</v>
      </c>
      <c r="B316" s="9" t="s">
        <v>385</v>
      </c>
      <c r="C316" s="9" t="s">
        <v>386</v>
      </c>
      <c r="D316" s="9" t="s">
        <v>387</v>
      </c>
      <c r="E316" s="9" t="n">
        <v>1</v>
      </c>
      <c r="F316" s="9" t="n">
        <v>1</v>
      </c>
      <c r="G316" s="9" t="n">
        <v>2012</v>
      </c>
      <c r="H316" s="10" t="n">
        <v>100175512</v>
      </c>
      <c r="I316" s="11" t="s">
        <v>98</v>
      </c>
      <c r="J316" s="11" t="s">
        <v>99</v>
      </c>
      <c r="K316" s="10"/>
      <c r="L316" s="12"/>
      <c r="M316" s="9"/>
      <c r="N316" s="11"/>
      <c r="O316" s="11"/>
      <c r="P316" s="11"/>
      <c r="Q316" s="10"/>
      <c r="R316" s="12"/>
      <c r="S316" s="9"/>
      <c r="T316" s="11"/>
      <c r="U316" s="11"/>
      <c r="V316" s="11"/>
      <c r="W316" s="10"/>
      <c r="X316" s="12"/>
      <c r="Y316" s="9"/>
      <c r="Z316" s="11"/>
      <c r="AA316" s="11"/>
      <c r="AB316" s="11"/>
      <c r="AC316" s="9"/>
      <c r="AD316" s="10"/>
      <c r="AE316" s="9"/>
      <c r="AF316" s="11"/>
      <c r="AG316" s="11"/>
      <c r="AH316" s="11"/>
      <c r="AI316" s="10"/>
      <c r="AJ316" s="9"/>
      <c r="AK316" s="11"/>
      <c r="AL316" s="11"/>
      <c r="AM316" s="11"/>
    </row>
    <row r="317" customFormat="false" ht="15" hidden="false" customHeight="false" outlineLevel="0" collapsed="false">
      <c r="A317" s="9" t="s">
        <v>384</v>
      </c>
      <c r="B317" s="9" t="s">
        <v>385</v>
      </c>
      <c r="C317" s="9" t="s">
        <v>386</v>
      </c>
      <c r="D317" s="9" t="s">
        <v>387</v>
      </c>
      <c r="E317" s="9" t="n">
        <v>1</v>
      </c>
      <c r="F317" s="9" t="n">
        <v>1</v>
      </c>
      <c r="G317" s="9" t="n">
        <v>2013</v>
      </c>
      <c r="H317" s="10" t="n">
        <v>102076336</v>
      </c>
      <c r="I317" s="11" t="s">
        <v>98</v>
      </c>
      <c r="J317" s="11" t="s">
        <v>99</v>
      </c>
      <c r="K317" s="10"/>
      <c r="L317" s="12"/>
      <c r="M317" s="9"/>
      <c r="N317" s="11"/>
      <c r="O317" s="11"/>
      <c r="P317" s="11"/>
      <c r="Q317" s="10"/>
      <c r="R317" s="12"/>
      <c r="S317" s="9"/>
      <c r="T317" s="11"/>
      <c r="U317" s="11"/>
      <c r="V317" s="11"/>
      <c r="W317" s="10"/>
      <c r="X317" s="12"/>
      <c r="Y317" s="9"/>
      <c r="Z317" s="11"/>
      <c r="AA317" s="11"/>
      <c r="AB317" s="11"/>
      <c r="AC317" s="9"/>
      <c r="AD317" s="10"/>
      <c r="AE317" s="9"/>
      <c r="AF317" s="11"/>
      <c r="AG317" s="11"/>
      <c r="AH317" s="11"/>
      <c r="AI317" s="10"/>
      <c r="AJ317" s="9"/>
      <c r="AK317" s="11"/>
      <c r="AL317" s="11"/>
      <c r="AM317" s="11"/>
    </row>
    <row r="318" customFormat="false" ht="15" hidden="false" customHeight="false" outlineLevel="0" collapsed="false">
      <c r="A318" s="9" t="s">
        <v>384</v>
      </c>
      <c r="B318" s="9" t="s">
        <v>385</v>
      </c>
      <c r="C318" s="9" t="s">
        <v>386</v>
      </c>
      <c r="D318" s="9" t="s">
        <v>387</v>
      </c>
      <c r="E318" s="9" t="n">
        <v>1</v>
      </c>
      <c r="F318" s="9" t="n">
        <v>1</v>
      </c>
      <c r="G318" s="9" t="n">
        <v>2014</v>
      </c>
      <c r="H318" s="10" t="n">
        <v>103767130</v>
      </c>
      <c r="I318" s="11" t="s">
        <v>98</v>
      </c>
      <c r="J318" s="11" t="s">
        <v>99</v>
      </c>
      <c r="K318" s="10"/>
      <c r="L318" s="12"/>
      <c r="M318" s="9"/>
      <c r="N318" s="11"/>
      <c r="O318" s="11"/>
      <c r="P318" s="11"/>
      <c r="Q318" s="10"/>
      <c r="R318" s="12"/>
      <c r="S318" s="9"/>
      <c r="T318" s="11"/>
      <c r="U318" s="11"/>
      <c r="V318" s="11"/>
      <c r="W318" s="10"/>
      <c r="X318" s="12"/>
      <c r="Y318" s="9"/>
      <c r="Z318" s="11"/>
      <c r="AA318" s="11"/>
      <c r="AB318" s="11"/>
      <c r="AC318" s="9"/>
      <c r="AD318" s="10"/>
      <c r="AE318" s="9"/>
      <c r="AF318" s="11"/>
      <c r="AG318" s="11"/>
      <c r="AH318" s="11"/>
      <c r="AI318" s="10"/>
      <c r="AJ318" s="9"/>
      <c r="AK318" s="11"/>
      <c r="AL318" s="11"/>
      <c r="AM318" s="11"/>
    </row>
    <row r="319" customFormat="false" ht="15" hidden="false" customHeight="false" outlineLevel="0" collapsed="false">
      <c r="A319" s="9" t="s">
        <v>384</v>
      </c>
      <c r="B319" s="9" t="s">
        <v>385</v>
      </c>
      <c r="C319" s="9" t="s">
        <v>386</v>
      </c>
      <c r="D319" s="9" t="s">
        <v>387</v>
      </c>
      <c r="E319" s="9" t="n">
        <v>1</v>
      </c>
      <c r="F319" s="9" t="n">
        <v>1</v>
      </c>
      <c r="G319" s="9" t="n">
        <v>2015</v>
      </c>
      <c r="H319" s="10" t="n">
        <v>105312992</v>
      </c>
      <c r="I319" s="11" t="s">
        <v>98</v>
      </c>
      <c r="J319" s="11" t="s">
        <v>99</v>
      </c>
      <c r="K319" s="10" t="n">
        <v>131897</v>
      </c>
      <c r="L319" s="12" t="n">
        <f aca="false">IF(OR($H319="",K319=""),"",K319/$H319)</f>
        <v>0.00125242857025656</v>
      </c>
      <c r="M319" s="9" t="s">
        <v>100</v>
      </c>
      <c r="N319" s="11" t="s">
        <v>167</v>
      </c>
      <c r="O319" s="11" t="s">
        <v>168</v>
      </c>
      <c r="P319" s="11" t="s">
        <v>174</v>
      </c>
      <c r="Q319" s="10"/>
      <c r="R319" s="12"/>
      <c r="S319" s="9"/>
      <c r="T319" s="11"/>
      <c r="U319" s="11"/>
      <c r="V319" s="11"/>
      <c r="W319" s="10"/>
      <c r="X319" s="12"/>
      <c r="Y319" s="9"/>
      <c r="Z319" s="11"/>
      <c r="AA319" s="11"/>
      <c r="AB319" s="11"/>
      <c r="AC319" s="9"/>
      <c r="AD319" s="10"/>
      <c r="AE319" s="9"/>
      <c r="AF319" s="11"/>
      <c r="AG319" s="11"/>
      <c r="AH319" s="11"/>
      <c r="AI319" s="10"/>
      <c r="AJ319" s="9"/>
      <c r="AK319" s="11"/>
      <c r="AL319" s="11"/>
      <c r="AM319" s="11"/>
    </row>
    <row r="320" customFormat="false" ht="15" hidden="false" customHeight="false" outlineLevel="0" collapsed="false">
      <c r="A320" s="9" t="s">
        <v>384</v>
      </c>
      <c r="B320" s="9" t="s">
        <v>385</v>
      </c>
      <c r="C320" s="9" t="s">
        <v>386</v>
      </c>
      <c r="D320" s="9" t="s">
        <v>387</v>
      </c>
      <c r="E320" s="9" t="n">
        <v>1</v>
      </c>
      <c r="F320" s="9" t="n">
        <v>1</v>
      </c>
      <c r="G320" s="9" t="n">
        <v>2016</v>
      </c>
      <c r="H320" s="10" t="n">
        <v>106735719</v>
      </c>
      <c r="I320" s="11" t="s">
        <v>98</v>
      </c>
      <c r="J320" s="11" t="s">
        <v>99</v>
      </c>
      <c r="K320" s="10"/>
      <c r="L320" s="12"/>
      <c r="M320" s="9"/>
      <c r="N320" s="11"/>
      <c r="O320" s="11"/>
      <c r="P320" s="11"/>
      <c r="Q320" s="10"/>
      <c r="R320" s="12"/>
      <c r="S320" s="9"/>
      <c r="T320" s="11"/>
      <c r="U320" s="11"/>
      <c r="V320" s="11"/>
      <c r="W320" s="10"/>
      <c r="X320" s="12"/>
      <c r="Y320" s="9"/>
      <c r="Z320" s="11"/>
      <c r="AA320" s="11"/>
      <c r="AB320" s="11"/>
      <c r="AC320" s="9"/>
      <c r="AD320" s="10"/>
      <c r="AE320" s="9"/>
      <c r="AF320" s="11"/>
      <c r="AG320" s="11"/>
      <c r="AH320" s="11"/>
      <c r="AI320" s="10"/>
      <c r="AJ320" s="9"/>
      <c r="AK320" s="11"/>
      <c r="AL320" s="11"/>
      <c r="AM320" s="11"/>
    </row>
    <row r="321" customFormat="false" ht="15" hidden="false" customHeight="false" outlineLevel="0" collapsed="false">
      <c r="A321" s="9" t="s">
        <v>384</v>
      </c>
      <c r="B321" s="9" t="s">
        <v>385</v>
      </c>
      <c r="C321" s="9" t="s">
        <v>386</v>
      </c>
      <c r="D321" s="9" t="s">
        <v>387</v>
      </c>
      <c r="E321" s="9" t="n">
        <v>1</v>
      </c>
      <c r="F321" s="9" t="n">
        <v>1</v>
      </c>
      <c r="G321" s="9" t="n">
        <v>2017</v>
      </c>
      <c r="H321" s="10" t="n">
        <v>108119693</v>
      </c>
      <c r="I321" s="11" t="s">
        <v>98</v>
      </c>
      <c r="J321" s="11" t="s">
        <v>99</v>
      </c>
      <c r="K321" s="10"/>
      <c r="L321" s="12"/>
      <c r="M321" s="9"/>
      <c r="N321" s="11"/>
      <c r="O321" s="11"/>
      <c r="P321" s="11"/>
      <c r="Q321" s="10"/>
      <c r="R321" s="12"/>
      <c r="S321" s="9"/>
      <c r="T321" s="11"/>
      <c r="U321" s="11"/>
      <c r="V321" s="11"/>
      <c r="W321" s="10"/>
      <c r="X321" s="12"/>
      <c r="Y321" s="9"/>
      <c r="Z321" s="11"/>
      <c r="AA321" s="11"/>
      <c r="AB321" s="11"/>
      <c r="AC321" s="9"/>
      <c r="AD321" s="10"/>
      <c r="AE321" s="9"/>
      <c r="AF321" s="11"/>
      <c r="AG321" s="11"/>
      <c r="AH321" s="11"/>
      <c r="AI321" s="10"/>
      <c r="AJ321" s="9"/>
      <c r="AK321" s="11"/>
      <c r="AL321" s="11"/>
      <c r="AM321" s="11"/>
    </row>
    <row r="322" customFormat="false" ht="15" hidden="false" customHeight="false" outlineLevel="0" collapsed="false">
      <c r="A322" s="9" t="s">
        <v>384</v>
      </c>
      <c r="B322" s="9" t="s">
        <v>385</v>
      </c>
      <c r="C322" s="9" t="s">
        <v>386</v>
      </c>
      <c r="D322" s="9" t="s">
        <v>387</v>
      </c>
      <c r="E322" s="9" t="n">
        <v>1</v>
      </c>
      <c r="F322" s="9" t="n">
        <v>1</v>
      </c>
      <c r="G322" s="9" t="n">
        <v>2018</v>
      </c>
      <c r="H322" s="10" t="n">
        <v>109465287</v>
      </c>
      <c r="I322" s="11" t="s">
        <v>98</v>
      </c>
      <c r="J322" s="11" t="s">
        <v>99</v>
      </c>
      <c r="K322" s="10"/>
      <c r="L322" s="12"/>
      <c r="M322" s="9"/>
      <c r="N322" s="11"/>
      <c r="O322" s="11"/>
      <c r="P322" s="11"/>
      <c r="Q322" s="10"/>
      <c r="R322" s="12"/>
      <c r="S322" s="9"/>
      <c r="T322" s="11"/>
      <c r="U322" s="11"/>
      <c r="V322" s="11"/>
      <c r="W322" s="10"/>
      <c r="X322" s="12"/>
      <c r="Y322" s="9"/>
      <c r="Z322" s="11"/>
      <c r="AA322" s="11"/>
      <c r="AB322" s="11"/>
      <c r="AC322" s="9"/>
      <c r="AD322" s="10"/>
      <c r="AE322" s="9"/>
      <c r="AF322" s="11"/>
      <c r="AG322" s="11"/>
      <c r="AH322" s="11"/>
      <c r="AI322" s="10"/>
      <c r="AJ322" s="9"/>
      <c r="AK322" s="11"/>
      <c r="AL322" s="11"/>
      <c r="AM322" s="11"/>
    </row>
    <row r="323" customFormat="false" ht="15" hidden="false" customHeight="false" outlineLevel="0" collapsed="false">
      <c r="A323" s="9" t="s">
        <v>384</v>
      </c>
      <c r="B323" s="9" t="s">
        <v>385</v>
      </c>
      <c r="C323" s="9" t="s">
        <v>386</v>
      </c>
      <c r="D323" s="9" t="s">
        <v>387</v>
      </c>
      <c r="E323" s="9" t="n">
        <v>1</v>
      </c>
      <c r="F323" s="9" t="n">
        <v>1</v>
      </c>
      <c r="G323" s="9" t="n">
        <v>2019</v>
      </c>
      <c r="H323" s="10" t="n">
        <v>110804683</v>
      </c>
      <c r="I323" s="11" t="s">
        <v>98</v>
      </c>
      <c r="J323" s="11" t="s">
        <v>99</v>
      </c>
      <c r="K323" s="10"/>
      <c r="L323" s="12"/>
      <c r="M323" s="9"/>
      <c r="N323" s="11"/>
      <c r="O323" s="11"/>
      <c r="P323" s="11"/>
      <c r="Q323" s="10"/>
      <c r="R323" s="12"/>
      <c r="S323" s="9"/>
      <c r="T323" s="11"/>
      <c r="U323" s="11"/>
      <c r="V323" s="11"/>
      <c r="W323" s="10"/>
      <c r="X323" s="12"/>
      <c r="Y323" s="9"/>
      <c r="Z323" s="11"/>
      <c r="AA323" s="11"/>
      <c r="AB323" s="11"/>
      <c r="AC323" s="9"/>
      <c r="AD323" s="10"/>
      <c r="AE323" s="9"/>
      <c r="AF323" s="11"/>
      <c r="AG323" s="11"/>
      <c r="AH323" s="11"/>
      <c r="AI323" s="10"/>
      <c r="AJ323" s="9"/>
      <c r="AK323" s="11"/>
      <c r="AL323" s="11"/>
      <c r="AM323" s="11"/>
    </row>
    <row r="324" customFormat="false" ht="15" hidden="false" customHeight="false" outlineLevel="0" collapsed="false">
      <c r="A324" s="9" t="s">
        <v>384</v>
      </c>
      <c r="B324" s="9" t="s">
        <v>385</v>
      </c>
      <c r="C324" s="9" t="s">
        <v>386</v>
      </c>
      <c r="D324" s="9" t="s">
        <v>387</v>
      </c>
      <c r="E324" s="9" t="n">
        <v>1</v>
      </c>
      <c r="F324" s="9" t="n">
        <v>1</v>
      </c>
      <c r="G324" s="9" t="n">
        <v>2020</v>
      </c>
      <c r="H324" s="10" t="n">
        <v>112081264</v>
      </c>
      <c r="I324" s="11" t="s">
        <v>98</v>
      </c>
      <c r="J324" s="11" t="s">
        <v>99</v>
      </c>
      <c r="K324" s="10" t="n">
        <v>87212</v>
      </c>
      <c r="L324" s="12" t="n">
        <f aca="false">IF(OR($H324="",K324=""),"",K324/$H324)</f>
        <v>0.000778113994146247</v>
      </c>
      <c r="M324" s="9" t="s">
        <v>100</v>
      </c>
      <c r="N324" s="11" t="s">
        <v>167</v>
      </c>
      <c r="O324" s="11" t="s">
        <v>168</v>
      </c>
      <c r="P324" s="11" t="s">
        <v>174</v>
      </c>
      <c r="Q324" s="10" t="n">
        <v>78396</v>
      </c>
      <c r="R324" s="12" t="n">
        <f aca="false">IF(OR($H324="",Q324=""),"",Q324/$H324)</f>
        <v>0.000699456779859299</v>
      </c>
      <c r="S324" s="9" t="s">
        <v>170</v>
      </c>
      <c r="T324" s="11" t="s">
        <v>391</v>
      </c>
      <c r="U324" s="11" t="s">
        <v>392</v>
      </c>
      <c r="V324" s="11" t="s">
        <v>393</v>
      </c>
      <c r="W324" s="10"/>
      <c r="X324" s="12"/>
      <c r="Y324" s="9"/>
      <c r="Z324" s="11"/>
      <c r="AA324" s="11"/>
      <c r="AB324" s="11"/>
      <c r="AC324" s="9"/>
      <c r="AD324" s="10"/>
      <c r="AE324" s="9"/>
      <c r="AF324" s="11"/>
      <c r="AG324" s="11"/>
      <c r="AH324" s="11"/>
      <c r="AI324" s="10"/>
      <c r="AJ324" s="9"/>
      <c r="AK324" s="11"/>
      <c r="AL324" s="11"/>
      <c r="AM324" s="11"/>
    </row>
    <row r="325" customFormat="false" ht="15" hidden="false" customHeight="false" outlineLevel="0" collapsed="false">
      <c r="A325" s="9" t="s">
        <v>384</v>
      </c>
      <c r="B325" s="9" t="s">
        <v>385</v>
      </c>
      <c r="C325" s="9" t="s">
        <v>386</v>
      </c>
      <c r="D325" s="9" t="s">
        <v>387</v>
      </c>
      <c r="E325" s="9" t="n">
        <v>1</v>
      </c>
      <c r="F325" s="9" t="n">
        <v>1</v>
      </c>
      <c r="G325" s="9" t="n">
        <v>2021</v>
      </c>
      <c r="H325" s="10" t="n">
        <v>113100950</v>
      </c>
      <c r="I325" s="11" t="s">
        <v>98</v>
      </c>
      <c r="J325" s="11" t="s">
        <v>99</v>
      </c>
      <c r="K325" s="10"/>
      <c r="L325" s="12"/>
      <c r="M325" s="9"/>
      <c r="N325" s="11"/>
      <c r="O325" s="11"/>
      <c r="P325" s="11"/>
      <c r="Q325" s="10"/>
      <c r="R325" s="12"/>
      <c r="S325" s="9"/>
      <c r="T325" s="11"/>
      <c r="U325" s="11"/>
      <c r="V325" s="11"/>
      <c r="W325" s="10"/>
      <c r="X325" s="12"/>
      <c r="Y325" s="9"/>
      <c r="Z325" s="11"/>
      <c r="AA325" s="11"/>
      <c r="AB325" s="11"/>
      <c r="AC325" s="9"/>
      <c r="AD325" s="10"/>
      <c r="AE325" s="9"/>
      <c r="AF325" s="11"/>
      <c r="AG325" s="11"/>
      <c r="AH325" s="11"/>
      <c r="AI325" s="10"/>
      <c r="AJ325" s="9"/>
      <c r="AK325" s="11"/>
      <c r="AL325" s="11"/>
      <c r="AM325" s="11"/>
    </row>
    <row r="326" customFormat="false" ht="15" hidden="false" customHeight="false" outlineLevel="0" collapsed="false">
      <c r="A326" s="9" t="s">
        <v>384</v>
      </c>
      <c r="B326" s="9" t="s">
        <v>385</v>
      </c>
      <c r="C326" s="9" t="s">
        <v>386</v>
      </c>
      <c r="D326" s="9" t="s">
        <v>387</v>
      </c>
      <c r="E326" s="9" t="n">
        <v>1</v>
      </c>
      <c r="F326" s="9" t="n">
        <v>1</v>
      </c>
      <c r="G326" s="9" t="n">
        <v>2022</v>
      </c>
      <c r="H326" s="10" t="n">
        <v>113964338</v>
      </c>
      <c r="I326" s="11" t="s">
        <v>98</v>
      </c>
      <c r="J326" s="11" t="s">
        <v>99</v>
      </c>
      <c r="K326" s="10"/>
      <c r="L326" s="12"/>
      <c r="M326" s="9"/>
      <c r="N326" s="11"/>
      <c r="O326" s="11"/>
      <c r="P326" s="11"/>
      <c r="Q326" s="10"/>
      <c r="R326" s="12"/>
      <c r="S326" s="9"/>
      <c r="T326" s="11"/>
      <c r="U326" s="11"/>
      <c r="V326" s="11"/>
      <c r="W326" s="10"/>
      <c r="X326" s="12"/>
      <c r="Y326" s="9"/>
      <c r="Z326" s="11"/>
      <c r="AA326" s="11"/>
      <c r="AB326" s="11"/>
      <c r="AC326" s="9"/>
      <c r="AD326" s="10"/>
      <c r="AE326" s="9"/>
      <c r="AF326" s="11"/>
      <c r="AG326" s="11"/>
      <c r="AH326" s="11"/>
      <c r="AI326" s="10"/>
      <c r="AJ326" s="9"/>
      <c r="AK326" s="11"/>
      <c r="AL326" s="11"/>
      <c r="AM326" s="11"/>
    </row>
    <row r="327" customFormat="false" ht="15" hidden="false" customHeight="false" outlineLevel="0" collapsed="false">
      <c r="A327" s="9" t="s">
        <v>394</v>
      </c>
      <c r="B327" s="9" t="s">
        <v>395</v>
      </c>
      <c r="C327" s="9" t="s">
        <v>396</v>
      </c>
      <c r="D327" s="9" t="s">
        <v>397</v>
      </c>
      <c r="E327" s="9" t="n">
        <v>1</v>
      </c>
      <c r="F327" s="9" t="n">
        <v>1</v>
      </c>
      <c r="G327" s="9" t="n">
        <v>2010</v>
      </c>
      <c r="H327" s="10" t="n">
        <v>38042794</v>
      </c>
      <c r="I327" s="11" t="s">
        <v>98</v>
      </c>
      <c r="J327" s="11" t="s">
        <v>99</v>
      </c>
      <c r="K327" s="10" t="n">
        <v>642417</v>
      </c>
      <c r="L327" s="12" t="n">
        <f aca="false">IF(OR($H327="",K327=""),"",K327/$H327)</f>
        <v>0.0168866934431788</v>
      </c>
      <c r="M327" s="9" t="s">
        <v>115</v>
      </c>
      <c r="N327" s="11" t="s">
        <v>116</v>
      </c>
      <c r="O327" s="11" t="s">
        <v>398</v>
      </c>
      <c r="P327" s="11" t="s">
        <v>118</v>
      </c>
      <c r="Q327" s="10" t="n">
        <v>75210</v>
      </c>
      <c r="R327" s="12" t="n">
        <f aca="false">IF(OR($H327="",Q327=""),"",Q327/$H327)</f>
        <v>0.00197698413002999</v>
      </c>
      <c r="S327" s="9" t="s">
        <v>115</v>
      </c>
      <c r="T327" s="11" t="s">
        <v>119</v>
      </c>
      <c r="U327" s="11" t="s">
        <v>399</v>
      </c>
      <c r="V327" s="11" t="s">
        <v>121</v>
      </c>
      <c r="W327" s="10"/>
      <c r="X327" s="12"/>
      <c r="Y327" s="9"/>
      <c r="Z327" s="11"/>
      <c r="AA327" s="11"/>
      <c r="AB327" s="11"/>
      <c r="AC327" s="9"/>
      <c r="AD327" s="10"/>
      <c r="AE327" s="9"/>
      <c r="AF327" s="11"/>
      <c r="AG327" s="11"/>
      <c r="AH327" s="11"/>
      <c r="AI327" s="10" t="n">
        <v>4005</v>
      </c>
      <c r="AJ327" s="9" t="s">
        <v>122</v>
      </c>
      <c r="AK327" s="11" t="s">
        <v>123</v>
      </c>
      <c r="AL327" s="11" t="s">
        <v>124</v>
      </c>
      <c r="AM327" s="11" t="s">
        <v>125</v>
      </c>
    </row>
    <row r="328" customFormat="false" ht="15" hidden="false" customHeight="false" outlineLevel="0" collapsed="false">
      <c r="A328" s="9" t="s">
        <v>394</v>
      </c>
      <c r="B328" s="9" t="s">
        <v>395</v>
      </c>
      <c r="C328" s="9" t="s">
        <v>396</v>
      </c>
      <c r="D328" s="9" t="s">
        <v>397</v>
      </c>
      <c r="E328" s="9" t="n">
        <v>1</v>
      </c>
      <c r="F328" s="9" t="n">
        <v>1</v>
      </c>
      <c r="G328" s="9" t="n">
        <v>2011</v>
      </c>
      <c r="H328" s="10" t="n">
        <v>38063255</v>
      </c>
      <c r="I328" s="11" t="s">
        <v>98</v>
      </c>
      <c r="J328" s="11" t="s">
        <v>99</v>
      </c>
      <c r="K328" s="10" t="n">
        <v>637408</v>
      </c>
      <c r="L328" s="12" t="n">
        <f aca="false">IF(OR($H328="",K328=""),"",K328/$H328)</f>
        <v>0.0167460192251031</v>
      </c>
      <c r="M328" s="9" t="s">
        <v>115</v>
      </c>
      <c r="N328" s="11" t="s">
        <v>116</v>
      </c>
      <c r="O328" s="11" t="s">
        <v>398</v>
      </c>
      <c r="P328" s="11" t="s">
        <v>118</v>
      </c>
      <c r="Q328" s="10" t="n">
        <v>79338</v>
      </c>
      <c r="R328" s="12" t="n">
        <f aca="false">IF(OR($H328="",Q328=""),"",Q328/$H328)</f>
        <v>0.00208437244791598</v>
      </c>
      <c r="S328" s="9" t="s">
        <v>115</v>
      </c>
      <c r="T328" s="11" t="s">
        <v>119</v>
      </c>
      <c r="U328" s="11" t="s">
        <v>399</v>
      </c>
      <c r="V328" s="11" t="s">
        <v>121</v>
      </c>
      <c r="W328" s="10"/>
      <c r="X328" s="12"/>
      <c r="Y328" s="9"/>
      <c r="Z328" s="11"/>
      <c r="AA328" s="11"/>
      <c r="AB328" s="11"/>
      <c r="AC328" s="9"/>
      <c r="AD328" s="10"/>
      <c r="AE328" s="9"/>
      <c r="AF328" s="11"/>
      <c r="AG328" s="11"/>
      <c r="AH328" s="11"/>
      <c r="AI328" s="10" t="n">
        <v>6875</v>
      </c>
      <c r="AJ328" s="9" t="s">
        <v>122</v>
      </c>
      <c r="AK328" s="11" t="s">
        <v>123</v>
      </c>
      <c r="AL328" s="11" t="s">
        <v>124</v>
      </c>
      <c r="AM328" s="11" t="s">
        <v>125</v>
      </c>
    </row>
    <row r="329" customFormat="false" ht="15" hidden="false" customHeight="false" outlineLevel="0" collapsed="false">
      <c r="A329" s="9" t="s">
        <v>394</v>
      </c>
      <c r="B329" s="9" t="s">
        <v>395</v>
      </c>
      <c r="C329" s="9" t="s">
        <v>396</v>
      </c>
      <c r="D329" s="9" t="s">
        <v>397</v>
      </c>
      <c r="E329" s="9" t="n">
        <v>1</v>
      </c>
      <c r="F329" s="9" t="n">
        <v>1</v>
      </c>
      <c r="G329" s="9" t="n">
        <v>2012</v>
      </c>
      <c r="H329" s="10" t="n">
        <v>38063164</v>
      </c>
      <c r="I329" s="11" t="s">
        <v>98</v>
      </c>
      <c r="J329" s="11" t="s">
        <v>99</v>
      </c>
      <c r="K329" s="10" t="n">
        <v>630478</v>
      </c>
      <c r="L329" s="12" t="n">
        <f aca="false">IF(OR($H329="",K329=""),"",K329/$H329)</f>
        <v>0.0165639934714833</v>
      </c>
      <c r="M329" s="9" t="s">
        <v>115</v>
      </c>
      <c r="N329" s="11" t="s">
        <v>116</v>
      </c>
      <c r="O329" s="11" t="s">
        <v>398</v>
      </c>
      <c r="P329" s="11" t="s">
        <v>118</v>
      </c>
      <c r="Q329" s="10" t="n">
        <v>85829</v>
      </c>
      <c r="R329" s="12" t="n">
        <f aca="false">IF(OR($H329="",Q329=""),"",Q329/$H329)</f>
        <v>0.00225490975999788</v>
      </c>
      <c r="S329" s="9" t="s">
        <v>115</v>
      </c>
      <c r="T329" s="11" t="s">
        <v>119</v>
      </c>
      <c r="U329" s="11" t="s">
        <v>399</v>
      </c>
      <c r="V329" s="11" t="s">
        <v>121</v>
      </c>
      <c r="W329" s="10"/>
      <c r="X329" s="12"/>
      <c r="Y329" s="9"/>
      <c r="Z329" s="11"/>
      <c r="AA329" s="11"/>
      <c r="AB329" s="11"/>
      <c r="AC329" s="9"/>
      <c r="AD329" s="10"/>
      <c r="AE329" s="9"/>
      <c r="AF329" s="11"/>
      <c r="AG329" s="11"/>
      <c r="AH329" s="11"/>
      <c r="AI329" s="10" t="n">
        <v>8140</v>
      </c>
      <c r="AJ329" s="9" t="s">
        <v>122</v>
      </c>
      <c r="AK329" s="11" t="s">
        <v>123</v>
      </c>
      <c r="AL329" s="11" t="s">
        <v>124</v>
      </c>
      <c r="AM329" s="11" t="s">
        <v>125</v>
      </c>
    </row>
    <row r="330" customFormat="false" ht="15" hidden="false" customHeight="false" outlineLevel="0" collapsed="false">
      <c r="A330" s="9" t="s">
        <v>394</v>
      </c>
      <c r="B330" s="9" t="s">
        <v>395</v>
      </c>
      <c r="C330" s="9" t="s">
        <v>396</v>
      </c>
      <c r="D330" s="9" t="s">
        <v>397</v>
      </c>
      <c r="E330" s="9" t="n">
        <v>1</v>
      </c>
      <c r="F330" s="9" t="n">
        <v>1</v>
      </c>
      <c r="G330" s="9" t="n">
        <v>2013</v>
      </c>
      <c r="H330" s="10" t="n">
        <v>38040196</v>
      </c>
      <c r="I330" s="11" t="s">
        <v>98</v>
      </c>
      <c r="J330" s="11" t="s">
        <v>99</v>
      </c>
      <c r="K330" s="10" t="n">
        <v>625363</v>
      </c>
      <c r="L330" s="12" t="n">
        <f aca="false">IF(OR($H330="",K330=""),"",K330/$H330)</f>
        <v>0.0164395314892699</v>
      </c>
      <c r="M330" s="9" t="s">
        <v>115</v>
      </c>
      <c r="N330" s="11" t="s">
        <v>116</v>
      </c>
      <c r="O330" s="11" t="s">
        <v>398</v>
      </c>
      <c r="P330" s="11" t="s">
        <v>118</v>
      </c>
      <c r="Q330" s="10" t="n">
        <v>93265</v>
      </c>
      <c r="R330" s="12" t="n">
        <f aca="false">IF(OR($H330="",Q330=""),"",Q330/$H330)</f>
        <v>0.00245174867132651</v>
      </c>
      <c r="S330" s="9" t="s">
        <v>115</v>
      </c>
      <c r="T330" s="11" t="s">
        <v>119</v>
      </c>
      <c r="U330" s="11" t="s">
        <v>399</v>
      </c>
      <c r="V330" s="11" t="s">
        <v>121</v>
      </c>
      <c r="W330" s="10"/>
      <c r="X330" s="12"/>
      <c r="Y330" s="9"/>
      <c r="Z330" s="11"/>
      <c r="AA330" s="11"/>
      <c r="AB330" s="11"/>
      <c r="AC330" s="9"/>
      <c r="AD330" s="10"/>
      <c r="AE330" s="9"/>
      <c r="AF330" s="11"/>
      <c r="AG330" s="11"/>
      <c r="AH330" s="11"/>
      <c r="AI330" s="10" t="n">
        <v>9280</v>
      </c>
      <c r="AJ330" s="9" t="s">
        <v>122</v>
      </c>
      <c r="AK330" s="11" t="s">
        <v>123</v>
      </c>
      <c r="AL330" s="11" t="s">
        <v>124</v>
      </c>
      <c r="AM330" s="11" t="s">
        <v>125</v>
      </c>
    </row>
    <row r="331" customFormat="false" ht="15" hidden="false" customHeight="false" outlineLevel="0" collapsed="false">
      <c r="A331" s="9" t="s">
        <v>394</v>
      </c>
      <c r="B331" s="9" t="s">
        <v>395</v>
      </c>
      <c r="C331" s="9" t="s">
        <v>396</v>
      </c>
      <c r="D331" s="9" t="s">
        <v>397</v>
      </c>
      <c r="E331" s="9" t="n">
        <v>1</v>
      </c>
      <c r="F331" s="9" t="n">
        <v>1</v>
      </c>
      <c r="G331" s="9" t="n">
        <v>2014</v>
      </c>
      <c r="H331" s="10" t="n">
        <v>38011735</v>
      </c>
      <c r="I331" s="11" t="s">
        <v>98</v>
      </c>
      <c r="J331" s="11" t="s">
        <v>99</v>
      </c>
      <c r="K331" s="10" t="n">
        <v>620308</v>
      </c>
      <c r="L331" s="12" t="n">
        <f aca="false">IF(OR($H331="",K331=""),"",K331/$H331)</f>
        <v>0.0163188552166851</v>
      </c>
      <c r="M331" s="9" t="s">
        <v>115</v>
      </c>
      <c r="N331" s="11" t="s">
        <v>116</v>
      </c>
      <c r="O331" s="11" t="s">
        <v>398</v>
      </c>
      <c r="P331" s="11" t="s">
        <v>118</v>
      </c>
      <c r="Q331" s="10" t="n">
        <v>101204</v>
      </c>
      <c r="R331" s="12" t="n">
        <f aca="false">IF(OR($H331="",Q331=""),"",Q331/$H331)</f>
        <v>0.00266244095408957</v>
      </c>
      <c r="S331" s="9" t="s">
        <v>115</v>
      </c>
      <c r="T331" s="11" t="s">
        <v>119</v>
      </c>
      <c r="U331" s="11" t="s">
        <v>399</v>
      </c>
      <c r="V331" s="11" t="s">
        <v>121</v>
      </c>
      <c r="W331" s="10"/>
      <c r="X331" s="12"/>
      <c r="Y331" s="9"/>
      <c r="Z331" s="11"/>
      <c r="AA331" s="11"/>
      <c r="AB331" s="11"/>
      <c r="AC331" s="9"/>
      <c r="AD331" s="10"/>
      <c r="AE331" s="9"/>
      <c r="AF331" s="11"/>
      <c r="AG331" s="11"/>
      <c r="AH331" s="11"/>
      <c r="AI331" s="10" t="n">
        <v>12050</v>
      </c>
      <c r="AJ331" s="9" t="s">
        <v>122</v>
      </c>
      <c r="AK331" s="11" t="s">
        <v>123</v>
      </c>
      <c r="AL331" s="11" t="s">
        <v>124</v>
      </c>
      <c r="AM331" s="11" t="s">
        <v>125</v>
      </c>
    </row>
    <row r="332" customFormat="false" ht="15" hidden="false" customHeight="false" outlineLevel="0" collapsed="false">
      <c r="A332" s="9" t="s">
        <v>394</v>
      </c>
      <c r="B332" s="9" t="s">
        <v>395</v>
      </c>
      <c r="C332" s="9" t="s">
        <v>396</v>
      </c>
      <c r="D332" s="9" t="s">
        <v>397</v>
      </c>
      <c r="E332" s="9" t="n">
        <v>1</v>
      </c>
      <c r="F332" s="9" t="n">
        <v>1</v>
      </c>
      <c r="G332" s="9" t="n">
        <v>2015</v>
      </c>
      <c r="H332" s="10" t="n">
        <v>37986412</v>
      </c>
      <c r="I332" s="11" t="s">
        <v>98</v>
      </c>
      <c r="J332" s="11" t="s">
        <v>99</v>
      </c>
      <c r="K332" s="10" t="n">
        <v>611855</v>
      </c>
      <c r="L332" s="12" t="n">
        <f aca="false">IF(OR($H332="",K332=""),"",K332/$H332)</f>
        <v>0.0161072069665332</v>
      </c>
      <c r="M332" s="9" t="s">
        <v>115</v>
      </c>
      <c r="N332" s="11" t="s">
        <v>116</v>
      </c>
      <c r="O332" s="11" t="s">
        <v>398</v>
      </c>
      <c r="P332" s="11" t="s">
        <v>118</v>
      </c>
      <c r="Q332" s="10" t="n">
        <v>108279</v>
      </c>
      <c r="R332" s="12" t="n">
        <f aca="false">IF(OR($H332="",Q332=""),"",Q332/$H332)</f>
        <v>0.00285046663528</v>
      </c>
      <c r="S332" s="9" t="s">
        <v>115</v>
      </c>
      <c r="T332" s="11" t="s">
        <v>119</v>
      </c>
      <c r="U332" s="11" t="s">
        <v>399</v>
      </c>
      <c r="V332" s="11" t="s">
        <v>121</v>
      </c>
      <c r="W332" s="10"/>
      <c r="X332" s="12"/>
      <c r="Y332" s="9"/>
      <c r="Z332" s="11"/>
      <c r="AA332" s="11"/>
      <c r="AB332" s="11"/>
      <c r="AC332" s="9"/>
      <c r="AD332" s="10"/>
      <c r="AE332" s="9"/>
      <c r="AF332" s="11"/>
      <c r="AG332" s="11"/>
      <c r="AH332" s="11"/>
      <c r="AI332" s="10" t="n">
        <v>16835</v>
      </c>
      <c r="AJ332" s="9" t="s">
        <v>122</v>
      </c>
      <c r="AK332" s="11" t="s">
        <v>123</v>
      </c>
      <c r="AL332" s="11" t="s">
        <v>124</v>
      </c>
      <c r="AM332" s="11" t="s">
        <v>125</v>
      </c>
    </row>
    <row r="333" customFormat="false" ht="15" hidden="false" customHeight="false" outlineLevel="0" collapsed="false">
      <c r="A333" s="9" t="s">
        <v>394</v>
      </c>
      <c r="B333" s="9" t="s">
        <v>395</v>
      </c>
      <c r="C333" s="9" t="s">
        <v>396</v>
      </c>
      <c r="D333" s="9" t="s">
        <v>397</v>
      </c>
      <c r="E333" s="9" t="n">
        <v>1</v>
      </c>
      <c r="F333" s="9" t="n">
        <v>1</v>
      </c>
      <c r="G333" s="9" t="n">
        <v>2016</v>
      </c>
      <c r="H333" s="10" t="n">
        <v>37970087</v>
      </c>
      <c r="I333" s="11" t="s">
        <v>98</v>
      </c>
      <c r="J333" s="11" t="s">
        <v>99</v>
      </c>
      <c r="K333" s="10" t="n">
        <v>626396</v>
      </c>
      <c r="L333" s="12" t="n">
        <f aca="false">IF(OR($H333="",K333=""),"",K333/$H333)</f>
        <v>0.0164970915131166</v>
      </c>
      <c r="M333" s="9" t="s">
        <v>115</v>
      </c>
      <c r="N333" s="11" t="s">
        <v>116</v>
      </c>
      <c r="O333" s="11" t="s">
        <v>398</v>
      </c>
      <c r="P333" s="11" t="s">
        <v>118</v>
      </c>
      <c r="Q333" s="10" t="n">
        <v>149586</v>
      </c>
      <c r="R333" s="12" t="n">
        <f aca="false">IF(OR($H333="",Q333=""),"",Q333/$H333)</f>
        <v>0.00393957485533283</v>
      </c>
      <c r="S333" s="9" t="s">
        <v>115</v>
      </c>
      <c r="T333" s="11" t="s">
        <v>119</v>
      </c>
      <c r="U333" s="11" t="s">
        <v>399</v>
      </c>
      <c r="V333" s="11" t="s">
        <v>121</v>
      </c>
      <c r="W333" s="10"/>
      <c r="X333" s="12"/>
      <c r="Y333" s="9"/>
      <c r="Z333" s="11"/>
      <c r="AA333" s="11"/>
      <c r="AB333" s="11"/>
      <c r="AC333" s="9"/>
      <c r="AD333" s="10"/>
      <c r="AE333" s="9"/>
      <c r="AF333" s="11"/>
      <c r="AG333" s="11"/>
      <c r="AH333" s="11"/>
      <c r="AI333" s="10" t="n">
        <v>23375</v>
      </c>
      <c r="AJ333" s="9" t="s">
        <v>122</v>
      </c>
      <c r="AK333" s="11" t="s">
        <v>123</v>
      </c>
      <c r="AL333" s="11" t="s">
        <v>124</v>
      </c>
      <c r="AM333" s="11" t="s">
        <v>125</v>
      </c>
    </row>
    <row r="334" customFormat="false" ht="15" hidden="false" customHeight="false" outlineLevel="0" collapsed="false">
      <c r="A334" s="9" t="s">
        <v>394</v>
      </c>
      <c r="B334" s="9" t="s">
        <v>395</v>
      </c>
      <c r="C334" s="9" t="s">
        <v>396</v>
      </c>
      <c r="D334" s="9" t="s">
        <v>397</v>
      </c>
      <c r="E334" s="9" t="n">
        <v>1</v>
      </c>
      <c r="F334" s="9" t="n">
        <v>1</v>
      </c>
      <c r="G334" s="9" t="n">
        <v>2017</v>
      </c>
      <c r="H334" s="10" t="n">
        <v>37974826</v>
      </c>
      <c r="I334" s="11" t="s">
        <v>98</v>
      </c>
      <c r="J334" s="11" t="s">
        <v>99</v>
      </c>
      <c r="K334" s="10" t="n">
        <v>651845</v>
      </c>
      <c r="L334" s="12" t="n">
        <f aca="false">IF(OR($H334="",K334=""),"",K334/$H334)</f>
        <v>0.0171651872743275</v>
      </c>
      <c r="M334" s="9" t="s">
        <v>115</v>
      </c>
      <c r="N334" s="11" t="s">
        <v>116</v>
      </c>
      <c r="O334" s="11" t="s">
        <v>398</v>
      </c>
      <c r="P334" s="11" t="s">
        <v>118</v>
      </c>
      <c r="Q334" s="10" t="n">
        <v>210328</v>
      </c>
      <c r="R334" s="12" t="n">
        <f aca="false">IF(OR($H334="",Q334=""),"",Q334/$H334)</f>
        <v>0.00553861655613643</v>
      </c>
      <c r="S334" s="9" t="s">
        <v>115</v>
      </c>
      <c r="T334" s="11" t="s">
        <v>119</v>
      </c>
      <c r="U334" s="11" t="s">
        <v>399</v>
      </c>
      <c r="V334" s="11" t="s">
        <v>121</v>
      </c>
      <c r="W334" s="10"/>
      <c r="X334" s="12"/>
      <c r="Y334" s="9"/>
      <c r="Z334" s="11"/>
      <c r="AA334" s="11"/>
      <c r="AB334" s="11"/>
      <c r="AC334" s="9"/>
      <c r="AD334" s="10"/>
      <c r="AE334" s="9"/>
      <c r="AF334" s="11"/>
      <c r="AG334" s="11"/>
      <c r="AH334" s="11"/>
      <c r="AI334" s="10" t="n">
        <v>28470</v>
      </c>
      <c r="AJ334" s="9" t="s">
        <v>122</v>
      </c>
      <c r="AK334" s="11" t="s">
        <v>123</v>
      </c>
      <c r="AL334" s="11" t="s">
        <v>124</v>
      </c>
      <c r="AM334" s="11" t="s">
        <v>125</v>
      </c>
    </row>
    <row r="335" customFormat="false" ht="15" hidden="false" customHeight="false" outlineLevel="0" collapsed="false">
      <c r="A335" s="9" t="s">
        <v>394</v>
      </c>
      <c r="B335" s="9" t="s">
        <v>395</v>
      </c>
      <c r="C335" s="9" t="s">
        <v>396</v>
      </c>
      <c r="D335" s="9" t="s">
        <v>397</v>
      </c>
      <c r="E335" s="9" t="n">
        <v>1</v>
      </c>
      <c r="F335" s="9" t="n">
        <v>1</v>
      </c>
      <c r="G335" s="9" t="n">
        <v>2018</v>
      </c>
      <c r="H335" s="10" t="n">
        <v>37974750</v>
      </c>
      <c r="I335" s="11" t="s">
        <v>98</v>
      </c>
      <c r="J335" s="11" t="s">
        <v>99</v>
      </c>
      <c r="K335" s="10" t="n">
        <v>695850</v>
      </c>
      <c r="L335" s="12" t="n">
        <f aca="false">IF(OR($H335="",K335=""),"",K335/$H335)</f>
        <v>0.0183240179329686</v>
      </c>
      <c r="M335" s="9" t="s">
        <v>115</v>
      </c>
      <c r="N335" s="11" t="s">
        <v>116</v>
      </c>
      <c r="O335" s="11" t="s">
        <v>398</v>
      </c>
      <c r="P335" s="11" t="s">
        <v>118</v>
      </c>
      <c r="Q335" s="10" t="n">
        <v>239230</v>
      </c>
      <c r="R335" s="12" t="n">
        <f aca="false">IF(OR($H335="",Q335=""),"",Q335/$H335)</f>
        <v>0.00629971230883679</v>
      </c>
      <c r="S335" s="9" t="s">
        <v>115</v>
      </c>
      <c r="T335" s="11" t="s">
        <v>119</v>
      </c>
      <c r="U335" s="11" t="s">
        <v>399</v>
      </c>
      <c r="V335" s="11" t="s">
        <v>121</v>
      </c>
      <c r="W335" s="10"/>
      <c r="X335" s="12"/>
      <c r="Y335" s="9"/>
      <c r="Z335" s="11"/>
      <c r="AA335" s="11"/>
      <c r="AB335" s="11"/>
      <c r="AC335" s="9"/>
      <c r="AD335" s="10"/>
      <c r="AE335" s="9"/>
      <c r="AF335" s="11"/>
      <c r="AG335" s="11"/>
      <c r="AH335" s="11"/>
      <c r="AI335" s="10" t="n">
        <v>31245</v>
      </c>
      <c r="AJ335" s="9" t="s">
        <v>122</v>
      </c>
      <c r="AK335" s="11" t="s">
        <v>123</v>
      </c>
      <c r="AL335" s="11" t="s">
        <v>124</v>
      </c>
      <c r="AM335" s="11" t="s">
        <v>125</v>
      </c>
    </row>
    <row r="336" customFormat="false" ht="15" hidden="false" customHeight="false" outlineLevel="0" collapsed="false">
      <c r="A336" s="9" t="s">
        <v>394</v>
      </c>
      <c r="B336" s="9" t="s">
        <v>395</v>
      </c>
      <c r="C336" s="9" t="s">
        <v>396</v>
      </c>
      <c r="D336" s="9" t="s">
        <v>397</v>
      </c>
      <c r="E336" s="9" t="n">
        <v>1</v>
      </c>
      <c r="F336" s="9" t="n">
        <v>1</v>
      </c>
      <c r="G336" s="9" t="n">
        <v>2019</v>
      </c>
      <c r="H336" s="10" t="n">
        <v>37965475</v>
      </c>
      <c r="I336" s="11" t="s">
        <v>98</v>
      </c>
      <c r="J336" s="11" t="s">
        <v>99</v>
      </c>
      <c r="K336" s="10" t="n">
        <v>760849</v>
      </c>
      <c r="L336" s="12" t="n">
        <f aca="false">IF(OR($H336="",K336=""),"",K336/$H336)</f>
        <v>0.0200405499997037</v>
      </c>
      <c r="M336" s="9" t="s">
        <v>115</v>
      </c>
      <c r="N336" s="11" t="s">
        <v>116</v>
      </c>
      <c r="O336" s="11" t="s">
        <v>398</v>
      </c>
      <c r="P336" s="11" t="s">
        <v>118</v>
      </c>
      <c r="Q336" s="10" t="n">
        <v>289751</v>
      </c>
      <c r="R336" s="12" t="n">
        <f aca="false">IF(OR($H336="",Q336=""),"",Q336/$H336)</f>
        <v>0.00763196035345271</v>
      </c>
      <c r="S336" s="9" t="s">
        <v>115</v>
      </c>
      <c r="T336" s="11" t="s">
        <v>119</v>
      </c>
      <c r="U336" s="11" t="s">
        <v>399</v>
      </c>
      <c r="V336" s="11" t="s">
        <v>121</v>
      </c>
      <c r="W336" s="10"/>
      <c r="X336" s="12"/>
      <c r="Y336" s="9"/>
      <c r="Z336" s="11"/>
      <c r="AA336" s="11"/>
      <c r="AB336" s="11"/>
      <c r="AC336" s="9"/>
      <c r="AD336" s="10"/>
      <c r="AE336" s="9"/>
      <c r="AF336" s="11"/>
      <c r="AG336" s="11"/>
      <c r="AH336" s="11"/>
      <c r="AI336" s="10" t="n">
        <v>30900</v>
      </c>
      <c r="AJ336" s="9" t="s">
        <v>122</v>
      </c>
      <c r="AK336" s="11" t="s">
        <v>123</v>
      </c>
      <c r="AL336" s="11" t="s">
        <v>124</v>
      </c>
      <c r="AM336" s="11" t="s">
        <v>125</v>
      </c>
    </row>
    <row r="337" customFormat="false" ht="15" hidden="false" customHeight="false" outlineLevel="0" collapsed="false">
      <c r="A337" s="9" t="s">
        <v>394</v>
      </c>
      <c r="B337" s="9" t="s">
        <v>395</v>
      </c>
      <c r="C337" s="9" t="s">
        <v>396</v>
      </c>
      <c r="D337" s="9" t="s">
        <v>397</v>
      </c>
      <c r="E337" s="9" t="n">
        <v>1</v>
      </c>
      <c r="F337" s="9" t="n">
        <v>1</v>
      </c>
      <c r="G337" s="9" t="n">
        <v>2020</v>
      </c>
      <c r="H337" s="10" t="n">
        <v>37515748</v>
      </c>
      <c r="I337" s="11" t="s">
        <v>98</v>
      </c>
      <c r="J337" s="11" t="s">
        <v>99</v>
      </c>
      <c r="K337" s="10" t="n">
        <v>849320</v>
      </c>
      <c r="L337" s="12" t="n">
        <f aca="false">IF(OR($H337="",K337=""),"",K337/$H337)</f>
        <v>0.0226390261497652</v>
      </c>
      <c r="M337" s="9" t="s">
        <v>115</v>
      </c>
      <c r="N337" s="11" t="s">
        <v>116</v>
      </c>
      <c r="O337" s="11" t="s">
        <v>398</v>
      </c>
      <c r="P337" s="11" t="s">
        <v>118</v>
      </c>
      <c r="Q337" s="10" t="n">
        <v>358239</v>
      </c>
      <c r="R337" s="12" t="n">
        <f aca="false">IF(OR($H337="",Q337=""),"",Q337/$H337)</f>
        <v>0.00954902991671658</v>
      </c>
      <c r="S337" s="9" t="s">
        <v>115</v>
      </c>
      <c r="T337" s="11" t="s">
        <v>119</v>
      </c>
      <c r="U337" s="11" t="s">
        <v>399</v>
      </c>
      <c r="V337" s="11" t="s">
        <v>121</v>
      </c>
      <c r="W337" s="10"/>
      <c r="X337" s="12"/>
      <c r="Y337" s="9"/>
      <c r="Z337" s="11"/>
      <c r="AA337" s="11"/>
      <c r="AB337" s="11"/>
      <c r="AC337" s="9"/>
      <c r="AD337" s="10"/>
      <c r="AE337" s="9"/>
      <c r="AF337" s="11"/>
      <c r="AG337" s="11"/>
      <c r="AH337" s="11"/>
      <c r="AI337" s="10" t="n">
        <v>12170</v>
      </c>
      <c r="AJ337" s="9" t="s">
        <v>122</v>
      </c>
      <c r="AK337" s="11" t="s">
        <v>123</v>
      </c>
      <c r="AL337" s="11" t="s">
        <v>124</v>
      </c>
      <c r="AM337" s="11" t="s">
        <v>125</v>
      </c>
    </row>
    <row r="338" customFormat="false" ht="15" hidden="false" customHeight="false" outlineLevel="0" collapsed="false">
      <c r="A338" s="9" t="s">
        <v>394</v>
      </c>
      <c r="B338" s="9" t="s">
        <v>395</v>
      </c>
      <c r="C338" s="9" t="s">
        <v>396</v>
      </c>
      <c r="D338" s="9" t="s">
        <v>397</v>
      </c>
      <c r="E338" s="9" t="n">
        <v>1</v>
      </c>
      <c r="F338" s="9" t="n">
        <v>1</v>
      </c>
      <c r="G338" s="9" t="n">
        <v>2021</v>
      </c>
      <c r="H338" s="10" t="n">
        <v>36981559</v>
      </c>
      <c r="I338" s="11" t="s">
        <v>98</v>
      </c>
      <c r="J338" s="11" t="s">
        <v>99</v>
      </c>
      <c r="K338" s="10" t="n">
        <v>935740</v>
      </c>
      <c r="L338" s="12" t="n">
        <f aca="false">IF(OR($H338="",K338=""),"",K338/$H338)</f>
        <v>0.025302881363114</v>
      </c>
      <c r="M338" s="9" t="s">
        <v>115</v>
      </c>
      <c r="N338" s="11" t="s">
        <v>116</v>
      </c>
      <c r="O338" s="11" t="s">
        <v>398</v>
      </c>
      <c r="P338" s="11" t="s">
        <v>118</v>
      </c>
      <c r="Q338" s="10" t="n">
        <v>447442</v>
      </c>
      <c r="R338" s="12" t="n">
        <f aca="false">IF(OR($H338="",Q338=""),"",Q338/$H338)</f>
        <v>0.012099057262567</v>
      </c>
      <c r="S338" s="9" t="s">
        <v>115</v>
      </c>
      <c r="T338" s="11" t="s">
        <v>119</v>
      </c>
      <c r="U338" s="11" t="s">
        <v>399</v>
      </c>
      <c r="V338" s="11" t="s">
        <v>121</v>
      </c>
      <c r="W338" s="10"/>
      <c r="X338" s="12"/>
      <c r="Y338" s="9"/>
      <c r="Z338" s="11"/>
      <c r="AA338" s="11"/>
      <c r="AB338" s="11"/>
      <c r="AC338" s="9"/>
      <c r="AD338" s="10"/>
      <c r="AE338" s="9"/>
      <c r="AF338" s="11"/>
      <c r="AG338" s="11"/>
      <c r="AH338" s="11"/>
      <c r="AI338" s="10" t="n">
        <v>12795</v>
      </c>
      <c r="AJ338" s="9" t="s">
        <v>122</v>
      </c>
      <c r="AK338" s="11" t="s">
        <v>123</v>
      </c>
      <c r="AL338" s="11" t="s">
        <v>124</v>
      </c>
      <c r="AM338" s="11" t="s">
        <v>125</v>
      </c>
    </row>
    <row r="339" customFormat="false" ht="15" hidden="false" customHeight="false" outlineLevel="0" collapsed="false">
      <c r="A339" s="9" t="s">
        <v>394</v>
      </c>
      <c r="B339" s="9" t="s">
        <v>395</v>
      </c>
      <c r="C339" s="9" t="s">
        <v>396</v>
      </c>
      <c r="D339" s="9" t="s">
        <v>397</v>
      </c>
      <c r="E339" s="9" t="n">
        <v>1</v>
      </c>
      <c r="F339" s="9" t="n">
        <v>1</v>
      </c>
      <c r="G339" s="9" t="n">
        <v>2022</v>
      </c>
      <c r="H339" s="10" t="n">
        <v>36821749</v>
      </c>
      <c r="I339" s="11" t="s">
        <v>98</v>
      </c>
      <c r="J339" s="11" t="s">
        <v>99</v>
      </c>
      <c r="K339" s="10" t="n">
        <v>931158</v>
      </c>
      <c r="L339" s="12" t="n">
        <f aca="false">IF(OR($H339="",K339=""),"",K339/$H339)</f>
        <v>0.0252882610220389</v>
      </c>
      <c r="M339" s="9" t="s">
        <v>115</v>
      </c>
      <c r="N339" s="11" t="s">
        <v>116</v>
      </c>
      <c r="O339" s="11" t="s">
        <v>398</v>
      </c>
      <c r="P339" s="11" t="s">
        <v>118</v>
      </c>
      <c r="Q339" s="10" t="n">
        <v>441661</v>
      </c>
      <c r="R339" s="12" t="n">
        <f aca="false">IF(OR($H339="",Q339=""),"",Q339/$H339)</f>
        <v>0.0119945687533745</v>
      </c>
      <c r="S339" s="9" t="s">
        <v>115</v>
      </c>
      <c r="T339" s="11" t="s">
        <v>119</v>
      </c>
      <c r="U339" s="11" t="s">
        <v>399</v>
      </c>
      <c r="V339" s="11" t="s">
        <v>121</v>
      </c>
      <c r="W339" s="10"/>
      <c r="X339" s="12"/>
      <c r="Y339" s="9"/>
      <c r="Z339" s="11"/>
      <c r="AA339" s="11"/>
      <c r="AB339" s="11"/>
      <c r="AC339" s="9"/>
      <c r="AD339" s="10"/>
      <c r="AE339" s="9"/>
      <c r="AF339" s="11"/>
      <c r="AG339" s="11"/>
      <c r="AH339" s="11"/>
      <c r="AI339" s="10" t="n">
        <v>10510</v>
      </c>
      <c r="AJ339" s="9" t="s">
        <v>122</v>
      </c>
      <c r="AK339" s="11" t="s">
        <v>123</v>
      </c>
      <c r="AL339" s="11" t="s">
        <v>124</v>
      </c>
      <c r="AM339" s="11" t="s">
        <v>125</v>
      </c>
    </row>
    <row r="340" customFormat="false" ht="15" hidden="false" customHeight="false" outlineLevel="0" collapsed="false">
      <c r="A340" s="9" t="s">
        <v>400</v>
      </c>
      <c r="B340" s="9" t="s">
        <v>401</v>
      </c>
      <c r="C340" s="9" t="s">
        <v>402</v>
      </c>
      <c r="D340" s="9" t="s">
        <v>403</v>
      </c>
      <c r="E340" s="9" t="n">
        <v>1</v>
      </c>
      <c r="F340" s="9" t="n">
        <v>0</v>
      </c>
      <c r="G340" s="9" t="n">
        <v>2010</v>
      </c>
      <c r="H340" s="10" t="n">
        <v>10573100</v>
      </c>
      <c r="I340" s="11" t="s">
        <v>98</v>
      </c>
      <c r="J340" s="11" t="s">
        <v>99</v>
      </c>
      <c r="K340" s="10" t="n">
        <v>762825</v>
      </c>
      <c r="L340" s="12" t="n">
        <f aca="false">IF(OR($H340="",K340=""),"",K340/$H340)</f>
        <v>0.0721477144829804</v>
      </c>
      <c r="M340" s="9" t="s">
        <v>115</v>
      </c>
      <c r="N340" s="11" t="s">
        <v>116</v>
      </c>
      <c r="O340" s="11" t="s">
        <v>404</v>
      </c>
      <c r="P340" s="11" t="s">
        <v>118</v>
      </c>
      <c r="Q340" s="10" t="n">
        <v>454191</v>
      </c>
      <c r="R340" s="12" t="n">
        <f aca="false">IF(OR($H340="",Q340=""),"",Q340/$H340)</f>
        <v>0.0429572216284723</v>
      </c>
      <c r="S340" s="9" t="s">
        <v>115</v>
      </c>
      <c r="T340" s="11" t="s">
        <v>119</v>
      </c>
      <c r="U340" s="11" t="s">
        <v>405</v>
      </c>
      <c r="V340" s="11" t="s">
        <v>121</v>
      </c>
      <c r="W340" s="10"/>
      <c r="X340" s="12"/>
      <c r="Y340" s="9"/>
      <c r="Z340" s="11"/>
      <c r="AA340" s="11"/>
      <c r="AB340" s="11"/>
      <c r="AC340" s="9"/>
      <c r="AD340" s="10"/>
      <c r="AE340" s="9"/>
      <c r="AF340" s="11"/>
      <c r="AG340" s="11"/>
      <c r="AH340" s="11"/>
      <c r="AI340" s="10" t="n">
        <v>9230</v>
      </c>
      <c r="AJ340" s="9" t="s">
        <v>122</v>
      </c>
      <c r="AK340" s="11" t="s">
        <v>123</v>
      </c>
      <c r="AL340" s="11" t="s">
        <v>124</v>
      </c>
      <c r="AM340" s="11" t="s">
        <v>125</v>
      </c>
    </row>
    <row r="341" customFormat="false" ht="15" hidden="false" customHeight="false" outlineLevel="0" collapsed="false">
      <c r="A341" s="9" t="s">
        <v>400</v>
      </c>
      <c r="B341" s="9" t="s">
        <v>401</v>
      </c>
      <c r="C341" s="9" t="s">
        <v>402</v>
      </c>
      <c r="D341" s="9" t="s">
        <v>403</v>
      </c>
      <c r="E341" s="9" t="n">
        <v>1</v>
      </c>
      <c r="F341" s="9" t="n">
        <v>0</v>
      </c>
      <c r="G341" s="9" t="n">
        <v>2011</v>
      </c>
      <c r="H341" s="10" t="n">
        <v>10557560</v>
      </c>
      <c r="I341" s="11" t="s">
        <v>98</v>
      </c>
      <c r="J341" s="11" t="s">
        <v>99</v>
      </c>
      <c r="K341" s="10" t="n">
        <v>755484</v>
      </c>
      <c r="L341" s="12" t="n">
        <f aca="false">IF(OR($H341="",K341=""),"",K341/$H341)</f>
        <v>0.0715585798233683</v>
      </c>
      <c r="M341" s="9" t="s">
        <v>115</v>
      </c>
      <c r="N341" s="11" t="s">
        <v>116</v>
      </c>
      <c r="O341" s="11" t="s">
        <v>404</v>
      </c>
      <c r="P341" s="11" t="s">
        <v>118</v>
      </c>
      <c r="Q341" s="10" t="n">
        <v>445262</v>
      </c>
      <c r="R341" s="12" t="n">
        <f aca="false">IF(OR($H341="",Q341=""),"",Q341/$H341)</f>
        <v>0.04217470703458</v>
      </c>
      <c r="S341" s="9" t="s">
        <v>115</v>
      </c>
      <c r="T341" s="11" t="s">
        <v>119</v>
      </c>
      <c r="U341" s="11" t="s">
        <v>405</v>
      </c>
      <c r="V341" s="11" t="s">
        <v>121</v>
      </c>
      <c r="W341" s="10"/>
      <c r="X341" s="12"/>
      <c r="Y341" s="9"/>
      <c r="Z341" s="11"/>
      <c r="AA341" s="11"/>
      <c r="AB341" s="11"/>
      <c r="AC341" s="9"/>
      <c r="AD341" s="10"/>
      <c r="AE341" s="9"/>
      <c r="AF341" s="11"/>
      <c r="AG341" s="11"/>
      <c r="AH341" s="11"/>
      <c r="AI341" s="10" t="n">
        <v>9110</v>
      </c>
      <c r="AJ341" s="9" t="s">
        <v>122</v>
      </c>
      <c r="AK341" s="11" t="s">
        <v>123</v>
      </c>
      <c r="AL341" s="11" t="s">
        <v>124</v>
      </c>
      <c r="AM341" s="11" t="s">
        <v>125</v>
      </c>
    </row>
    <row r="342" customFormat="false" ht="15" hidden="false" customHeight="false" outlineLevel="0" collapsed="false">
      <c r="A342" s="9" t="s">
        <v>400</v>
      </c>
      <c r="B342" s="9" t="s">
        <v>401</v>
      </c>
      <c r="C342" s="9" t="s">
        <v>402</v>
      </c>
      <c r="D342" s="9" t="s">
        <v>403</v>
      </c>
      <c r="E342" s="9" t="n">
        <v>1</v>
      </c>
      <c r="F342" s="9" t="n">
        <v>0</v>
      </c>
      <c r="G342" s="9" t="n">
        <v>2012</v>
      </c>
      <c r="H342" s="10" t="n">
        <v>10514844</v>
      </c>
      <c r="I342" s="11" t="s">
        <v>98</v>
      </c>
      <c r="J342" s="11" t="s">
        <v>99</v>
      </c>
      <c r="K342" s="10" t="n">
        <v>1221227</v>
      </c>
      <c r="L342" s="12" t="n">
        <f aca="false">IF(OR($H342="",K342=""),"",K342/$H342)</f>
        <v>0.116143140116962</v>
      </c>
      <c r="M342" s="9" t="s">
        <v>115</v>
      </c>
      <c r="N342" s="11" t="s">
        <v>116</v>
      </c>
      <c r="O342" s="11" t="s">
        <v>404</v>
      </c>
      <c r="P342" s="11" t="s">
        <v>200</v>
      </c>
      <c r="Q342" s="10" t="n">
        <v>413011</v>
      </c>
      <c r="R342" s="12" t="n">
        <f aca="false">IF(OR($H342="",Q342=""),"",Q342/$H342)</f>
        <v>0.0392788518783541</v>
      </c>
      <c r="S342" s="9" t="s">
        <v>115</v>
      </c>
      <c r="T342" s="11" t="s">
        <v>119</v>
      </c>
      <c r="U342" s="11" t="s">
        <v>405</v>
      </c>
      <c r="V342" s="11" t="s">
        <v>121</v>
      </c>
      <c r="W342" s="10"/>
      <c r="X342" s="12"/>
      <c r="Y342" s="9"/>
      <c r="Z342" s="11"/>
      <c r="AA342" s="11"/>
      <c r="AB342" s="11"/>
      <c r="AC342" s="9"/>
      <c r="AD342" s="10"/>
      <c r="AE342" s="9"/>
      <c r="AF342" s="11"/>
      <c r="AG342" s="11"/>
      <c r="AH342" s="11"/>
      <c r="AI342" s="10" t="n">
        <v>5155</v>
      </c>
      <c r="AJ342" s="9" t="s">
        <v>122</v>
      </c>
      <c r="AK342" s="11" t="s">
        <v>123</v>
      </c>
      <c r="AL342" s="11" t="s">
        <v>124</v>
      </c>
      <c r="AM342" s="11" t="s">
        <v>125</v>
      </c>
    </row>
    <row r="343" customFormat="false" ht="15" hidden="false" customHeight="false" outlineLevel="0" collapsed="false">
      <c r="A343" s="9" t="s">
        <v>400</v>
      </c>
      <c r="B343" s="9" t="s">
        <v>401</v>
      </c>
      <c r="C343" s="9" t="s">
        <v>402</v>
      </c>
      <c r="D343" s="9" t="s">
        <v>403</v>
      </c>
      <c r="E343" s="9" t="n">
        <v>1</v>
      </c>
      <c r="F343" s="9" t="n">
        <v>0</v>
      </c>
      <c r="G343" s="9" t="n">
        <v>2013</v>
      </c>
      <c r="H343" s="10" t="n">
        <v>10457295</v>
      </c>
      <c r="I343" s="11" t="s">
        <v>98</v>
      </c>
      <c r="J343" s="11" t="s">
        <v>99</v>
      </c>
      <c r="K343" s="10" t="n">
        <v>1197532</v>
      </c>
      <c r="L343" s="12" t="n">
        <f aca="false">IF(OR($H343="",K343=""),"",K343/$H343)</f>
        <v>0.11451642131163</v>
      </c>
      <c r="M343" s="9" t="s">
        <v>115</v>
      </c>
      <c r="N343" s="11" t="s">
        <v>116</v>
      </c>
      <c r="O343" s="11" t="s">
        <v>404</v>
      </c>
      <c r="P343" s="11" t="s">
        <v>118</v>
      </c>
      <c r="Q343" s="10" t="n">
        <v>393908</v>
      </c>
      <c r="R343" s="12" t="n">
        <f aca="false">IF(OR($H343="",Q343=""),"",Q343/$H343)</f>
        <v>0.0376682497720491</v>
      </c>
      <c r="S343" s="9" t="s">
        <v>115</v>
      </c>
      <c r="T343" s="11" t="s">
        <v>119</v>
      </c>
      <c r="U343" s="11" t="s">
        <v>405</v>
      </c>
      <c r="V343" s="11" t="s">
        <v>121</v>
      </c>
      <c r="W343" s="10"/>
      <c r="X343" s="12"/>
      <c r="Y343" s="9"/>
      <c r="Z343" s="11"/>
      <c r="AA343" s="11"/>
      <c r="AB343" s="11"/>
      <c r="AC343" s="9"/>
      <c r="AD343" s="10"/>
      <c r="AE343" s="9"/>
      <c r="AF343" s="11"/>
      <c r="AG343" s="11"/>
      <c r="AH343" s="11"/>
      <c r="AI343" s="10" t="n">
        <v>4530</v>
      </c>
      <c r="AJ343" s="9" t="s">
        <v>122</v>
      </c>
      <c r="AK343" s="11" t="s">
        <v>123</v>
      </c>
      <c r="AL343" s="11" t="s">
        <v>124</v>
      </c>
      <c r="AM343" s="11" t="s">
        <v>125</v>
      </c>
    </row>
    <row r="344" customFormat="false" ht="15" hidden="false" customHeight="false" outlineLevel="0" collapsed="false">
      <c r="A344" s="9" t="s">
        <v>400</v>
      </c>
      <c r="B344" s="9" t="s">
        <v>401</v>
      </c>
      <c r="C344" s="9" t="s">
        <v>402</v>
      </c>
      <c r="D344" s="9" t="s">
        <v>403</v>
      </c>
      <c r="E344" s="9" t="n">
        <v>1</v>
      </c>
      <c r="F344" s="9" t="n">
        <v>0</v>
      </c>
      <c r="G344" s="9" t="n">
        <v>2014</v>
      </c>
      <c r="H344" s="10" t="n">
        <v>10401062</v>
      </c>
      <c r="I344" s="11" t="s">
        <v>98</v>
      </c>
      <c r="J344" s="11" t="s">
        <v>99</v>
      </c>
      <c r="K344" s="10" t="n">
        <v>1176104</v>
      </c>
      <c r="L344" s="12" t="n">
        <f aca="false">IF(OR($H344="",K344=""),"",K344/$H344)</f>
        <v>0.113075376341377</v>
      </c>
      <c r="M344" s="9" t="s">
        <v>115</v>
      </c>
      <c r="N344" s="11" t="s">
        <v>116</v>
      </c>
      <c r="O344" s="11" t="s">
        <v>404</v>
      </c>
      <c r="P344" s="11" t="s">
        <v>118</v>
      </c>
      <c r="Q344" s="10" t="n">
        <v>377436</v>
      </c>
      <c r="R344" s="12" t="n">
        <f aca="false">IF(OR($H344="",Q344=""),"",Q344/$H344)</f>
        <v>0.0362882174916369</v>
      </c>
      <c r="S344" s="9" t="s">
        <v>115</v>
      </c>
      <c r="T344" s="11" t="s">
        <v>119</v>
      </c>
      <c r="U344" s="11" t="s">
        <v>405</v>
      </c>
      <c r="V344" s="11" t="s">
        <v>121</v>
      </c>
      <c r="W344" s="10"/>
      <c r="X344" s="12"/>
      <c r="Y344" s="9"/>
      <c r="Z344" s="11"/>
      <c r="AA344" s="11"/>
      <c r="AB344" s="11"/>
      <c r="AC344" s="9"/>
      <c r="AD344" s="10"/>
      <c r="AE344" s="9"/>
      <c r="AF344" s="11"/>
      <c r="AG344" s="11"/>
      <c r="AH344" s="11"/>
      <c r="AI344" s="10" t="n">
        <v>5145</v>
      </c>
      <c r="AJ344" s="9" t="s">
        <v>122</v>
      </c>
      <c r="AK344" s="11" t="s">
        <v>123</v>
      </c>
      <c r="AL344" s="11" t="s">
        <v>124</v>
      </c>
      <c r="AM344" s="11" t="s">
        <v>125</v>
      </c>
    </row>
    <row r="345" customFormat="false" ht="15" hidden="false" customHeight="false" outlineLevel="0" collapsed="false">
      <c r="A345" s="9" t="s">
        <v>400</v>
      </c>
      <c r="B345" s="9" t="s">
        <v>401</v>
      </c>
      <c r="C345" s="9" t="s">
        <v>402</v>
      </c>
      <c r="D345" s="9" t="s">
        <v>403</v>
      </c>
      <c r="E345" s="9" t="n">
        <v>1</v>
      </c>
      <c r="F345" s="9" t="n">
        <v>0</v>
      </c>
      <c r="G345" s="9" t="n">
        <v>2015</v>
      </c>
      <c r="H345" s="10" t="n">
        <v>10358076</v>
      </c>
      <c r="I345" s="11" t="s">
        <v>98</v>
      </c>
      <c r="J345" s="11" t="s">
        <v>99</v>
      </c>
      <c r="K345" s="10" t="n">
        <v>1160656</v>
      </c>
      <c r="L345" s="12" t="n">
        <f aca="false">IF(OR($H345="",K345=""),"",K345/$H345)</f>
        <v>0.112053242320292</v>
      </c>
      <c r="M345" s="9" t="s">
        <v>115</v>
      </c>
      <c r="N345" s="11" t="s">
        <v>116</v>
      </c>
      <c r="O345" s="11" t="s">
        <v>404</v>
      </c>
      <c r="P345" s="11" t="s">
        <v>118</v>
      </c>
      <c r="Q345" s="10" t="n">
        <v>366869</v>
      </c>
      <c r="R345" s="12" t="n">
        <f aca="false">IF(OR($H345="",Q345=""),"",Q345/$H345)</f>
        <v>0.0354186433851229</v>
      </c>
      <c r="S345" s="9" t="s">
        <v>115</v>
      </c>
      <c r="T345" s="11" t="s">
        <v>119</v>
      </c>
      <c r="U345" s="11" t="s">
        <v>405</v>
      </c>
      <c r="V345" s="11" t="s">
        <v>121</v>
      </c>
      <c r="W345" s="10"/>
      <c r="X345" s="12"/>
      <c r="Y345" s="9"/>
      <c r="Z345" s="11"/>
      <c r="AA345" s="11"/>
      <c r="AB345" s="11"/>
      <c r="AC345" s="9"/>
      <c r="AD345" s="10"/>
      <c r="AE345" s="9"/>
      <c r="AF345" s="11"/>
      <c r="AG345" s="11"/>
      <c r="AH345" s="11"/>
      <c r="AI345" s="10" t="n">
        <v>6500</v>
      </c>
      <c r="AJ345" s="9" t="s">
        <v>122</v>
      </c>
      <c r="AK345" s="11" t="s">
        <v>123</v>
      </c>
      <c r="AL345" s="11" t="s">
        <v>124</v>
      </c>
      <c r="AM345" s="11" t="s">
        <v>125</v>
      </c>
    </row>
    <row r="346" customFormat="false" ht="15" hidden="false" customHeight="false" outlineLevel="0" collapsed="false">
      <c r="A346" s="9" t="s">
        <v>400</v>
      </c>
      <c r="B346" s="9" t="s">
        <v>401</v>
      </c>
      <c r="C346" s="9" t="s">
        <v>402</v>
      </c>
      <c r="D346" s="9" t="s">
        <v>403</v>
      </c>
      <c r="E346" s="9" t="n">
        <v>1</v>
      </c>
      <c r="F346" s="9" t="n">
        <v>0</v>
      </c>
      <c r="G346" s="9" t="n">
        <v>2016</v>
      </c>
      <c r="H346" s="10" t="n">
        <v>10325452</v>
      </c>
      <c r="I346" s="11" t="s">
        <v>98</v>
      </c>
      <c r="J346" s="11" t="s">
        <v>99</v>
      </c>
      <c r="K346" s="10" t="n">
        <v>1170320</v>
      </c>
      <c r="L346" s="12" t="n">
        <f aca="false">IF(OR($H346="",K346=""),"",K346/$H346)</f>
        <v>0.113343222165964</v>
      </c>
      <c r="M346" s="9" t="s">
        <v>115</v>
      </c>
      <c r="N346" s="11" t="s">
        <v>116</v>
      </c>
      <c r="O346" s="11" t="s">
        <v>404</v>
      </c>
      <c r="P346" s="11" t="s">
        <v>118</v>
      </c>
      <c r="Q346" s="10" t="n">
        <v>360961</v>
      </c>
      <c r="R346" s="12" t="n">
        <f aca="false">IF(OR($H346="",Q346=""),"",Q346/$H346)</f>
        <v>0.0349583727666353</v>
      </c>
      <c r="S346" s="9" t="s">
        <v>115</v>
      </c>
      <c r="T346" s="11" t="s">
        <v>119</v>
      </c>
      <c r="U346" s="11" t="s">
        <v>405</v>
      </c>
      <c r="V346" s="11" t="s">
        <v>121</v>
      </c>
      <c r="W346" s="10"/>
      <c r="X346" s="12"/>
      <c r="Y346" s="9"/>
      <c r="Z346" s="11"/>
      <c r="AA346" s="11"/>
      <c r="AB346" s="11"/>
      <c r="AC346" s="9"/>
      <c r="AD346" s="10"/>
      <c r="AE346" s="9"/>
      <c r="AF346" s="11"/>
      <c r="AG346" s="11"/>
      <c r="AH346" s="11"/>
      <c r="AI346" s="10" t="n">
        <v>6005</v>
      </c>
      <c r="AJ346" s="9" t="s">
        <v>122</v>
      </c>
      <c r="AK346" s="11" t="s">
        <v>123</v>
      </c>
      <c r="AL346" s="11" t="s">
        <v>124</v>
      </c>
      <c r="AM346" s="11" t="s">
        <v>125</v>
      </c>
    </row>
    <row r="347" customFormat="false" ht="15" hidden="false" customHeight="false" outlineLevel="0" collapsed="false">
      <c r="A347" s="9" t="s">
        <v>400</v>
      </c>
      <c r="B347" s="9" t="s">
        <v>401</v>
      </c>
      <c r="C347" s="9" t="s">
        <v>402</v>
      </c>
      <c r="D347" s="9" t="s">
        <v>403</v>
      </c>
      <c r="E347" s="9" t="n">
        <v>1</v>
      </c>
      <c r="F347" s="9" t="n">
        <v>0</v>
      </c>
      <c r="G347" s="9" t="n">
        <v>2017</v>
      </c>
      <c r="H347" s="10" t="n">
        <v>10300300</v>
      </c>
      <c r="I347" s="11" t="s">
        <v>98</v>
      </c>
      <c r="J347" s="11" t="s">
        <v>99</v>
      </c>
      <c r="K347" s="10" t="n">
        <v>1200249</v>
      </c>
      <c r="L347" s="12" t="n">
        <f aca="false">IF(OR($H347="",K347=""),"",K347/$H347)</f>
        <v>0.116525635175674</v>
      </c>
      <c r="M347" s="9" t="s">
        <v>115</v>
      </c>
      <c r="N347" s="11" t="s">
        <v>116</v>
      </c>
      <c r="O347" s="11" t="s">
        <v>404</v>
      </c>
      <c r="P347" s="11" t="s">
        <v>118</v>
      </c>
      <c r="Q347" s="10" t="n">
        <v>370080</v>
      </c>
      <c r="R347" s="12" t="n">
        <f aca="false">IF(OR($H347="",Q347=""),"",Q347/$H347)</f>
        <v>0.0359290506101764</v>
      </c>
      <c r="S347" s="9" t="s">
        <v>115</v>
      </c>
      <c r="T347" s="11" t="s">
        <v>119</v>
      </c>
      <c r="U347" s="11" t="s">
        <v>405</v>
      </c>
      <c r="V347" s="11" t="s">
        <v>121</v>
      </c>
      <c r="W347" s="10"/>
      <c r="X347" s="12"/>
      <c r="Y347" s="9"/>
      <c r="Z347" s="11"/>
      <c r="AA347" s="11"/>
      <c r="AB347" s="11"/>
      <c r="AC347" s="9"/>
      <c r="AD347" s="10"/>
      <c r="AE347" s="9"/>
      <c r="AF347" s="11"/>
      <c r="AG347" s="11"/>
      <c r="AH347" s="11"/>
      <c r="AI347" s="10" t="n">
        <v>4760</v>
      </c>
      <c r="AJ347" s="9" t="s">
        <v>122</v>
      </c>
      <c r="AK347" s="11" t="s">
        <v>123</v>
      </c>
      <c r="AL347" s="11" t="s">
        <v>124</v>
      </c>
      <c r="AM347" s="11" t="s">
        <v>125</v>
      </c>
    </row>
    <row r="348" customFormat="false" ht="15" hidden="false" customHeight="false" outlineLevel="0" collapsed="false">
      <c r="A348" s="9" t="s">
        <v>400</v>
      </c>
      <c r="B348" s="9" t="s">
        <v>401</v>
      </c>
      <c r="C348" s="9" t="s">
        <v>402</v>
      </c>
      <c r="D348" s="9" t="s">
        <v>403</v>
      </c>
      <c r="E348" s="9" t="n">
        <v>1</v>
      </c>
      <c r="F348" s="9" t="n">
        <v>0</v>
      </c>
      <c r="G348" s="9" t="n">
        <v>2018</v>
      </c>
      <c r="H348" s="10" t="n">
        <v>10283822</v>
      </c>
      <c r="I348" s="11" t="s">
        <v>98</v>
      </c>
      <c r="J348" s="11" t="s">
        <v>99</v>
      </c>
      <c r="K348" s="10" t="n">
        <v>1236888</v>
      </c>
      <c r="L348" s="12" t="n">
        <f aca="false">IF(OR($H348="",K348=""),"",K348/$H348)</f>
        <v>0.120275127282444</v>
      </c>
      <c r="M348" s="9" t="s">
        <v>115</v>
      </c>
      <c r="N348" s="11" t="s">
        <v>116</v>
      </c>
      <c r="O348" s="11" t="s">
        <v>404</v>
      </c>
      <c r="P348" s="11" t="s">
        <v>118</v>
      </c>
      <c r="Q348" s="10" t="n">
        <v>387943</v>
      </c>
      <c r="R348" s="12" t="n">
        <f aca="false">IF(OR($H348="",Q348=""),"",Q348/$H348)</f>
        <v>0.0377236206538775</v>
      </c>
      <c r="S348" s="9" t="s">
        <v>115</v>
      </c>
      <c r="T348" s="11" t="s">
        <v>119</v>
      </c>
      <c r="U348" s="11" t="s">
        <v>405</v>
      </c>
      <c r="V348" s="11" t="s">
        <v>121</v>
      </c>
      <c r="W348" s="10"/>
      <c r="X348" s="12"/>
      <c r="Y348" s="9"/>
      <c r="Z348" s="11"/>
      <c r="AA348" s="11"/>
      <c r="AB348" s="11"/>
      <c r="AC348" s="9"/>
      <c r="AD348" s="10"/>
      <c r="AE348" s="9"/>
      <c r="AF348" s="11"/>
      <c r="AG348" s="11"/>
      <c r="AH348" s="11"/>
      <c r="AI348" s="10" t="n">
        <v>5890</v>
      </c>
      <c r="AJ348" s="9" t="s">
        <v>122</v>
      </c>
      <c r="AK348" s="11" t="s">
        <v>123</v>
      </c>
      <c r="AL348" s="11" t="s">
        <v>124</v>
      </c>
      <c r="AM348" s="11" t="s">
        <v>125</v>
      </c>
    </row>
    <row r="349" customFormat="false" ht="15" hidden="false" customHeight="false" outlineLevel="0" collapsed="false">
      <c r="A349" s="9" t="s">
        <v>400</v>
      </c>
      <c r="B349" s="9" t="s">
        <v>401</v>
      </c>
      <c r="C349" s="9" t="s">
        <v>402</v>
      </c>
      <c r="D349" s="9" t="s">
        <v>403</v>
      </c>
      <c r="E349" s="9" t="n">
        <v>1</v>
      </c>
      <c r="F349" s="9" t="n">
        <v>0</v>
      </c>
      <c r="G349" s="9" t="n">
        <v>2019</v>
      </c>
      <c r="H349" s="10" t="n">
        <v>10286263</v>
      </c>
      <c r="I349" s="11" t="s">
        <v>98</v>
      </c>
      <c r="J349" s="11" t="s">
        <v>99</v>
      </c>
      <c r="K349" s="10" t="n">
        <v>1307266</v>
      </c>
      <c r="L349" s="12" t="n">
        <f aca="false">IF(OR($H349="",K349=""),"",K349/$H349)</f>
        <v>0.127088525735731</v>
      </c>
      <c r="M349" s="9" t="s">
        <v>115</v>
      </c>
      <c r="N349" s="11" t="s">
        <v>116</v>
      </c>
      <c r="O349" s="11" t="s">
        <v>404</v>
      </c>
      <c r="P349" s="11" t="s">
        <v>118</v>
      </c>
      <c r="Q349" s="10" t="n">
        <v>441863</v>
      </c>
      <c r="R349" s="12" t="n">
        <f aca="false">IF(OR($H349="",Q349=""),"",Q349/$H349)</f>
        <v>0.0429566111618962</v>
      </c>
      <c r="S349" s="9" t="s">
        <v>115</v>
      </c>
      <c r="T349" s="11" t="s">
        <v>119</v>
      </c>
      <c r="U349" s="11" t="s">
        <v>405</v>
      </c>
      <c r="V349" s="11" t="s">
        <v>121</v>
      </c>
      <c r="W349" s="10"/>
      <c r="X349" s="12"/>
      <c r="Y349" s="9"/>
      <c r="Z349" s="11"/>
      <c r="AA349" s="11"/>
      <c r="AB349" s="11"/>
      <c r="AC349" s="9"/>
      <c r="AD349" s="10"/>
      <c r="AE349" s="9"/>
      <c r="AF349" s="11"/>
      <c r="AG349" s="11"/>
      <c r="AH349" s="11"/>
      <c r="AI349" s="10" t="n">
        <v>3145</v>
      </c>
      <c r="AJ349" s="9" t="s">
        <v>122</v>
      </c>
      <c r="AK349" s="11" t="s">
        <v>123</v>
      </c>
      <c r="AL349" s="11" t="s">
        <v>124</v>
      </c>
      <c r="AM349" s="11" t="s">
        <v>125</v>
      </c>
    </row>
    <row r="350" customFormat="false" ht="15" hidden="false" customHeight="false" outlineLevel="0" collapsed="false">
      <c r="A350" s="9" t="s">
        <v>400</v>
      </c>
      <c r="B350" s="9" t="s">
        <v>401</v>
      </c>
      <c r="C350" s="9" t="s">
        <v>402</v>
      </c>
      <c r="D350" s="9" t="s">
        <v>403</v>
      </c>
      <c r="E350" s="9" t="n">
        <v>1</v>
      </c>
      <c r="F350" s="9" t="n">
        <v>0</v>
      </c>
      <c r="G350" s="9" t="n">
        <v>2020</v>
      </c>
      <c r="H350" s="10" t="n">
        <v>10297081</v>
      </c>
      <c r="I350" s="11" t="s">
        <v>98</v>
      </c>
      <c r="J350" s="11" t="s">
        <v>99</v>
      </c>
      <c r="K350" s="10" t="n">
        <v>1416498</v>
      </c>
      <c r="L350" s="12" t="n">
        <f aca="false">IF(OR($H350="",K350=""),"",K350/$H350)</f>
        <v>0.137563062774781</v>
      </c>
      <c r="M350" s="9" t="s">
        <v>115</v>
      </c>
      <c r="N350" s="11" t="s">
        <v>116</v>
      </c>
      <c r="O350" s="11" t="s">
        <v>404</v>
      </c>
      <c r="P350" s="11" t="s">
        <v>118</v>
      </c>
      <c r="Q350" s="10" t="n">
        <v>520487</v>
      </c>
      <c r="R350" s="12" t="n">
        <f aca="false">IF(OR($H350="",Q350=""),"",Q350/$H350)</f>
        <v>0.0505470433805464</v>
      </c>
      <c r="S350" s="9" t="s">
        <v>115</v>
      </c>
      <c r="T350" s="11" t="s">
        <v>119</v>
      </c>
      <c r="U350" s="11" t="s">
        <v>405</v>
      </c>
      <c r="V350" s="11" t="s">
        <v>121</v>
      </c>
      <c r="W350" s="10"/>
      <c r="X350" s="12"/>
      <c r="Y350" s="9"/>
      <c r="Z350" s="11"/>
      <c r="AA350" s="11"/>
      <c r="AB350" s="11"/>
      <c r="AC350" s="9"/>
      <c r="AD350" s="10"/>
      <c r="AE350" s="9"/>
      <c r="AF350" s="11"/>
      <c r="AG350" s="11"/>
      <c r="AH350" s="11"/>
      <c r="AI350" s="10" t="n">
        <v>1855</v>
      </c>
      <c r="AJ350" s="9" t="s">
        <v>122</v>
      </c>
      <c r="AK350" s="11" t="s">
        <v>123</v>
      </c>
      <c r="AL350" s="11" t="s">
        <v>124</v>
      </c>
      <c r="AM350" s="11" t="s">
        <v>125</v>
      </c>
    </row>
    <row r="351" customFormat="false" ht="15" hidden="false" customHeight="false" outlineLevel="0" collapsed="false">
      <c r="A351" s="9" t="s">
        <v>400</v>
      </c>
      <c r="B351" s="9" t="s">
        <v>401</v>
      </c>
      <c r="C351" s="9" t="s">
        <v>402</v>
      </c>
      <c r="D351" s="9" t="s">
        <v>403</v>
      </c>
      <c r="E351" s="9" t="n">
        <v>1</v>
      </c>
      <c r="F351" s="9" t="n">
        <v>0</v>
      </c>
      <c r="G351" s="9" t="n">
        <v>2021</v>
      </c>
      <c r="H351" s="10" t="n">
        <v>10361831</v>
      </c>
      <c r="I351" s="11" t="s">
        <v>98</v>
      </c>
      <c r="J351" s="11" t="s">
        <v>99</v>
      </c>
      <c r="K351" s="10" t="n">
        <v>1495524</v>
      </c>
      <c r="L351" s="12" t="n">
        <f aca="false">IF(OR($H351="",K351=""),"",K351/$H351)</f>
        <v>0.144330089923296</v>
      </c>
      <c r="M351" s="9" t="s">
        <v>115</v>
      </c>
      <c r="N351" s="11" t="s">
        <v>116</v>
      </c>
      <c r="O351" s="11" t="s">
        <v>404</v>
      </c>
      <c r="P351" s="11" t="s">
        <v>118</v>
      </c>
      <c r="Q351" s="10" t="n">
        <v>595794</v>
      </c>
      <c r="R351" s="12" t="n">
        <f aca="false">IF(OR($H351="",Q351=""),"",Q351/$H351)</f>
        <v>0.0574989111480394</v>
      </c>
      <c r="S351" s="9" t="s">
        <v>115</v>
      </c>
      <c r="T351" s="11" t="s">
        <v>119</v>
      </c>
      <c r="U351" s="11" t="s">
        <v>405</v>
      </c>
      <c r="V351" s="11" t="s">
        <v>121</v>
      </c>
      <c r="W351" s="10"/>
      <c r="X351" s="12"/>
      <c r="Y351" s="9"/>
      <c r="Z351" s="11"/>
      <c r="AA351" s="11"/>
      <c r="AB351" s="11"/>
      <c r="AC351" s="9"/>
      <c r="AD351" s="10"/>
      <c r="AE351" s="9"/>
      <c r="AF351" s="11"/>
      <c r="AG351" s="11"/>
      <c r="AH351" s="11"/>
      <c r="AI351" s="10" t="n">
        <v>2170</v>
      </c>
      <c r="AJ351" s="9" t="s">
        <v>122</v>
      </c>
      <c r="AK351" s="11" t="s">
        <v>123</v>
      </c>
      <c r="AL351" s="11" t="s">
        <v>124</v>
      </c>
      <c r="AM351" s="11" t="s">
        <v>125</v>
      </c>
    </row>
    <row r="352" customFormat="false" ht="15" hidden="false" customHeight="false" outlineLevel="0" collapsed="false">
      <c r="A352" s="9" t="s">
        <v>400</v>
      </c>
      <c r="B352" s="9" t="s">
        <v>401</v>
      </c>
      <c r="C352" s="9" t="s">
        <v>402</v>
      </c>
      <c r="D352" s="9" t="s">
        <v>403</v>
      </c>
      <c r="E352" s="9" t="n">
        <v>1</v>
      </c>
      <c r="F352" s="9" t="n">
        <v>0</v>
      </c>
      <c r="G352" s="9" t="n">
        <v>2022</v>
      </c>
      <c r="H352" s="10" t="n">
        <v>10434332</v>
      </c>
      <c r="I352" s="11" t="s">
        <v>98</v>
      </c>
      <c r="J352" s="11" t="s">
        <v>99</v>
      </c>
      <c r="K352" s="10" t="n">
        <v>1568066</v>
      </c>
      <c r="L352" s="12" t="n">
        <f aca="false">IF(OR($H352="",K352=""),"",K352/$H352)</f>
        <v>0.150279481235598</v>
      </c>
      <c r="M352" s="9" t="s">
        <v>115</v>
      </c>
      <c r="N352" s="11" t="s">
        <v>116</v>
      </c>
      <c r="O352" s="11" t="s">
        <v>404</v>
      </c>
      <c r="P352" s="11" t="s">
        <v>118</v>
      </c>
      <c r="Q352" s="10" t="n">
        <v>643347</v>
      </c>
      <c r="R352" s="12" t="n">
        <f aca="false">IF(OR($H352="",Q352=""),"",Q352/$H352)</f>
        <v>0.0616567500439894</v>
      </c>
      <c r="S352" s="9" t="s">
        <v>115</v>
      </c>
      <c r="T352" s="11" t="s">
        <v>119</v>
      </c>
      <c r="U352" s="11" t="s">
        <v>405</v>
      </c>
      <c r="V352" s="11" t="s">
        <v>121</v>
      </c>
      <c r="W352" s="10"/>
      <c r="X352" s="12"/>
      <c r="Y352" s="9"/>
      <c r="Z352" s="11"/>
      <c r="AA352" s="11"/>
      <c r="AB352" s="11"/>
      <c r="AC352" s="9"/>
      <c r="AD352" s="10"/>
      <c r="AE352" s="9"/>
      <c r="AF352" s="11"/>
      <c r="AG352" s="11"/>
      <c r="AH352" s="11"/>
      <c r="AI352" s="10" t="n">
        <v>1615</v>
      </c>
      <c r="AJ352" s="9" t="s">
        <v>122</v>
      </c>
      <c r="AK352" s="11" t="s">
        <v>123</v>
      </c>
      <c r="AL352" s="11" t="s">
        <v>124</v>
      </c>
      <c r="AM352" s="11" t="s">
        <v>125</v>
      </c>
    </row>
    <row r="353" customFormat="false" ht="15" hidden="false" customHeight="false" outlineLevel="0" collapsed="false">
      <c r="A353" s="9" t="s">
        <v>406</v>
      </c>
      <c r="B353" s="9" t="s">
        <v>407</v>
      </c>
      <c r="C353" s="9" t="s">
        <v>408</v>
      </c>
      <c r="D353" s="9" t="s">
        <v>409</v>
      </c>
      <c r="E353" s="9" t="n">
        <v>1</v>
      </c>
      <c r="F353" s="9" t="n">
        <v>1</v>
      </c>
      <c r="G353" s="9" t="n">
        <v>2010</v>
      </c>
      <c r="H353" s="10" t="n">
        <v>142849468</v>
      </c>
      <c r="I353" s="11" t="s">
        <v>98</v>
      </c>
      <c r="J353" s="11" t="s">
        <v>99</v>
      </c>
      <c r="K353" s="10" t="n">
        <v>11199727</v>
      </c>
      <c r="L353" s="12" t="n">
        <f aca="false">IF(OR($H353="",K353=""),"",K353/$H353)</f>
        <v>0.0784023010852235</v>
      </c>
      <c r="M353" s="9" t="s">
        <v>100</v>
      </c>
      <c r="N353" s="11" t="s">
        <v>167</v>
      </c>
      <c r="O353" s="11" t="s">
        <v>168</v>
      </c>
      <c r="P353" s="11" t="s">
        <v>410</v>
      </c>
      <c r="Q353" s="10"/>
      <c r="R353" s="12"/>
      <c r="S353" s="9"/>
      <c r="T353" s="11"/>
      <c r="U353" s="11"/>
      <c r="V353" s="11"/>
      <c r="W353" s="10"/>
      <c r="X353" s="12"/>
      <c r="Y353" s="9"/>
      <c r="Z353" s="11"/>
      <c r="AA353" s="11"/>
      <c r="AB353" s="11"/>
      <c r="AC353" s="9"/>
      <c r="AD353" s="10"/>
      <c r="AE353" s="9"/>
      <c r="AF353" s="11"/>
      <c r="AG353" s="11"/>
      <c r="AH353" s="11"/>
      <c r="AI353" s="10"/>
      <c r="AJ353" s="9"/>
      <c r="AK353" s="11"/>
      <c r="AL353" s="11"/>
      <c r="AM353" s="11"/>
    </row>
    <row r="354" customFormat="false" ht="15" hidden="false" customHeight="false" outlineLevel="0" collapsed="false">
      <c r="A354" s="9" t="s">
        <v>406</v>
      </c>
      <c r="B354" s="9" t="s">
        <v>407</v>
      </c>
      <c r="C354" s="9" t="s">
        <v>408</v>
      </c>
      <c r="D354" s="9" t="s">
        <v>409</v>
      </c>
      <c r="E354" s="9" t="n">
        <v>1</v>
      </c>
      <c r="F354" s="9" t="n">
        <v>1</v>
      </c>
      <c r="G354" s="9" t="n">
        <v>2011</v>
      </c>
      <c r="H354" s="10" t="n">
        <v>143018195</v>
      </c>
      <c r="I354" s="11" t="s">
        <v>98</v>
      </c>
      <c r="J354" s="11" t="s">
        <v>99</v>
      </c>
      <c r="K354" s="10"/>
      <c r="L354" s="12"/>
      <c r="M354" s="9"/>
      <c r="N354" s="11"/>
      <c r="O354" s="11"/>
      <c r="P354" s="11"/>
      <c r="Q354" s="10"/>
      <c r="R354" s="12"/>
      <c r="S354" s="9"/>
      <c r="T354" s="11"/>
      <c r="U354" s="11"/>
      <c r="V354" s="11"/>
      <c r="W354" s="10"/>
      <c r="X354" s="12"/>
      <c r="Y354" s="9"/>
      <c r="Z354" s="11"/>
      <c r="AA354" s="11"/>
      <c r="AB354" s="11"/>
      <c r="AC354" s="9"/>
      <c r="AD354" s="10"/>
      <c r="AE354" s="9"/>
      <c r="AF354" s="11"/>
      <c r="AG354" s="11"/>
      <c r="AH354" s="11"/>
      <c r="AI354" s="10"/>
      <c r="AJ354" s="9"/>
      <c r="AK354" s="11"/>
      <c r="AL354" s="11"/>
      <c r="AM354" s="11"/>
    </row>
    <row r="355" customFormat="false" ht="15" hidden="false" customHeight="false" outlineLevel="0" collapsed="false">
      <c r="A355" s="9" t="s">
        <v>406</v>
      </c>
      <c r="B355" s="9" t="s">
        <v>407</v>
      </c>
      <c r="C355" s="9" t="s">
        <v>408</v>
      </c>
      <c r="D355" s="9" t="s">
        <v>409</v>
      </c>
      <c r="E355" s="9" t="n">
        <v>1</v>
      </c>
      <c r="F355" s="9" t="n">
        <v>1</v>
      </c>
      <c r="G355" s="9" t="n">
        <v>2012</v>
      </c>
      <c r="H355" s="10" t="n">
        <v>143378447</v>
      </c>
      <c r="I355" s="11" t="s">
        <v>98</v>
      </c>
      <c r="J355" s="11" t="s">
        <v>99</v>
      </c>
      <c r="K355" s="10"/>
      <c r="L355" s="12"/>
      <c r="M355" s="9"/>
      <c r="N355" s="11"/>
      <c r="O355" s="11"/>
      <c r="P355" s="11"/>
      <c r="Q355" s="10"/>
      <c r="R355" s="12"/>
      <c r="S355" s="9"/>
      <c r="T355" s="11"/>
      <c r="U355" s="11"/>
      <c r="V355" s="11"/>
      <c r="W355" s="10"/>
      <c r="X355" s="12"/>
      <c r="Y355" s="9"/>
      <c r="Z355" s="11"/>
      <c r="AA355" s="11"/>
      <c r="AB355" s="11"/>
      <c r="AC355" s="9"/>
      <c r="AD355" s="10"/>
      <c r="AE355" s="9"/>
      <c r="AF355" s="11"/>
      <c r="AG355" s="11"/>
      <c r="AH355" s="11"/>
      <c r="AI355" s="10"/>
      <c r="AJ355" s="9"/>
      <c r="AK355" s="11"/>
      <c r="AL355" s="11"/>
      <c r="AM355" s="11"/>
    </row>
    <row r="356" customFormat="false" ht="15" hidden="false" customHeight="false" outlineLevel="0" collapsed="false">
      <c r="A356" s="9" t="s">
        <v>406</v>
      </c>
      <c r="B356" s="9" t="s">
        <v>407</v>
      </c>
      <c r="C356" s="9" t="s">
        <v>408</v>
      </c>
      <c r="D356" s="9" t="s">
        <v>409</v>
      </c>
      <c r="E356" s="9" t="n">
        <v>1</v>
      </c>
      <c r="F356" s="9" t="n">
        <v>1</v>
      </c>
      <c r="G356" s="9" t="n">
        <v>2013</v>
      </c>
      <c r="H356" s="10" t="n">
        <v>143805638</v>
      </c>
      <c r="I356" s="11" t="s">
        <v>98</v>
      </c>
      <c r="J356" s="11" t="s">
        <v>99</v>
      </c>
      <c r="K356" s="10"/>
      <c r="L356" s="12"/>
      <c r="M356" s="9"/>
      <c r="N356" s="11"/>
      <c r="O356" s="11"/>
      <c r="P356" s="11"/>
      <c r="Q356" s="10"/>
      <c r="R356" s="12"/>
      <c r="S356" s="9"/>
      <c r="T356" s="11"/>
      <c r="U356" s="11"/>
      <c r="V356" s="11"/>
      <c r="W356" s="10"/>
      <c r="X356" s="12"/>
      <c r="Y356" s="9"/>
      <c r="Z356" s="11"/>
      <c r="AA356" s="11"/>
      <c r="AB356" s="11"/>
      <c r="AC356" s="9"/>
      <c r="AD356" s="10"/>
      <c r="AE356" s="9"/>
      <c r="AF356" s="11"/>
      <c r="AG356" s="11"/>
      <c r="AH356" s="11"/>
      <c r="AI356" s="10"/>
      <c r="AJ356" s="9"/>
      <c r="AK356" s="11"/>
      <c r="AL356" s="11"/>
      <c r="AM356" s="11"/>
    </row>
    <row r="357" customFormat="false" ht="15" hidden="false" customHeight="false" outlineLevel="0" collapsed="false">
      <c r="A357" s="9" t="s">
        <v>406</v>
      </c>
      <c r="B357" s="9" t="s">
        <v>407</v>
      </c>
      <c r="C357" s="9" t="s">
        <v>408</v>
      </c>
      <c r="D357" s="9" t="s">
        <v>409</v>
      </c>
      <c r="E357" s="9" t="n">
        <v>1</v>
      </c>
      <c r="F357" s="9" t="n">
        <v>1</v>
      </c>
      <c r="G357" s="9" t="n">
        <v>2014</v>
      </c>
      <c r="H357" s="10" t="n">
        <v>144237223</v>
      </c>
      <c r="I357" s="11" t="s">
        <v>98</v>
      </c>
      <c r="J357" s="11" t="s">
        <v>99</v>
      </c>
      <c r="K357" s="10"/>
      <c r="L357" s="12"/>
      <c r="M357" s="9"/>
      <c r="N357" s="11"/>
      <c r="O357" s="11"/>
      <c r="P357" s="11"/>
      <c r="Q357" s="10"/>
      <c r="R357" s="12"/>
      <c r="S357" s="9"/>
      <c r="T357" s="11"/>
      <c r="U357" s="11"/>
      <c r="V357" s="11"/>
      <c r="W357" s="10"/>
      <c r="X357" s="12"/>
      <c r="Y357" s="9"/>
      <c r="Z357" s="11"/>
      <c r="AA357" s="11"/>
      <c r="AB357" s="11"/>
      <c r="AC357" s="9"/>
      <c r="AD357" s="10"/>
      <c r="AE357" s="9"/>
      <c r="AF357" s="11"/>
      <c r="AG357" s="11"/>
      <c r="AH357" s="11"/>
      <c r="AI357" s="10"/>
      <c r="AJ357" s="9"/>
      <c r="AK357" s="11"/>
      <c r="AL357" s="11"/>
      <c r="AM357" s="11"/>
    </row>
    <row r="358" customFormat="false" ht="15" hidden="false" customHeight="false" outlineLevel="0" collapsed="false">
      <c r="A358" s="9" t="s">
        <v>406</v>
      </c>
      <c r="B358" s="9" t="s">
        <v>407</v>
      </c>
      <c r="C358" s="9" t="s">
        <v>408</v>
      </c>
      <c r="D358" s="9" t="s">
        <v>409</v>
      </c>
      <c r="E358" s="9" t="n">
        <v>1</v>
      </c>
      <c r="F358" s="9" t="n">
        <v>1</v>
      </c>
      <c r="G358" s="9" t="n">
        <v>2015</v>
      </c>
      <c r="H358" s="10" t="n">
        <v>144640716</v>
      </c>
      <c r="I358" s="11" t="s">
        <v>98</v>
      </c>
      <c r="J358" s="11" t="s">
        <v>99</v>
      </c>
      <c r="K358" s="10" t="n">
        <v>9098229</v>
      </c>
      <c r="L358" s="12" t="n">
        <f aca="false">IF(OR($H358="",K358=""),"",K358/$H358)</f>
        <v>0.0629022674362314</v>
      </c>
      <c r="M358" s="9" t="s">
        <v>100</v>
      </c>
      <c r="N358" s="11" t="s">
        <v>167</v>
      </c>
      <c r="O358" s="11" t="s">
        <v>168</v>
      </c>
      <c r="P358" s="11" t="s">
        <v>410</v>
      </c>
      <c r="Q358" s="10"/>
      <c r="R358" s="12"/>
      <c r="S358" s="9"/>
      <c r="T358" s="11"/>
      <c r="U358" s="11"/>
      <c r="V358" s="11"/>
      <c r="W358" s="10"/>
      <c r="X358" s="12"/>
      <c r="Y358" s="9"/>
      <c r="Z358" s="11"/>
      <c r="AA358" s="11"/>
      <c r="AB358" s="11"/>
      <c r="AC358" s="9"/>
      <c r="AD358" s="10"/>
      <c r="AE358" s="9"/>
      <c r="AF358" s="11"/>
      <c r="AG358" s="11"/>
      <c r="AH358" s="11"/>
      <c r="AI358" s="10"/>
      <c r="AJ358" s="9"/>
      <c r="AK358" s="11"/>
      <c r="AL358" s="11"/>
      <c r="AM358" s="11"/>
    </row>
    <row r="359" customFormat="false" ht="15" hidden="false" customHeight="false" outlineLevel="0" collapsed="false">
      <c r="A359" s="9" t="s">
        <v>406</v>
      </c>
      <c r="B359" s="9" t="s">
        <v>407</v>
      </c>
      <c r="C359" s="9" t="s">
        <v>408</v>
      </c>
      <c r="D359" s="9" t="s">
        <v>409</v>
      </c>
      <c r="E359" s="9" t="n">
        <v>1</v>
      </c>
      <c r="F359" s="9" t="n">
        <v>1</v>
      </c>
      <c r="G359" s="9" t="n">
        <v>2016</v>
      </c>
      <c r="H359" s="10" t="n">
        <v>145015460</v>
      </c>
      <c r="I359" s="11" t="s">
        <v>98</v>
      </c>
      <c r="J359" s="11" t="s">
        <v>99</v>
      </c>
      <c r="K359" s="10"/>
      <c r="L359" s="12"/>
      <c r="M359" s="9"/>
      <c r="N359" s="11"/>
      <c r="O359" s="11"/>
      <c r="P359" s="11"/>
      <c r="Q359" s="10"/>
      <c r="R359" s="12"/>
      <c r="S359" s="9"/>
      <c r="T359" s="11"/>
      <c r="U359" s="11"/>
      <c r="V359" s="11"/>
      <c r="W359" s="10"/>
      <c r="X359" s="12"/>
      <c r="Y359" s="9"/>
      <c r="Z359" s="11"/>
      <c r="AA359" s="11"/>
      <c r="AB359" s="11"/>
      <c r="AC359" s="9"/>
      <c r="AD359" s="10"/>
      <c r="AE359" s="9"/>
      <c r="AF359" s="11"/>
      <c r="AG359" s="11"/>
      <c r="AH359" s="11"/>
      <c r="AI359" s="10"/>
      <c r="AJ359" s="9"/>
      <c r="AK359" s="11"/>
      <c r="AL359" s="11"/>
      <c r="AM359" s="11"/>
    </row>
    <row r="360" customFormat="false" ht="15" hidden="false" customHeight="false" outlineLevel="0" collapsed="false">
      <c r="A360" s="9" t="s">
        <v>406</v>
      </c>
      <c r="B360" s="9" t="s">
        <v>407</v>
      </c>
      <c r="C360" s="9" t="s">
        <v>408</v>
      </c>
      <c r="D360" s="9" t="s">
        <v>409</v>
      </c>
      <c r="E360" s="9" t="n">
        <v>1</v>
      </c>
      <c r="F360" s="9" t="n">
        <v>1</v>
      </c>
      <c r="G360" s="9" t="n">
        <v>2017</v>
      </c>
      <c r="H360" s="10" t="n">
        <v>145293260</v>
      </c>
      <c r="I360" s="11" t="s">
        <v>98</v>
      </c>
      <c r="J360" s="11" t="s">
        <v>99</v>
      </c>
      <c r="K360" s="10"/>
      <c r="L360" s="12"/>
      <c r="M360" s="9"/>
      <c r="N360" s="11"/>
      <c r="O360" s="11"/>
      <c r="P360" s="11"/>
      <c r="Q360" s="10"/>
      <c r="R360" s="12"/>
      <c r="S360" s="9"/>
      <c r="T360" s="11"/>
      <c r="U360" s="11"/>
      <c r="V360" s="11"/>
      <c r="W360" s="10"/>
      <c r="X360" s="12"/>
      <c r="Y360" s="9"/>
      <c r="Z360" s="11"/>
      <c r="AA360" s="11"/>
      <c r="AB360" s="11"/>
      <c r="AC360" s="9"/>
      <c r="AD360" s="10"/>
      <c r="AE360" s="9"/>
      <c r="AF360" s="11"/>
      <c r="AG360" s="11"/>
      <c r="AH360" s="11"/>
      <c r="AI360" s="10"/>
      <c r="AJ360" s="9"/>
      <c r="AK360" s="11"/>
      <c r="AL360" s="11"/>
      <c r="AM360" s="11"/>
    </row>
    <row r="361" customFormat="false" ht="15" hidden="false" customHeight="false" outlineLevel="0" collapsed="false">
      <c r="A361" s="9" t="s">
        <v>406</v>
      </c>
      <c r="B361" s="9" t="s">
        <v>407</v>
      </c>
      <c r="C361" s="9" t="s">
        <v>408</v>
      </c>
      <c r="D361" s="9" t="s">
        <v>409</v>
      </c>
      <c r="E361" s="9" t="n">
        <v>1</v>
      </c>
      <c r="F361" s="9" t="n">
        <v>1</v>
      </c>
      <c r="G361" s="9" t="n">
        <v>2018</v>
      </c>
      <c r="H361" s="10" t="n">
        <v>145398106</v>
      </c>
      <c r="I361" s="11" t="s">
        <v>98</v>
      </c>
      <c r="J361" s="11" t="s">
        <v>99</v>
      </c>
      <c r="K361" s="10"/>
      <c r="L361" s="12"/>
      <c r="M361" s="9"/>
      <c r="N361" s="11"/>
      <c r="O361" s="11"/>
      <c r="P361" s="11"/>
      <c r="Q361" s="10"/>
      <c r="R361" s="12"/>
      <c r="S361" s="9"/>
      <c r="T361" s="11"/>
      <c r="U361" s="11"/>
      <c r="V361" s="11"/>
      <c r="W361" s="10"/>
      <c r="X361" s="12"/>
      <c r="Y361" s="9"/>
      <c r="Z361" s="11"/>
      <c r="AA361" s="11"/>
      <c r="AB361" s="11"/>
      <c r="AC361" s="9"/>
      <c r="AD361" s="10"/>
      <c r="AE361" s="9"/>
      <c r="AF361" s="11"/>
      <c r="AG361" s="11"/>
      <c r="AH361" s="11"/>
      <c r="AI361" s="10"/>
      <c r="AJ361" s="9"/>
      <c r="AK361" s="11"/>
      <c r="AL361" s="11"/>
      <c r="AM361" s="11"/>
    </row>
    <row r="362" customFormat="false" ht="15" hidden="false" customHeight="false" outlineLevel="0" collapsed="false">
      <c r="A362" s="9" t="s">
        <v>406</v>
      </c>
      <c r="B362" s="9" t="s">
        <v>407</v>
      </c>
      <c r="C362" s="9" t="s">
        <v>408</v>
      </c>
      <c r="D362" s="9" t="s">
        <v>409</v>
      </c>
      <c r="E362" s="9" t="n">
        <v>1</v>
      </c>
      <c r="F362" s="9" t="n">
        <v>1</v>
      </c>
      <c r="G362" s="9" t="n">
        <v>2019</v>
      </c>
      <c r="H362" s="10" t="n">
        <v>145453291</v>
      </c>
      <c r="I362" s="11" t="s">
        <v>98</v>
      </c>
      <c r="J362" s="11" t="s">
        <v>99</v>
      </c>
      <c r="K362" s="10"/>
      <c r="L362" s="12"/>
      <c r="M362" s="9"/>
      <c r="N362" s="11"/>
      <c r="O362" s="11"/>
      <c r="P362" s="11"/>
      <c r="Q362" s="10"/>
      <c r="R362" s="12"/>
      <c r="S362" s="9"/>
      <c r="T362" s="11"/>
      <c r="U362" s="11"/>
      <c r="V362" s="11"/>
      <c r="W362" s="10"/>
      <c r="X362" s="12"/>
      <c r="Y362" s="9"/>
      <c r="Z362" s="11"/>
      <c r="AA362" s="11"/>
      <c r="AB362" s="11"/>
      <c r="AC362" s="9"/>
      <c r="AD362" s="10"/>
      <c r="AE362" s="9"/>
      <c r="AF362" s="11"/>
      <c r="AG362" s="11"/>
      <c r="AH362" s="11"/>
      <c r="AI362" s="10"/>
      <c r="AJ362" s="9"/>
      <c r="AK362" s="11"/>
      <c r="AL362" s="11"/>
      <c r="AM362" s="11"/>
    </row>
    <row r="363" customFormat="false" ht="15" hidden="false" customHeight="false" outlineLevel="0" collapsed="false">
      <c r="A363" s="9" t="s">
        <v>406</v>
      </c>
      <c r="B363" s="9" t="s">
        <v>407</v>
      </c>
      <c r="C363" s="9" t="s">
        <v>408</v>
      </c>
      <c r="D363" s="9" t="s">
        <v>409</v>
      </c>
      <c r="E363" s="9" t="n">
        <v>1</v>
      </c>
      <c r="F363" s="9" t="n">
        <v>1</v>
      </c>
      <c r="G363" s="9" t="n">
        <v>2020</v>
      </c>
      <c r="H363" s="10" t="n">
        <v>145245148</v>
      </c>
      <c r="I363" s="11" t="s">
        <v>98</v>
      </c>
      <c r="J363" s="11" t="s">
        <v>99</v>
      </c>
      <c r="K363" s="10" t="n">
        <v>7297611</v>
      </c>
      <c r="L363" s="12" t="n">
        <f aca="false">IF(OR($H363="",K363=""),"",K363/$H363)</f>
        <v>0.0502434064096929</v>
      </c>
      <c r="M363" s="9" t="s">
        <v>100</v>
      </c>
      <c r="N363" s="11" t="s">
        <v>167</v>
      </c>
      <c r="O363" s="11" t="s">
        <v>168</v>
      </c>
      <c r="P363" s="11" t="s">
        <v>411</v>
      </c>
      <c r="Q363" s="10"/>
      <c r="R363" s="12"/>
      <c r="S363" s="9"/>
      <c r="T363" s="11"/>
      <c r="U363" s="11"/>
      <c r="V363" s="11"/>
      <c r="W363" s="10" t="n">
        <v>1200000</v>
      </c>
      <c r="X363" s="12" t="n">
        <f aca="false">IF(OR($H363="",W363=""),"",W363/$H363)</f>
        <v>0.00826189388440019</v>
      </c>
      <c r="Y363" s="9" t="s">
        <v>126</v>
      </c>
      <c r="Z363" s="11" t="s">
        <v>412</v>
      </c>
      <c r="AA363" s="11" t="s">
        <v>413</v>
      </c>
      <c r="AB363" s="11" t="s">
        <v>414</v>
      </c>
      <c r="AC363" s="9" t="n">
        <v>1</v>
      </c>
      <c r="AD363" s="10"/>
      <c r="AE363" s="9"/>
      <c r="AF363" s="11"/>
      <c r="AG363" s="11"/>
      <c r="AH363" s="11"/>
      <c r="AI363" s="10"/>
      <c r="AJ363" s="9"/>
      <c r="AK363" s="11"/>
      <c r="AL363" s="11"/>
      <c r="AM363" s="11"/>
    </row>
    <row r="364" customFormat="false" ht="15" hidden="false" customHeight="false" outlineLevel="0" collapsed="false">
      <c r="A364" s="9" t="s">
        <v>406</v>
      </c>
      <c r="B364" s="9" t="s">
        <v>407</v>
      </c>
      <c r="C364" s="9" t="s">
        <v>408</v>
      </c>
      <c r="D364" s="9" t="s">
        <v>409</v>
      </c>
      <c r="E364" s="9" t="n">
        <v>1</v>
      </c>
      <c r="F364" s="9" t="n">
        <v>1</v>
      </c>
      <c r="G364" s="9" t="n">
        <v>2021</v>
      </c>
      <c r="H364" s="10" t="n">
        <v>144746762</v>
      </c>
      <c r="I364" s="11" t="s">
        <v>98</v>
      </c>
      <c r="J364" s="11" t="s">
        <v>99</v>
      </c>
      <c r="K364" s="10"/>
      <c r="L364" s="12"/>
      <c r="M364" s="9"/>
      <c r="N364" s="11"/>
      <c r="O364" s="11"/>
      <c r="P364" s="11"/>
      <c r="Q364" s="10"/>
      <c r="R364" s="12"/>
      <c r="S364" s="9"/>
      <c r="T364" s="11"/>
      <c r="U364" s="11"/>
      <c r="V364" s="11"/>
      <c r="W364" s="10"/>
      <c r="X364" s="12"/>
      <c r="Y364" s="9"/>
      <c r="Z364" s="11"/>
      <c r="AA364" s="11"/>
      <c r="AB364" s="11"/>
      <c r="AC364" s="9"/>
      <c r="AD364" s="10"/>
      <c r="AE364" s="9"/>
      <c r="AF364" s="11"/>
      <c r="AG364" s="11"/>
      <c r="AH364" s="11"/>
      <c r="AI364" s="10"/>
      <c r="AJ364" s="9"/>
      <c r="AK364" s="11"/>
      <c r="AL364" s="11"/>
      <c r="AM364" s="11"/>
    </row>
    <row r="365" customFormat="false" ht="15" hidden="false" customHeight="false" outlineLevel="0" collapsed="false">
      <c r="A365" s="9" t="s">
        <v>406</v>
      </c>
      <c r="B365" s="9" t="s">
        <v>407</v>
      </c>
      <c r="C365" s="9" t="s">
        <v>408</v>
      </c>
      <c r="D365" s="9" t="s">
        <v>409</v>
      </c>
      <c r="E365" s="9" t="n">
        <v>1</v>
      </c>
      <c r="F365" s="9" t="n">
        <v>1</v>
      </c>
      <c r="G365" s="9" t="n">
        <v>2022</v>
      </c>
      <c r="H365" s="10" t="n">
        <v>144236933</v>
      </c>
      <c r="I365" s="11" t="s">
        <v>98</v>
      </c>
      <c r="J365" s="11" t="s">
        <v>99</v>
      </c>
      <c r="K365" s="10"/>
      <c r="L365" s="12"/>
      <c r="M365" s="9"/>
      <c r="N365" s="11"/>
      <c r="O365" s="11"/>
      <c r="P365" s="11"/>
      <c r="Q365" s="10"/>
      <c r="R365" s="12"/>
      <c r="S365" s="9"/>
      <c r="T365" s="11"/>
      <c r="U365" s="11"/>
      <c r="V365" s="11"/>
      <c r="W365" s="10"/>
      <c r="X365" s="12"/>
      <c r="Y365" s="9"/>
      <c r="Z365" s="11"/>
      <c r="AA365" s="11"/>
      <c r="AB365" s="11"/>
      <c r="AC365" s="9"/>
      <c r="AD365" s="10"/>
      <c r="AE365" s="9"/>
      <c r="AF365" s="11"/>
      <c r="AG365" s="11"/>
      <c r="AH365" s="11"/>
      <c r="AI365" s="10"/>
      <c r="AJ365" s="9"/>
      <c r="AK365" s="11"/>
      <c r="AL365" s="11"/>
      <c r="AM365" s="11"/>
    </row>
    <row r="366" customFormat="false" ht="15" hidden="false" customHeight="false" outlineLevel="0" collapsed="false">
      <c r="A366" s="9" t="s">
        <v>415</v>
      </c>
      <c r="B366" s="9" t="s">
        <v>416</v>
      </c>
      <c r="C366" s="9" t="s">
        <v>417</v>
      </c>
      <c r="D366" s="9" t="s">
        <v>418</v>
      </c>
      <c r="E366" s="9" t="n">
        <v>1</v>
      </c>
      <c r="F366" s="9" t="n">
        <v>1</v>
      </c>
      <c r="G366" s="9" t="n">
        <v>2010</v>
      </c>
      <c r="H366" s="10" t="n">
        <v>5391428</v>
      </c>
      <c r="I366" s="11" t="s">
        <v>98</v>
      </c>
      <c r="J366" s="11" t="s">
        <v>99</v>
      </c>
      <c r="K366" s="10" t="n">
        <v>64422</v>
      </c>
      <c r="L366" s="12" t="n">
        <f aca="false">IF(OR($H366="",K366=""),"",K366/$H366)</f>
        <v>0.0119489678801238</v>
      </c>
      <c r="M366" s="9" t="s">
        <v>115</v>
      </c>
      <c r="N366" s="11" t="s">
        <v>116</v>
      </c>
      <c r="O366" s="11" t="s">
        <v>419</v>
      </c>
      <c r="P366" s="11" t="s">
        <v>118</v>
      </c>
      <c r="Q366" s="10" t="n">
        <v>65894</v>
      </c>
      <c r="R366" s="12" t="n">
        <f aca="false">IF(OR($H366="",Q366=""),"",Q366/$H366)</f>
        <v>0.012221993876205</v>
      </c>
      <c r="S366" s="9" t="s">
        <v>115</v>
      </c>
      <c r="T366" s="11" t="s">
        <v>119</v>
      </c>
      <c r="U366" s="11" t="s">
        <v>420</v>
      </c>
      <c r="V366" s="11" t="s">
        <v>121</v>
      </c>
      <c r="W366" s="10"/>
      <c r="X366" s="12"/>
      <c r="Y366" s="9"/>
      <c r="Z366" s="11"/>
      <c r="AA366" s="11"/>
      <c r="AB366" s="11"/>
      <c r="AC366" s="9"/>
      <c r="AD366" s="10"/>
      <c r="AE366" s="9"/>
      <c r="AF366" s="11"/>
      <c r="AG366" s="11"/>
      <c r="AH366" s="11"/>
      <c r="AI366" s="10" t="n">
        <v>1440</v>
      </c>
      <c r="AJ366" s="9" t="s">
        <v>122</v>
      </c>
      <c r="AK366" s="11" t="s">
        <v>123</v>
      </c>
      <c r="AL366" s="11" t="s">
        <v>124</v>
      </c>
      <c r="AM366" s="11" t="s">
        <v>125</v>
      </c>
    </row>
    <row r="367" customFormat="false" ht="15" hidden="false" customHeight="false" outlineLevel="0" collapsed="false">
      <c r="A367" s="9" t="s">
        <v>415</v>
      </c>
      <c r="B367" s="9" t="s">
        <v>416</v>
      </c>
      <c r="C367" s="9" t="s">
        <v>417</v>
      </c>
      <c r="D367" s="9" t="s">
        <v>418</v>
      </c>
      <c r="E367" s="9" t="n">
        <v>1</v>
      </c>
      <c r="F367" s="9" t="n">
        <v>1</v>
      </c>
      <c r="G367" s="9" t="n">
        <v>2011</v>
      </c>
      <c r="H367" s="10" t="n">
        <v>5398384</v>
      </c>
      <c r="I367" s="11" t="s">
        <v>98</v>
      </c>
      <c r="J367" s="11" t="s">
        <v>99</v>
      </c>
      <c r="K367" s="10" t="n">
        <v>68135</v>
      </c>
      <c r="L367" s="12" t="n">
        <f aca="false">IF(OR($H367="",K367=""),"",K367/$H367)</f>
        <v>0.0126213696543262</v>
      </c>
      <c r="M367" s="9" t="s">
        <v>115</v>
      </c>
      <c r="N367" s="11" t="s">
        <v>116</v>
      </c>
      <c r="O367" s="11" t="s">
        <v>419</v>
      </c>
      <c r="P367" s="11" t="s">
        <v>118</v>
      </c>
      <c r="Q367" s="10" t="n">
        <v>69607</v>
      </c>
      <c r="R367" s="12" t="n">
        <f aca="false">IF(OR($H367="",Q367=""),"",Q367/$H367)</f>
        <v>0.0128940438471958</v>
      </c>
      <c r="S367" s="9" t="s">
        <v>115</v>
      </c>
      <c r="T367" s="11" t="s">
        <v>119</v>
      </c>
      <c r="U367" s="11" t="s">
        <v>420</v>
      </c>
      <c r="V367" s="11" t="s">
        <v>121</v>
      </c>
      <c r="W367" s="10"/>
      <c r="X367" s="12"/>
      <c r="Y367" s="9"/>
      <c r="Z367" s="11"/>
      <c r="AA367" s="11"/>
      <c r="AB367" s="11"/>
      <c r="AC367" s="9"/>
      <c r="AD367" s="10"/>
      <c r="AE367" s="9"/>
      <c r="AF367" s="11"/>
      <c r="AG367" s="11"/>
      <c r="AH367" s="11"/>
      <c r="AI367" s="10" t="n">
        <v>1145</v>
      </c>
      <c r="AJ367" s="9" t="s">
        <v>122</v>
      </c>
      <c r="AK367" s="11" t="s">
        <v>123</v>
      </c>
      <c r="AL367" s="11" t="s">
        <v>124</v>
      </c>
      <c r="AM367" s="11" t="s">
        <v>125</v>
      </c>
    </row>
    <row r="368" customFormat="false" ht="15" hidden="false" customHeight="false" outlineLevel="0" collapsed="false">
      <c r="A368" s="9" t="s">
        <v>415</v>
      </c>
      <c r="B368" s="9" t="s">
        <v>416</v>
      </c>
      <c r="C368" s="9" t="s">
        <v>417</v>
      </c>
      <c r="D368" s="9" t="s">
        <v>418</v>
      </c>
      <c r="E368" s="9" t="n">
        <v>1</v>
      </c>
      <c r="F368" s="9" t="n">
        <v>1</v>
      </c>
      <c r="G368" s="9" t="n">
        <v>2012</v>
      </c>
      <c r="H368" s="10" t="n">
        <v>5407579</v>
      </c>
      <c r="I368" s="11" t="s">
        <v>98</v>
      </c>
      <c r="J368" s="11" t="s">
        <v>99</v>
      </c>
      <c r="K368" s="10" t="n">
        <v>156883</v>
      </c>
      <c r="L368" s="12" t="n">
        <f aca="false">IF(OR($H368="",K368=""),"",K368/$H368)</f>
        <v>0.029011688964692</v>
      </c>
      <c r="M368" s="9" t="s">
        <v>115</v>
      </c>
      <c r="N368" s="11" t="s">
        <v>116</v>
      </c>
      <c r="O368" s="11" t="s">
        <v>419</v>
      </c>
      <c r="P368" s="11" t="s">
        <v>200</v>
      </c>
      <c r="Q368" s="10" t="n">
        <v>70727</v>
      </c>
      <c r="R368" s="12" t="n">
        <f aca="false">IF(OR($H368="",Q368=""),"",Q368/$H368)</f>
        <v>0.0130792356431594</v>
      </c>
      <c r="S368" s="9" t="s">
        <v>115</v>
      </c>
      <c r="T368" s="11" t="s">
        <v>119</v>
      </c>
      <c r="U368" s="11" t="s">
        <v>420</v>
      </c>
      <c r="V368" s="11" t="s">
        <v>121</v>
      </c>
      <c r="W368" s="10"/>
      <c r="X368" s="12"/>
      <c r="Y368" s="9"/>
      <c r="Z368" s="11"/>
      <c r="AA368" s="11"/>
      <c r="AB368" s="11"/>
      <c r="AC368" s="9"/>
      <c r="AD368" s="10"/>
      <c r="AE368" s="9"/>
      <c r="AF368" s="11"/>
      <c r="AG368" s="11"/>
      <c r="AH368" s="11"/>
      <c r="AI368" s="10" t="n">
        <v>1395</v>
      </c>
      <c r="AJ368" s="9" t="s">
        <v>122</v>
      </c>
      <c r="AK368" s="11" t="s">
        <v>123</v>
      </c>
      <c r="AL368" s="11" t="s">
        <v>124</v>
      </c>
      <c r="AM368" s="11" t="s">
        <v>125</v>
      </c>
    </row>
    <row r="369" customFormat="false" ht="15" hidden="false" customHeight="false" outlineLevel="0" collapsed="false">
      <c r="A369" s="9" t="s">
        <v>415</v>
      </c>
      <c r="B369" s="9" t="s">
        <v>416</v>
      </c>
      <c r="C369" s="9" t="s">
        <v>417</v>
      </c>
      <c r="D369" s="9" t="s">
        <v>418</v>
      </c>
      <c r="E369" s="9" t="n">
        <v>1</v>
      </c>
      <c r="F369" s="9" t="n">
        <v>1</v>
      </c>
      <c r="G369" s="9" t="n">
        <v>2013</v>
      </c>
      <c r="H369" s="10" t="n">
        <v>5413393</v>
      </c>
      <c r="I369" s="11" t="s">
        <v>98</v>
      </c>
      <c r="J369" s="11" t="s">
        <v>99</v>
      </c>
      <c r="K369" s="10" t="n">
        <v>158164</v>
      </c>
      <c r="L369" s="12" t="n">
        <f aca="false">IF(OR($H369="",K369=""),"",K369/$H369)</f>
        <v>0.0292171656482358</v>
      </c>
      <c r="M369" s="9" t="s">
        <v>115</v>
      </c>
      <c r="N369" s="11" t="s">
        <v>116</v>
      </c>
      <c r="O369" s="11" t="s">
        <v>419</v>
      </c>
      <c r="P369" s="11" t="s">
        <v>118</v>
      </c>
      <c r="Q369" s="10" t="n">
        <v>72925</v>
      </c>
      <c r="R369" s="12" t="n">
        <f aca="false">IF(OR($H369="",Q369=""),"",Q369/$H369)</f>
        <v>0.0134712185130472</v>
      </c>
      <c r="S369" s="9" t="s">
        <v>115</v>
      </c>
      <c r="T369" s="11" t="s">
        <v>119</v>
      </c>
      <c r="U369" s="11" t="s">
        <v>420</v>
      </c>
      <c r="V369" s="11" t="s">
        <v>121</v>
      </c>
      <c r="W369" s="10"/>
      <c r="X369" s="12"/>
      <c r="Y369" s="9"/>
      <c r="Z369" s="11"/>
      <c r="AA369" s="11"/>
      <c r="AB369" s="11"/>
      <c r="AC369" s="9"/>
      <c r="AD369" s="10"/>
      <c r="AE369" s="9"/>
      <c r="AF369" s="11"/>
      <c r="AG369" s="11"/>
      <c r="AH369" s="11"/>
      <c r="AI369" s="10" t="n">
        <v>1025</v>
      </c>
      <c r="AJ369" s="9" t="s">
        <v>122</v>
      </c>
      <c r="AK369" s="11" t="s">
        <v>123</v>
      </c>
      <c r="AL369" s="11" t="s">
        <v>124</v>
      </c>
      <c r="AM369" s="11" t="s">
        <v>125</v>
      </c>
    </row>
    <row r="370" customFormat="false" ht="15" hidden="false" customHeight="false" outlineLevel="0" collapsed="false">
      <c r="A370" s="9" t="s">
        <v>415</v>
      </c>
      <c r="B370" s="9" t="s">
        <v>416</v>
      </c>
      <c r="C370" s="9" t="s">
        <v>417</v>
      </c>
      <c r="D370" s="9" t="s">
        <v>418</v>
      </c>
      <c r="E370" s="9" t="n">
        <v>1</v>
      </c>
      <c r="F370" s="9" t="n">
        <v>1</v>
      </c>
      <c r="G370" s="9" t="n">
        <v>2014</v>
      </c>
      <c r="H370" s="10" t="n">
        <v>5418649</v>
      </c>
      <c r="I370" s="11" t="s">
        <v>98</v>
      </c>
      <c r="J370" s="11" t="s">
        <v>99</v>
      </c>
      <c r="K370" s="10" t="n">
        <v>174908</v>
      </c>
      <c r="L370" s="12" t="n">
        <f aca="false">IF(OR($H370="",K370=""),"",K370/$H370)</f>
        <v>0.0322788946100772</v>
      </c>
      <c r="M370" s="9" t="s">
        <v>115</v>
      </c>
      <c r="N370" s="11" t="s">
        <v>116</v>
      </c>
      <c r="O370" s="11" t="s">
        <v>419</v>
      </c>
      <c r="P370" s="11" t="s">
        <v>118</v>
      </c>
      <c r="Q370" s="10" t="n">
        <v>59151</v>
      </c>
      <c r="R370" s="12" t="n">
        <f aca="false">IF(OR($H370="",Q370=""),"",Q370/$H370)</f>
        <v>0.0109161896258643</v>
      </c>
      <c r="S370" s="9" t="s">
        <v>115</v>
      </c>
      <c r="T370" s="11" t="s">
        <v>119</v>
      </c>
      <c r="U370" s="11" t="s">
        <v>420</v>
      </c>
      <c r="V370" s="11" t="s">
        <v>121</v>
      </c>
      <c r="W370" s="10"/>
      <c r="X370" s="12"/>
      <c r="Y370" s="9"/>
      <c r="Z370" s="11"/>
      <c r="AA370" s="11"/>
      <c r="AB370" s="11"/>
      <c r="AC370" s="9"/>
      <c r="AD370" s="10"/>
      <c r="AE370" s="9"/>
      <c r="AF370" s="11"/>
      <c r="AG370" s="11"/>
      <c r="AH370" s="11"/>
      <c r="AI370" s="10" t="n">
        <v>1155</v>
      </c>
      <c r="AJ370" s="9" t="s">
        <v>122</v>
      </c>
      <c r="AK370" s="11" t="s">
        <v>123</v>
      </c>
      <c r="AL370" s="11" t="s">
        <v>124</v>
      </c>
      <c r="AM370" s="11" t="s">
        <v>125</v>
      </c>
    </row>
    <row r="371" customFormat="false" ht="15" hidden="false" customHeight="false" outlineLevel="0" collapsed="false">
      <c r="A371" s="9" t="s">
        <v>415</v>
      </c>
      <c r="B371" s="9" t="s">
        <v>416</v>
      </c>
      <c r="C371" s="9" t="s">
        <v>417</v>
      </c>
      <c r="D371" s="9" t="s">
        <v>418</v>
      </c>
      <c r="E371" s="9" t="n">
        <v>1</v>
      </c>
      <c r="F371" s="9" t="n">
        <v>1</v>
      </c>
      <c r="G371" s="9" t="n">
        <v>2015</v>
      </c>
      <c r="H371" s="10" t="n">
        <v>5423801</v>
      </c>
      <c r="I371" s="11" t="s">
        <v>98</v>
      </c>
      <c r="J371" s="11" t="s">
        <v>99</v>
      </c>
      <c r="K371" s="10" t="n">
        <v>177624</v>
      </c>
      <c r="L371" s="12" t="n">
        <f aca="false">IF(OR($H371="",K371=""),"",K371/$H371)</f>
        <v>0.0327489891314228</v>
      </c>
      <c r="M371" s="9" t="s">
        <v>115</v>
      </c>
      <c r="N371" s="11" t="s">
        <v>116</v>
      </c>
      <c r="O371" s="11" t="s">
        <v>419</v>
      </c>
      <c r="P371" s="11" t="s">
        <v>118</v>
      </c>
      <c r="Q371" s="10" t="n">
        <v>61766</v>
      </c>
      <c r="R371" s="12" t="n">
        <f aca="false">IF(OR($H371="",Q371=""),"",Q371/$H371)</f>
        <v>0.0113879546834406</v>
      </c>
      <c r="S371" s="9" t="s">
        <v>115</v>
      </c>
      <c r="T371" s="11" t="s">
        <v>119</v>
      </c>
      <c r="U371" s="11" t="s">
        <v>420</v>
      </c>
      <c r="V371" s="11" t="s">
        <v>121</v>
      </c>
      <c r="W371" s="10"/>
      <c r="X371" s="12"/>
      <c r="Y371" s="9"/>
      <c r="Z371" s="11"/>
      <c r="AA371" s="11"/>
      <c r="AB371" s="11"/>
      <c r="AC371" s="9"/>
      <c r="AD371" s="10"/>
      <c r="AE371" s="9"/>
      <c r="AF371" s="11"/>
      <c r="AG371" s="11"/>
      <c r="AH371" s="11"/>
      <c r="AI371" s="10" t="n">
        <v>1985</v>
      </c>
      <c r="AJ371" s="9" t="s">
        <v>122</v>
      </c>
      <c r="AK371" s="11" t="s">
        <v>123</v>
      </c>
      <c r="AL371" s="11" t="s">
        <v>124</v>
      </c>
      <c r="AM371" s="11" t="s">
        <v>125</v>
      </c>
    </row>
    <row r="372" customFormat="false" ht="15" hidden="false" customHeight="false" outlineLevel="0" collapsed="false">
      <c r="A372" s="9" t="s">
        <v>415</v>
      </c>
      <c r="B372" s="9" t="s">
        <v>416</v>
      </c>
      <c r="C372" s="9" t="s">
        <v>417</v>
      </c>
      <c r="D372" s="9" t="s">
        <v>418</v>
      </c>
      <c r="E372" s="9" t="n">
        <v>1</v>
      </c>
      <c r="F372" s="9" t="n">
        <v>1</v>
      </c>
      <c r="G372" s="9" t="n">
        <v>2016</v>
      </c>
      <c r="H372" s="10" t="n">
        <v>5430798</v>
      </c>
      <c r="I372" s="11" t="s">
        <v>98</v>
      </c>
      <c r="J372" s="11" t="s">
        <v>99</v>
      </c>
      <c r="K372" s="10" t="n">
        <v>181642</v>
      </c>
      <c r="L372" s="12" t="n">
        <f aca="false">IF(OR($H372="",K372=""),"",K372/$H372)</f>
        <v>0.0334466500134971</v>
      </c>
      <c r="M372" s="9" t="s">
        <v>115</v>
      </c>
      <c r="N372" s="11" t="s">
        <v>116</v>
      </c>
      <c r="O372" s="11" t="s">
        <v>419</v>
      </c>
      <c r="P372" s="11" t="s">
        <v>118</v>
      </c>
      <c r="Q372" s="10" t="n">
        <v>65840</v>
      </c>
      <c r="R372" s="12" t="n">
        <f aca="false">IF(OR($H372="",Q372=""),"",Q372/$H372)</f>
        <v>0.0121234485245078</v>
      </c>
      <c r="S372" s="9" t="s">
        <v>115</v>
      </c>
      <c r="T372" s="11" t="s">
        <v>119</v>
      </c>
      <c r="U372" s="11" t="s">
        <v>420</v>
      </c>
      <c r="V372" s="11" t="s">
        <v>121</v>
      </c>
      <c r="W372" s="10"/>
      <c r="X372" s="12"/>
      <c r="Y372" s="9"/>
      <c r="Z372" s="11"/>
      <c r="AA372" s="11"/>
      <c r="AB372" s="11"/>
      <c r="AC372" s="9"/>
      <c r="AD372" s="10"/>
      <c r="AE372" s="9"/>
      <c r="AF372" s="11"/>
      <c r="AG372" s="11"/>
      <c r="AH372" s="11"/>
      <c r="AI372" s="10" t="n">
        <v>2035</v>
      </c>
      <c r="AJ372" s="9" t="s">
        <v>122</v>
      </c>
      <c r="AK372" s="11" t="s">
        <v>123</v>
      </c>
      <c r="AL372" s="11" t="s">
        <v>124</v>
      </c>
      <c r="AM372" s="11" t="s">
        <v>125</v>
      </c>
    </row>
    <row r="373" customFormat="false" ht="15" hidden="false" customHeight="false" outlineLevel="0" collapsed="false">
      <c r="A373" s="9" t="s">
        <v>415</v>
      </c>
      <c r="B373" s="9" t="s">
        <v>416</v>
      </c>
      <c r="C373" s="9" t="s">
        <v>417</v>
      </c>
      <c r="D373" s="9" t="s">
        <v>418</v>
      </c>
      <c r="E373" s="9" t="n">
        <v>1</v>
      </c>
      <c r="F373" s="9" t="n">
        <v>1</v>
      </c>
      <c r="G373" s="9" t="n">
        <v>2017</v>
      </c>
      <c r="H373" s="10" t="n">
        <v>5439232</v>
      </c>
      <c r="I373" s="11" t="s">
        <v>98</v>
      </c>
      <c r="J373" s="11" t="s">
        <v>99</v>
      </c>
      <c r="K373" s="10" t="n">
        <v>186217</v>
      </c>
      <c r="L373" s="12" t="n">
        <f aca="false">IF(OR($H373="",K373=""),"",K373/$H373)</f>
        <v>0.0342358994799266</v>
      </c>
      <c r="M373" s="9" t="s">
        <v>115</v>
      </c>
      <c r="N373" s="11" t="s">
        <v>116</v>
      </c>
      <c r="O373" s="11" t="s">
        <v>419</v>
      </c>
      <c r="P373" s="11" t="s">
        <v>118</v>
      </c>
      <c r="Q373" s="10" t="n">
        <v>69695</v>
      </c>
      <c r="R373" s="12" t="n">
        <f aca="false">IF(OR($H373="",Q373=""),"",Q373/$H373)</f>
        <v>0.0128133898315056</v>
      </c>
      <c r="S373" s="9" t="s">
        <v>115</v>
      </c>
      <c r="T373" s="11" t="s">
        <v>119</v>
      </c>
      <c r="U373" s="11" t="s">
        <v>420</v>
      </c>
      <c r="V373" s="11" t="s">
        <v>121</v>
      </c>
      <c r="W373" s="10"/>
      <c r="X373" s="12"/>
      <c r="Y373" s="9"/>
      <c r="Z373" s="11"/>
      <c r="AA373" s="11"/>
      <c r="AB373" s="11"/>
      <c r="AC373" s="9"/>
      <c r="AD373" s="10"/>
      <c r="AE373" s="9"/>
      <c r="AF373" s="11"/>
      <c r="AG373" s="11"/>
      <c r="AH373" s="11"/>
      <c r="AI373" s="10" t="n">
        <v>2590</v>
      </c>
      <c r="AJ373" s="9" t="s">
        <v>122</v>
      </c>
      <c r="AK373" s="11" t="s">
        <v>123</v>
      </c>
      <c r="AL373" s="11" t="s">
        <v>124</v>
      </c>
      <c r="AM373" s="11" t="s">
        <v>125</v>
      </c>
    </row>
    <row r="374" customFormat="false" ht="15" hidden="false" customHeight="false" outlineLevel="0" collapsed="false">
      <c r="A374" s="9" t="s">
        <v>415</v>
      </c>
      <c r="B374" s="9" t="s">
        <v>416</v>
      </c>
      <c r="C374" s="9" t="s">
        <v>417</v>
      </c>
      <c r="D374" s="9" t="s">
        <v>418</v>
      </c>
      <c r="E374" s="9" t="n">
        <v>1</v>
      </c>
      <c r="F374" s="9" t="n">
        <v>1</v>
      </c>
      <c r="G374" s="9" t="n">
        <v>2018</v>
      </c>
      <c r="H374" s="10" t="n">
        <v>5446771</v>
      </c>
      <c r="I374" s="11" t="s">
        <v>98</v>
      </c>
      <c r="J374" s="11" t="s">
        <v>99</v>
      </c>
      <c r="K374" s="10" t="n">
        <v>190308</v>
      </c>
      <c r="L374" s="12" t="n">
        <f aca="false">IF(OR($H374="",K374=""),"",K374/$H374)</f>
        <v>0.0349395999941984</v>
      </c>
      <c r="M374" s="9" t="s">
        <v>115</v>
      </c>
      <c r="N374" s="11" t="s">
        <v>116</v>
      </c>
      <c r="O374" s="11" t="s">
        <v>419</v>
      </c>
      <c r="P374" s="11" t="s">
        <v>118</v>
      </c>
      <c r="Q374" s="10" t="n">
        <v>72883</v>
      </c>
      <c r="R374" s="12" t="n">
        <f aca="false">IF(OR($H374="",Q374=""),"",Q374/$H374)</f>
        <v>0.0133809554321267</v>
      </c>
      <c r="S374" s="9" t="s">
        <v>115</v>
      </c>
      <c r="T374" s="11" t="s">
        <v>119</v>
      </c>
      <c r="U374" s="11" t="s">
        <v>420</v>
      </c>
      <c r="V374" s="11" t="s">
        <v>121</v>
      </c>
      <c r="W374" s="10"/>
      <c r="X374" s="12"/>
      <c r="Y374" s="9"/>
      <c r="Z374" s="11"/>
      <c r="AA374" s="11"/>
      <c r="AB374" s="11"/>
      <c r="AC374" s="9"/>
      <c r="AD374" s="10"/>
      <c r="AE374" s="9"/>
      <c r="AF374" s="11"/>
      <c r="AG374" s="11"/>
      <c r="AH374" s="11"/>
      <c r="AI374" s="10" t="n">
        <v>2635</v>
      </c>
      <c r="AJ374" s="9" t="s">
        <v>122</v>
      </c>
      <c r="AK374" s="11" t="s">
        <v>123</v>
      </c>
      <c r="AL374" s="11" t="s">
        <v>124</v>
      </c>
      <c r="AM374" s="11" t="s">
        <v>125</v>
      </c>
    </row>
    <row r="375" customFormat="false" ht="15" hidden="false" customHeight="false" outlineLevel="0" collapsed="false">
      <c r="A375" s="9" t="s">
        <v>415</v>
      </c>
      <c r="B375" s="9" t="s">
        <v>416</v>
      </c>
      <c r="C375" s="9" t="s">
        <v>417</v>
      </c>
      <c r="D375" s="9" t="s">
        <v>418</v>
      </c>
      <c r="E375" s="9" t="n">
        <v>1</v>
      </c>
      <c r="F375" s="9" t="n">
        <v>1</v>
      </c>
      <c r="G375" s="9" t="n">
        <v>2019</v>
      </c>
      <c r="H375" s="10" t="n">
        <v>5454147</v>
      </c>
      <c r="I375" s="11" t="s">
        <v>98</v>
      </c>
      <c r="J375" s="11" t="s">
        <v>99</v>
      </c>
      <c r="K375" s="10" t="n">
        <v>194389</v>
      </c>
      <c r="L375" s="12" t="n">
        <f aca="false">IF(OR($H375="",K375=""),"",K375/$H375)</f>
        <v>0.0356405868782048</v>
      </c>
      <c r="M375" s="9" t="s">
        <v>115</v>
      </c>
      <c r="N375" s="11" t="s">
        <v>116</v>
      </c>
      <c r="O375" s="11" t="s">
        <v>419</v>
      </c>
      <c r="P375" s="11" t="s">
        <v>118</v>
      </c>
      <c r="Q375" s="10" t="n">
        <v>76116</v>
      </c>
      <c r="R375" s="12" t="n">
        <f aca="false">IF(OR($H375="",Q375=""),"",Q375/$H375)</f>
        <v>0.0139556194580014</v>
      </c>
      <c r="S375" s="9" t="s">
        <v>115</v>
      </c>
      <c r="T375" s="11" t="s">
        <v>119</v>
      </c>
      <c r="U375" s="11" t="s">
        <v>420</v>
      </c>
      <c r="V375" s="11" t="s">
        <v>121</v>
      </c>
      <c r="W375" s="10"/>
      <c r="X375" s="12"/>
      <c r="Y375" s="9"/>
      <c r="Z375" s="11"/>
      <c r="AA375" s="11"/>
      <c r="AB375" s="11"/>
      <c r="AC375" s="9"/>
      <c r="AD375" s="10"/>
      <c r="AE375" s="9"/>
      <c r="AF375" s="11"/>
      <c r="AG375" s="11"/>
      <c r="AH375" s="11"/>
      <c r="AI375" s="10" t="n">
        <v>2005</v>
      </c>
      <c r="AJ375" s="9" t="s">
        <v>122</v>
      </c>
      <c r="AK375" s="11" t="s">
        <v>123</v>
      </c>
      <c r="AL375" s="11" t="s">
        <v>124</v>
      </c>
      <c r="AM375" s="11" t="s">
        <v>125</v>
      </c>
    </row>
    <row r="376" customFormat="false" ht="15" hidden="false" customHeight="false" outlineLevel="0" collapsed="false">
      <c r="A376" s="9" t="s">
        <v>415</v>
      </c>
      <c r="B376" s="9" t="s">
        <v>416</v>
      </c>
      <c r="C376" s="9" t="s">
        <v>417</v>
      </c>
      <c r="D376" s="9" t="s">
        <v>418</v>
      </c>
      <c r="E376" s="9" t="n">
        <v>1</v>
      </c>
      <c r="F376" s="9" t="n">
        <v>1</v>
      </c>
      <c r="G376" s="9" t="n">
        <v>2020</v>
      </c>
      <c r="H376" s="10" t="n">
        <v>5458827</v>
      </c>
      <c r="I376" s="11" t="s">
        <v>98</v>
      </c>
      <c r="J376" s="11" t="s">
        <v>99</v>
      </c>
      <c r="K376" s="10" t="n">
        <v>198429</v>
      </c>
      <c r="L376" s="12" t="n">
        <f aca="false">IF(OR($H376="",K376=""),"",K376/$H376)</f>
        <v>0.0363501169756799</v>
      </c>
      <c r="M376" s="9" t="s">
        <v>115</v>
      </c>
      <c r="N376" s="11" t="s">
        <v>116</v>
      </c>
      <c r="O376" s="11" t="s">
        <v>419</v>
      </c>
      <c r="P376" s="11" t="s">
        <v>118</v>
      </c>
      <c r="Q376" s="10" t="n">
        <v>78936</v>
      </c>
      <c r="R376" s="12" t="n">
        <f aca="false">IF(OR($H376="",Q376=""),"",Q376/$H376)</f>
        <v>0.0144602494272121</v>
      </c>
      <c r="S376" s="9" t="s">
        <v>115</v>
      </c>
      <c r="T376" s="11" t="s">
        <v>119</v>
      </c>
      <c r="U376" s="11" t="s">
        <v>420</v>
      </c>
      <c r="V376" s="11" t="s">
        <v>121</v>
      </c>
      <c r="W376" s="10"/>
      <c r="X376" s="12"/>
      <c r="Y376" s="9"/>
      <c r="Z376" s="11"/>
      <c r="AA376" s="11"/>
      <c r="AB376" s="11"/>
      <c r="AC376" s="9"/>
      <c r="AD376" s="10"/>
      <c r="AE376" s="9"/>
      <c r="AF376" s="11"/>
      <c r="AG376" s="11"/>
      <c r="AH376" s="11"/>
      <c r="AI376" s="10" t="n">
        <v>1215</v>
      </c>
      <c r="AJ376" s="9" t="s">
        <v>122</v>
      </c>
      <c r="AK376" s="11" t="s">
        <v>123</v>
      </c>
      <c r="AL376" s="11" t="s">
        <v>124</v>
      </c>
      <c r="AM376" s="11" t="s">
        <v>125</v>
      </c>
    </row>
    <row r="377" customFormat="false" ht="15" hidden="false" customHeight="false" outlineLevel="0" collapsed="false">
      <c r="A377" s="9" t="s">
        <v>415</v>
      </c>
      <c r="B377" s="9" t="s">
        <v>416</v>
      </c>
      <c r="C377" s="9" t="s">
        <v>417</v>
      </c>
      <c r="D377" s="9" t="s">
        <v>418</v>
      </c>
      <c r="E377" s="9" t="n">
        <v>1</v>
      </c>
      <c r="F377" s="9" t="n">
        <v>1</v>
      </c>
      <c r="G377" s="9" t="n">
        <v>2021</v>
      </c>
      <c r="H377" s="10" t="n">
        <v>5447247</v>
      </c>
      <c r="I377" s="11" t="s">
        <v>98</v>
      </c>
      <c r="J377" s="11" t="s">
        <v>99</v>
      </c>
      <c r="K377" s="10" t="n">
        <v>201941</v>
      </c>
      <c r="L377" s="12" t="n">
        <f aca="false">IF(OR($H377="",K377=""),"",K377/$H377)</f>
        <v>0.0370721210181951</v>
      </c>
      <c r="M377" s="9" t="s">
        <v>115</v>
      </c>
      <c r="N377" s="11" t="s">
        <v>116</v>
      </c>
      <c r="O377" s="11" t="s">
        <v>419</v>
      </c>
      <c r="P377" s="11" t="s">
        <v>118</v>
      </c>
      <c r="Q377" s="10" t="n">
        <v>82075</v>
      </c>
      <c r="R377" s="12" t="n">
        <f aca="false">IF(OR($H377="",Q377=""),"",Q377/$H377)</f>
        <v>0.0150672440592468</v>
      </c>
      <c r="S377" s="9" t="s">
        <v>115</v>
      </c>
      <c r="T377" s="11" t="s">
        <v>119</v>
      </c>
      <c r="U377" s="11" t="s">
        <v>420</v>
      </c>
      <c r="V377" s="11" t="s">
        <v>121</v>
      </c>
      <c r="W377" s="10"/>
      <c r="X377" s="12"/>
      <c r="Y377" s="9"/>
      <c r="Z377" s="11"/>
      <c r="AA377" s="11"/>
      <c r="AB377" s="11"/>
      <c r="AC377" s="9"/>
      <c r="AD377" s="10"/>
      <c r="AE377" s="9"/>
      <c r="AF377" s="11"/>
      <c r="AG377" s="11"/>
      <c r="AH377" s="11"/>
      <c r="AI377" s="10" t="n">
        <v>1715</v>
      </c>
      <c r="AJ377" s="9" t="s">
        <v>122</v>
      </c>
      <c r="AK377" s="11" t="s">
        <v>123</v>
      </c>
      <c r="AL377" s="11" t="s">
        <v>124</v>
      </c>
      <c r="AM377" s="11" t="s">
        <v>125</v>
      </c>
    </row>
    <row r="378" customFormat="false" ht="15" hidden="false" customHeight="false" outlineLevel="0" collapsed="false">
      <c r="A378" s="9" t="s">
        <v>415</v>
      </c>
      <c r="B378" s="9" t="s">
        <v>416</v>
      </c>
      <c r="C378" s="9" t="s">
        <v>417</v>
      </c>
      <c r="D378" s="9" t="s">
        <v>418</v>
      </c>
      <c r="E378" s="9" t="n">
        <v>1</v>
      </c>
      <c r="F378" s="9" t="n">
        <v>1</v>
      </c>
      <c r="G378" s="9" t="n">
        <v>2022</v>
      </c>
      <c r="H378" s="10" t="n">
        <v>5431752</v>
      </c>
      <c r="I378" s="11" t="s">
        <v>98</v>
      </c>
      <c r="J378" s="11" t="s">
        <v>99</v>
      </c>
      <c r="K378" s="10" t="n">
        <v>213171</v>
      </c>
      <c r="L378" s="12" t="n">
        <f aca="false">IF(OR($H378="",K378=""),"",K378/$H378)</f>
        <v>0.0392453484621537</v>
      </c>
      <c r="M378" s="9" t="s">
        <v>115</v>
      </c>
      <c r="N378" s="11" t="s">
        <v>116</v>
      </c>
      <c r="O378" s="11" t="s">
        <v>419</v>
      </c>
      <c r="P378" s="11" t="s">
        <v>118</v>
      </c>
      <c r="Q378" s="10" t="n">
        <v>60142</v>
      </c>
      <c r="R378" s="12" t="n">
        <f aca="false">IF(OR($H378="",Q378=""),"",Q378/$H378)</f>
        <v>0.0110723022700595</v>
      </c>
      <c r="S378" s="9" t="s">
        <v>115</v>
      </c>
      <c r="T378" s="11" t="s">
        <v>119</v>
      </c>
      <c r="U378" s="11" t="s">
        <v>420</v>
      </c>
      <c r="V378" s="11" t="s">
        <v>144</v>
      </c>
      <c r="W378" s="10"/>
      <c r="X378" s="12"/>
      <c r="Y378" s="9"/>
      <c r="Z378" s="11"/>
      <c r="AA378" s="11"/>
      <c r="AB378" s="11"/>
      <c r="AC378" s="9"/>
      <c r="AD378" s="10"/>
      <c r="AE378" s="9"/>
      <c r="AF378" s="11"/>
      <c r="AG378" s="11"/>
      <c r="AH378" s="11"/>
      <c r="AI378" s="10" t="n">
        <v>11705</v>
      </c>
      <c r="AJ378" s="9" t="s">
        <v>122</v>
      </c>
      <c r="AK378" s="11" t="s">
        <v>123</v>
      </c>
      <c r="AL378" s="11" t="s">
        <v>124</v>
      </c>
      <c r="AM378" s="11" t="s">
        <v>125</v>
      </c>
    </row>
    <row r="379" customFormat="false" ht="15" hidden="false" customHeight="false" outlineLevel="0" collapsed="false">
      <c r="A379" s="9" t="s">
        <v>421</v>
      </c>
      <c r="B379" s="9" t="s">
        <v>422</v>
      </c>
      <c r="C379" s="9" t="s">
        <v>423</v>
      </c>
      <c r="D379" s="9" t="s">
        <v>424</v>
      </c>
      <c r="E379" s="9" t="n">
        <v>1</v>
      </c>
      <c r="F379" s="9" t="n">
        <v>1</v>
      </c>
      <c r="G379" s="9" t="n">
        <v>2010</v>
      </c>
      <c r="H379" s="10" t="n">
        <v>2048583</v>
      </c>
      <c r="I379" s="11" t="s">
        <v>98</v>
      </c>
      <c r="J379" s="11" t="s">
        <v>99</v>
      </c>
      <c r="K379" s="10" t="n">
        <v>253786</v>
      </c>
      <c r="L379" s="12" t="n">
        <f aca="false">IF(OR($H379="",K379=""),"",K379/$H379)</f>
        <v>0.123883679597068</v>
      </c>
      <c r="M379" s="9" t="s">
        <v>115</v>
      </c>
      <c r="N379" s="11" t="s">
        <v>116</v>
      </c>
      <c r="O379" s="11" t="s">
        <v>425</v>
      </c>
      <c r="P379" s="11" t="s">
        <v>118</v>
      </c>
      <c r="Q379" s="10" t="n">
        <v>82176</v>
      </c>
      <c r="R379" s="12" t="n">
        <f aca="false">IF(OR($H379="",Q379=""),"",Q379/$H379)</f>
        <v>0.0401135809483921</v>
      </c>
      <c r="S379" s="9" t="s">
        <v>115</v>
      </c>
      <c r="T379" s="11" t="s">
        <v>119</v>
      </c>
      <c r="U379" s="11" t="s">
        <v>426</v>
      </c>
      <c r="V379" s="11" t="s">
        <v>121</v>
      </c>
      <c r="W379" s="10"/>
      <c r="X379" s="12"/>
      <c r="Y379" s="9"/>
      <c r="Z379" s="11"/>
      <c r="AA379" s="11"/>
      <c r="AB379" s="11"/>
      <c r="AC379" s="9"/>
      <c r="AD379" s="10"/>
      <c r="AE379" s="9"/>
      <c r="AF379" s="11"/>
      <c r="AG379" s="11"/>
      <c r="AH379" s="11"/>
      <c r="AI379" s="10" t="n">
        <v>3415</v>
      </c>
      <c r="AJ379" s="9" t="s">
        <v>122</v>
      </c>
      <c r="AK379" s="11" t="s">
        <v>123</v>
      </c>
      <c r="AL379" s="11" t="s">
        <v>124</v>
      </c>
      <c r="AM379" s="11" t="s">
        <v>125</v>
      </c>
    </row>
    <row r="380" customFormat="false" ht="15" hidden="false" customHeight="false" outlineLevel="0" collapsed="false">
      <c r="A380" s="9" t="s">
        <v>421</v>
      </c>
      <c r="B380" s="9" t="s">
        <v>422</v>
      </c>
      <c r="C380" s="9" t="s">
        <v>423</v>
      </c>
      <c r="D380" s="9" t="s">
        <v>424</v>
      </c>
      <c r="E380" s="9" t="n">
        <v>1</v>
      </c>
      <c r="F380" s="9" t="n">
        <v>1</v>
      </c>
      <c r="G380" s="9" t="n">
        <v>2011</v>
      </c>
      <c r="H380" s="10" t="n">
        <v>2052843</v>
      </c>
      <c r="I380" s="11" t="s">
        <v>98</v>
      </c>
      <c r="J380" s="11" t="s">
        <v>99</v>
      </c>
      <c r="K380" s="10" t="n">
        <v>228588</v>
      </c>
      <c r="L380" s="12" t="n">
        <f aca="false">IF(OR($H380="",K380=""),"",K380/$H380)</f>
        <v>0.111351915368102</v>
      </c>
      <c r="M380" s="9" t="s">
        <v>115</v>
      </c>
      <c r="N380" s="11" t="s">
        <v>116</v>
      </c>
      <c r="O380" s="11" t="s">
        <v>425</v>
      </c>
      <c r="P380" s="11" t="s">
        <v>200</v>
      </c>
      <c r="Q380" s="10" t="n">
        <v>82746</v>
      </c>
      <c r="R380" s="12" t="n">
        <f aca="false">IF(OR($H380="",Q380=""),"",Q380/$H380)</f>
        <v>0.0403080021219353</v>
      </c>
      <c r="S380" s="9" t="s">
        <v>115</v>
      </c>
      <c r="T380" s="11" t="s">
        <v>119</v>
      </c>
      <c r="U380" s="11" t="s">
        <v>426</v>
      </c>
      <c r="V380" s="11" t="s">
        <v>121</v>
      </c>
      <c r="W380" s="10"/>
      <c r="X380" s="12"/>
      <c r="Y380" s="9"/>
      <c r="Z380" s="11"/>
      <c r="AA380" s="11"/>
      <c r="AB380" s="11"/>
      <c r="AC380" s="9"/>
      <c r="AD380" s="10"/>
      <c r="AE380" s="9"/>
      <c r="AF380" s="11"/>
      <c r="AG380" s="11"/>
      <c r="AH380" s="11"/>
      <c r="AI380" s="10" t="n">
        <v>4350</v>
      </c>
      <c r="AJ380" s="9" t="s">
        <v>122</v>
      </c>
      <c r="AK380" s="11" t="s">
        <v>123</v>
      </c>
      <c r="AL380" s="11" t="s">
        <v>124</v>
      </c>
      <c r="AM380" s="11" t="s">
        <v>125</v>
      </c>
    </row>
    <row r="381" customFormat="false" ht="15" hidden="false" customHeight="false" outlineLevel="0" collapsed="false">
      <c r="A381" s="9" t="s">
        <v>421</v>
      </c>
      <c r="B381" s="9" t="s">
        <v>422</v>
      </c>
      <c r="C381" s="9" t="s">
        <v>423</v>
      </c>
      <c r="D381" s="9" t="s">
        <v>424</v>
      </c>
      <c r="E381" s="9" t="n">
        <v>1</v>
      </c>
      <c r="F381" s="9" t="n">
        <v>1</v>
      </c>
      <c r="G381" s="9" t="n">
        <v>2012</v>
      </c>
      <c r="H381" s="10" t="n">
        <v>2057159</v>
      </c>
      <c r="I381" s="11" t="s">
        <v>98</v>
      </c>
      <c r="J381" s="11" t="s">
        <v>99</v>
      </c>
      <c r="K381" s="10" t="n">
        <v>230109</v>
      </c>
      <c r="L381" s="12" t="n">
        <f aca="false">IF(OR($H381="",K381=""),"",K381/$H381)</f>
        <v>0.111857663894721</v>
      </c>
      <c r="M381" s="9" t="s">
        <v>115</v>
      </c>
      <c r="N381" s="11" t="s">
        <v>116</v>
      </c>
      <c r="O381" s="11" t="s">
        <v>425</v>
      </c>
      <c r="P381" s="11" t="s">
        <v>118</v>
      </c>
      <c r="Q381" s="10" t="n">
        <v>85555</v>
      </c>
      <c r="R381" s="12" t="n">
        <f aca="false">IF(OR($H381="",Q381=""),"",Q381/$H381)</f>
        <v>0.0415889097536943</v>
      </c>
      <c r="S381" s="9" t="s">
        <v>115</v>
      </c>
      <c r="T381" s="11" t="s">
        <v>119</v>
      </c>
      <c r="U381" s="11" t="s">
        <v>426</v>
      </c>
      <c r="V381" s="11" t="s">
        <v>121</v>
      </c>
      <c r="W381" s="10"/>
      <c r="X381" s="12"/>
      <c r="Y381" s="9"/>
      <c r="Z381" s="11"/>
      <c r="AA381" s="11"/>
      <c r="AB381" s="11"/>
      <c r="AC381" s="9"/>
      <c r="AD381" s="10"/>
      <c r="AE381" s="9"/>
      <c r="AF381" s="11"/>
      <c r="AG381" s="11"/>
      <c r="AH381" s="11"/>
      <c r="AI381" s="10" t="n">
        <v>1555</v>
      </c>
      <c r="AJ381" s="9" t="s">
        <v>122</v>
      </c>
      <c r="AK381" s="11" t="s">
        <v>123</v>
      </c>
      <c r="AL381" s="11" t="s">
        <v>124</v>
      </c>
      <c r="AM381" s="11" t="s">
        <v>125</v>
      </c>
    </row>
    <row r="382" customFormat="false" ht="15" hidden="false" customHeight="false" outlineLevel="0" collapsed="false">
      <c r="A382" s="9" t="s">
        <v>421</v>
      </c>
      <c r="B382" s="9" t="s">
        <v>422</v>
      </c>
      <c r="C382" s="9" t="s">
        <v>423</v>
      </c>
      <c r="D382" s="9" t="s">
        <v>424</v>
      </c>
      <c r="E382" s="9" t="n">
        <v>1</v>
      </c>
      <c r="F382" s="9" t="n">
        <v>1</v>
      </c>
      <c r="G382" s="9" t="n">
        <v>2013</v>
      </c>
      <c r="H382" s="10" t="n">
        <v>2059953</v>
      </c>
      <c r="I382" s="11" t="s">
        <v>98</v>
      </c>
      <c r="J382" s="11" t="s">
        <v>99</v>
      </c>
      <c r="K382" s="10" t="n">
        <v>232703</v>
      </c>
      <c r="L382" s="12" t="n">
        <f aca="false">IF(OR($H382="",K382=""),"",K382/$H382)</f>
        <v>0.112965198720553</v>
      </c>
      <c r="M382" s="9" t="s">
        <v>115</v>
      </c>
      <c r="N382" s="11" t="s">
        <v>116</v>
      </c>
      <c r="O382" s="11" t="s">
        <v>425</v>
      </c>
      <c r="P382" s="11" t="s">
        <v>118</v>
      </c>
      <c r="Q382" s="10" t="n">
        <v>91385</v>
      </c>
      <c r="R382" s="12" t="n">
        <f aca="false">IF(OR($H382="",Q382=""),"",Q382/$H382)</f>
        <v>0.0443626626432739</v>
      </c>
      <c r="S382" s="9" t="s">
        <v>115</v>
      </c>
      <c r="T382" s="11" t="s">
        <v>119</v>
      </c>
      <c r="U382" s="11" t="s">
        <v>426</v>
      </c>
      <c r="V382" s="11" t="s">
        <v>121</v>
      </c>
      <c r="W382" s="10"/>
      <c r="X382" s="12"/>
      <c r="Y382" s="9"/>
      <c r="Z382" s="11"/>
      <c r="AA382" s="11"/>
      <c r="AB382" s="11"/>
      <c r="AC382" s="9"/>
      <c r="AD382" s="10"/>
      <c r="AE382" s="9"/>
      <c r="AF382" s="11"/>
      <c r="AG382" s="11"/>
      <c r="AH382" s="11"/>
      <c r="AI382" s="10" t="n">
        <v>1040</v>
      </c>
      <c r="AJ382" s="9" t="s">
        <v>122</v>
      </c>
      <c r="AK382" s="11" t="s">
        <v>123</v>
      </c>
      <c r="AL382" s="11" t="s">
        <v>124</v>
      </c>
      <c r="AM382" s="11" t="s">
        <v>125</v>
      </c>
    </row>
    <row r="383" customFormat="false" ht="15" hidden="false" customHeight="false" outlineLevel="0" collapsed="false">
      <c r="A383" s="9" t="s">
        <v>421</v>
      </c>
      <c r="B383" s="9" t="s">
        <v>422</v>
      </c>
      <c r="C383" s="9" t="s">
        <v>423</v>
      </c>
      <c r="D383" s="9" t="s">
        <v>424</v>
      </c>
      <c r="E383" s="9" t="n">
        <v>1</v>
      </c>
      <c r="F383" s="9" t="n">
        <v>1</v>
      </c>
      <c r="G383" s="9" t="n">
        <v>2014</v>
      </c>
      <c r="H383" s="10" t="n">
        <v>2061980</v>
      </c>
      <c r="I383" s="11" t="s">
        <v>98</v>
      </c>
      <c r="J383" s="11" t="s">
        <v>99</v>
      </c>
      <c r="K383" s="10" t="n">
        <v>235310</v>
      </c>
      <c r="L383" s="12" t="n">
        <f aca="false">IF(OR($H383="",K383=""),"",K383/$H383)</f>
        <v>0.11411846865634</v>
      </c>
      <c r="M383" s="9" t="s">
        <v>115</v>
      </c>
      <c r="N383" s="11" t="s">
        <v>116</v>
      </c>
      <c r="O383" s="11" t="s">
        <v>425</v>
      </c>
      <c r="P383" s="11" t="s">
        <v>118</v>
      </c>
      <c r="Q383" s="10" t="n">
        <v>96608</v>
      </c>
      <c r="R383" s="12" t="n">
        <f aca="false">IF(OR($H383="",Q383=""),"",Q383/$H383)</f>
        <v>0.0468520548210943</v>
      </c>
      <c r="S383" s="9" t="s">
        <v>115</v>
      </c>
      <c r="T383" s="11" t="s">
        <v>119</v>
      </c>
      <c r="U383" s="11" t="s">
        <v>426</v>
      </c>
      <c r="V383" s="11" t="s">
        <v>121</v>
      </c>
      <c r="W383" s="10"/>
      <c r="X383" s="12"/>
      <c r="Y383" s="9"/>
      <c r="Z383" s="11"/>
      <c r="AA383" s="11"/>
      <c r="AB383" s="11"/>
      <c r="AC383" s="9"/>
      <c r="AD383" s="10"/>
      <c r="AE383" s="9"/>
      <c r="AF383" s="11"/>
      <c r="AG383" s="11"/>
      <c r="AH383" s="11"/>
      <c r="AI383" s="10" t="n">
        <v>1025</v>
      </c>
      <c r="AJ383" s="9" t="s">
        <v>122</v>
      </c>
      <c r="AK383" s="11" t="s">
        <v>123</v>
      </c>
      <c r="AL383" s="11" t="s">
        <v>124</v>
      </c>
      <c r="AM383" s="11" t="s">
        <v>125</v>
      </c>
    </row>
    <row r="384" customFormat="false" ht="15" hidden="false" customHeight="false" outlineLevel="0" collapsed="false">
      <c r="A384" s="9" t="s">
        <v>421</v>
      </c>
      <c r="B384" s="9" t="s">
        <v>422</v>
      </c>
      <c r="C384" s="9" t="s">
        <v>423</v>
      </c>
      <c r="D384" s="9" t="s">
        <v>424</v>
      </c>
      <c r="E384" s="9" t="n">
        <v>1</v>
      </c>
      <c r="F384" s="9" t="n">
        <v>1</v>
      </c>
      <c r="G384" s="9" t="n">
        <v>2015</v>
      </c>
      <c r="H384" s="10" t="n">
        <v>2063531</v>
      </c>
      <c r="I384" s="11" t="s">
        <v>98</v>
      </c>
      <c r="J384" s="11" t="s">
        <v>99</v>
      </c>
      <c r="K384" s="10" t="n">
        <v>237616</v>
      </c>
      <c r="L384" s="12" t="n">
        <f aca="false">IF(OR($H384="",K384=""),"",K384/$H384)</f>
        <v>0.11515019643514</v>
      </c>
      <c r="M384" s="9" t="s">
        <v>115</v>
      </c>
      <c r="N384" s="11" t="s">
        <v>116</v>
      </c>
      <c r="O384" s="11" t="s">
        <v>425</v>
      </c>
      <c r="P384" s="11" t="s">
        <v>118</v>
      </c>
      <c r="Q384" s="10" t="n">
        <v>101532</v>
      </c>
      <c r="R384" s="12" t="n">
        <f aca="false">IF(OR($H384="",Q384=""),"",Q384/$H384)</f>
        <v>0.0492030408072377</v>
      </c>
      <c r="S384" s="9" t="s">
        <v>115</v>
      </c>
      <c r="T384" s="11" t="s">
        <v>119</v>
      </c>
      <c r="U384" s="11" t="s">
        <v>426</v>
      </c>
      <c r="V384" s="11" t="s">
        <v>121</v>
      </c>
      <c r="W384" s="10"/>
      <c r="X384" s="12"/>
      <c r="Y384" s="9"/>
      <c r="Z384" s="11"/>
      <c r="AA384" s="11"/>
      <c r="AB384" s="11"/>
      <c r="AC384" s="9"/>
      <c r="AD384" s="10"/>
      <c r="AE384" s="9"/>
      <c r="AF384" s="11"/>
      <c r="AG384" s="11"/>
      <c r="AH384" s="11"/>
      <c r="AI384" s="10" t="n">
        <v>1025</v>
      </c>
      <c r="AJ384" s="9" t="s">
        <v>122</v>
      </c>
      <c r="AK384" s="11" t="s">
        <v>123</v>
      </c>
      <c r="AL384" s="11" t="s">
        <v>124</v>
      </c>
      <c r="AM384" s="11" t="s">
        <v>125</v>
      </c>
    </row>
    <row r="385" customFormat="false" ht="15" hidden="false" customHeight="false" outlineLevel="0" collapsed="false">
      <c r="A385" s="9" t="s">
        <v>421</v>
      </c>
      <c r="B385" s="9" t="s">
        <v>422</v>
      </c>
      <c r="C385" s="9" t="s">
        <v>423</v>
      </c>
      <c r="D385" s="9" t="s">
        <v>424</v>
      </c>
      <c r="E385" s="9" t="n">
        <v>1</v>
      </c>
      <c r="F385" s="9" t="n">
        <v>1</v>
      </c>
      <c r="G385" s="9" t="n">
        <v>2016</v>
      </c>
      <c r="H385" s="10" t="n">
        <v>2065042</v>
      </c>
      <c r="I385" s="11" t="s">
        <v>98</v>
      </c>
      <c r="J385" s="11" t="s">
        <v>99</v>
      </c>
      <c r="K385" s="10" t="n">
        <v>241203</v>
      </c>
      <c r="L385" s="12" t="n">
        <f aca="false">IF(OR($H385="",K385=""),"",K385/$H385)</f>
        <v>0.116802951223268</v>
      </c>
      <c r="M385" s="9" t="s">
        <v>115</v>
      </c>
      <c r="N385" s="11" t="s">
        <v>116</v>
      </c>
      <c r="O385" s="11" t="s">
        <v>425</v>
      </c>
      <c r="P385" s="11" t="s">
        <v>118</v>
      </c>
      <c r="Q385" s="10" t="n">
        <v>107766</v>
      </c>
      <c r="R385" s="12" t="n">
        <f aca="false">IF(OR($H385="",Q385=""),"",Q385/$H385)</f>
        <v>0.0521858635320734</v>
      </c>
      <c r="S385" s="9" t="s">
        <v>115</v>
      </c>
      <c r="T385" s="11" t="s">
        <v>119</v>
      </c>
      <c r="U385" s="11" t="s">
        <v>426</v>
      </c>
      <c r="V385" s="11" t="s">
        <v>121</v>
      </c>
      <c r="W385" s="10"/>
      <c r="X385" s="12"/>
      <c r="Y385" s="9"/>
      <c r="Z385" s="11"/>
      <c r="AA385" s="11"/>
      <c r="AB385" s="11"/>
      <c r="AC385" s="9"/>
      <c r="AD385" s="10"/>
      <c r="AE385" s="9"/>
      <c r="AF385" s="11"/>
      <c r="AG385" s="11"/>
      <c r="AH385" s="11"/>
      <c r="AI385" s="10" t="n">
        <v>2475</v>
      </c>
      <c r="AJ385" s="9" t="s">
        <v>122</v>
      </c>
      <c r="AK385" s="11" t="s">
        <v>123</v>
      </c>
      <c r="AL385" s="11" t="s">
        <v>124</v>
      </c>
      <c r="AM385" s="11" t="s">
        <v>125</v>
      </c>
    </row>
    <row r="386" customFormat="false" ht="15" hidden="false" customHeight="false" outlineLevel="0" collapsed="false">
      <c r="A386" s="9" t="s">
        <v>421</v>
      </c>
      <c r="B386" s="9" t="s">
        <v>422</v>
      </c>
      <c r="C386" s="9" t="s">
        <v>423</v>
      </c>
      <c r="D386" s="9" t="s">
        <v>424</v>
      </c>
      <c r="E386" s="9" t="n">
        <v>1</v>
      </c>
      <c r="F386" s="9" t="n">
        <v>1</v>
      </c>
      <c r="G386" s="9" t="n">
        <v>2017</v>
      </c>
      <c r="H386" s="10" t="n">
        <v>2066388</v>
      </c>
      <c r="I386" s="11" t="s">
        <v>98</v>
      </c>
      <c r="J386" s="11" t="s">
        <v>99</v>
      </c>
      <c r="K386" s="10" t="n">
        <v>245369</v>
      </c>
      <c r="L386" s="12" t="n">
        <f aca="false">IF(OR($H386="",K386=""),"",K386/$H386)</f>
        <v>0.118742946629578</v>
      </c>
      <c r="M386" s="9" t="s">
        <v>115</v>
      </c>
      <c r="N386" s="11" t="s">
        <v>116</v>
      </c>
      <c r="O386" s="11" t="s">
        <v>425</v>
      </c>
      <c r="P386" s="11" t="s">
        <v>118</v>
      </c>
      <c r="Q386" s="10" t="n">
        <v>114438</v>
      </c>
      <c r="R386" s="12" t="n">
        <f aca="false">IF(OR($H386="",Q386=""),"",Q386/$H386)</f>
        <v>0.0553806932676729</v>
      </c>
      <c r="S386" s="9" t="s">
        <v>115</v>
      </c>
      <c r="T386" s="11" t="s">
        <v>119</v>
      </c>
      <c r="U386" s="11" t="s">
        <v>426</v>
      </c>
      <c r="V386" s="11" t="s">
        <v>121</v>
      </c>
      <c r="W386" s="10"/>
      <c r="X386" s="12"/>
      <c r="Y386" s="9"/>
      <c r="Z386" s="11"/>
      <c r="AA386" s="11"/>
      <c r="AB386" s="11"/>
      <c r="AC386" s="9"/>
      <c r="AD386" s="10"/>
      <c r="AE386" s="9"/>
      <c r="AF386" s="11"/>
      <c r="AG386" s="11"/>
      <c r="AH386" s="11"/>
      <c r="AI386" s="10" t="n">
        <v>4180</v>
      </c>
      <c r="AJ386" s="9" t="s">
        <v>122</v>
      </c>
      <c r="AK386" s="11" t="s">
        <v>123</v>
      </c>
      <c r="AL386" s="11" t="s">
        <v>124</v>
      </c>
      <c r="AM386" s="11" t="s">
        <v>125</v>
      </c>
    </row>
    <row r="387" customFormat="false" ht="15" hidden="false" customHeight="false" outlineLevel="0" collapsed="false">
      <c r="A387" s="9" t="s">
        <v>421</v>
      </c>
      <c r="B387" s="9" t="s">
        <v>422</v>
      </c>
      <c r="C387" s="9" t="s">
        <v>423</v>
      </c>
      <c r="D387" s="9" t="s">
        <v>424</v>
      </c>
      <c r="E387" s="9" t="n">
        <v>1</v>
      </c>
      <c r="F387" s="9" t="n">
        <v>1</v>
      </c>
      <c r="G387" s="9" t="n">
        <v>2018</v>
      </c>
      <c r="H387" s="10" t="n">
        <v>2073894</v>
      </c>
      <c r="I387" s="11" t="s">
        <v>98</v>
      </c>
      <c r="J387" s="11" t="s">
        <v>99</v>
      </c>
      <c r="K387" s="10" t="n">
        <v>250226</v>
      </c>
      <c r="L387" s="12" t="n">
        <f aca="false">IF(OR($H387="",K387=""),"",K387/$H387)</f>
        <v>0.120655154024265</v>
      </c>
      <c r="M387" s="9" t="s">
        <v>115</v>
      </c>
      <c r="N387" s="11" t="s">
        <v>116</v>
      </c>
      <c r="O387" s="11" t="s">
        <v>425</v>
      </c>
      <c r="P387" s="11" t="s">
        <v>118</v>
      </c>
      <c r="Q387" s="10" t="n">
        <v>121875</v>
      </c>
      <c r="R387" s="12" t="n">
        <f aca="false">IF(OR($H387="",Q387=""),"",Q387/$H387)</f>
        <v>0.0587662628851812</v>
      </c>
      <c r="S387" s="9" t="s">
        <v>115</v>
      </c>
      <c r="T387" s="11" t="s">
        <v>119</v>
      </c>
      <c r="U387" s="11" t="s">
        <v>426</v>
      </c>
      <c r="V387" s="11" t="s">
        <v>121</v>
      </c>
      <c r="W387" s="10"/>
      <c r="X387" s="12"/>
      <c r="Y387" s="9"/>
      <c r="Z387" s="11"/>
      <c r="AA387" s="11"/>
      <c r="AB387" s="11"/>
      <c r="AC387" s="9"/>
      <c r="AD387" s="10"/>
      <c r="AE387" s="9"/>
      <c r="AF387" s="11"/>
      <c r="AG387" s="11"/>
      <c r="AH387" s="11"/>
      <c r="AI387" s="10" t="n">
        <v>4345</v>
      </c>
      <c r="AJ387" s="9" t="s">
        <v>122</v>
      </c>
      <c r="AK387" s="11" t="s">
        <v>123</v>
      </c>
      <c r="AL387" s="11" t="s">
        <v>124</v>
      </c>
      <c r="AM387" s="11" t="s">
        <v>125</v>
      </c>
    </row>
    <row r="388" customFormat="false" ht="15" hidden="false" customHeight="false" outlineLevel="0" collapsed="false">
      <c r="A388" s="9" t="s">
        <v>421</v>
      </c>
      <c r="B388" s="9" t="s">
        <v>422</v>
      </c>
      <c r="C388" s="9" t="s">
        <v>423</v>
      </c>
      <c r="D388" s="9" t="s">
        <v>424</v>
      </c>
      <c r="E388" s="9" t="n">
        <v>1</v>
      </c>
      <c r="F388" s="9" t="n">
        <v>1</v>
      </c>
      <c r="G388" s="9" t="n">
        <v>2019</v>
      </c>
      <c r="H388" s="10" t="n">
        <v>2088385</v>
      </c>
      <c r="I388" s="11" t="s">
        <v>98</v>
      </c>
      <c r="J388" s="11" t="s">
        <v>99</v>
      </c>
      <c r="K388" s="10" t="n">
        <v>265072</v>
      </c>
      <c r="L388" s="12" t="n">
        <f aca="false">IF(OR($H388="",K388=""),"",K388/$H388)</f>
        <v>0.12692678792464</v>
      </c>
      <c r="M388" s="9" t="s">
        <v>115</v>
      </c>
      <c r="N388" s="11" t="s">
        <v>116</v>
      </c>
      <c r="O388" s="11" t="s">
        <v>425</v>
      </c>
      <c r="P388" s="11" t="s">
        <v>118</v>
      </c>
      <c r="Q388" s="10" t="n">
        <v>138193</v>
      </c>
      <c r="R388" s="12" t="n">
        <f aca="false">IF(OR($H388="",Q388=""),"",Q388/$H388)</f>
        <v>0.0661721856841531</v>
      </c>
      <c r="S388" s="9" t="s">
        <v>115</v>
      </c>
      <c r="T388" s="11" t="s">
        <v>119</v>
      </c>
      <c r="U388" s="11" t="s">
        <v>426</v>
      </c>
      <c r="V388" s="11" t="s">
        <v>121</v>
      </c>
      <c r="W388" s="10"/>
      <c r="X388" s="12"/>
      <c r="Y388" s="9"/>
      <c r="Z388" s="11"/>
      <c r="AA388" s="11"/>
      <c r="AB388" s="11"/>
      <c r="AC388" s="9"/>
      <c r="AD388" s="10"/>
      <c r="AE388" s="9"/>
      <c r="AF388" s="11"/>
      <c r="AG388" s="11"/>
      <c r="AH388" s="11"/>
      <c r="AI388" s="10" t="n">
        <v>5765</v>
      </c>
      <c r="AJ388" s="9" t="s">
        <v>122</v>
      </c>
      <c r="AK388" s="11" t="s">
        <v>123</v>
      </c>
      <c r="AL388" s="11" t="s">
        <v>124</v>
      </c>
      <c r="AM388" s="11" t="s">
        <v>125</v>
      </c>
    </row>
    <row r="389" customFormat="false" ht="15" hidden="false" customHeight="false" outlineLevel="0" collapsed="false">
      <c r="A389" s="9" t="s">
        <v>421</v>
      </c>
      <c r="B389" s="9" t="s">
        <v>422</v>
      </c>
      <c r="C389" s="9" t="s">
        <v>423</v>
      </c>
      <c r="D389" s="9" t="s">
        <v>424</v>
      </c>
      <c r="E389" s="9" t="n">
        <v>1</v>
      </c>
      <c r="F389" s="9" t="n">
        <v>1</v>
      </c>
      <c r="G389" s="9" t="n">
        <v>2020</v>
      </c>
      <c r="H389" s="10" t="n">
        <v>2102419</v>
      </c>
      <c r="I389" s="11" t="s">
        <v>98</v>
      </c>
      <c r="J389" s="11" t="s">
        <v>99</v>
      </c>
      <c r="K389" s="10" t="n">
        <v>281621</v>
      </c>
      <c r="L389" s="12" t="n">
        <f aca="false">IF(OR($H389="",K389=""),"",K389/$H389)</f>
        <v>0.133950939370316</v>
      </c>
      <c r="M389" s="9" t="s">
        <v>115</v>
      </c>
      <c r="N389" s="11" t="s">
        <v>116</v>
      </c>
      <c r="O389" s="11" t="s">
        <v>425</v>
      </c>
      <c r="P389" s="11" t="s">
        <v>118</v>
      </c>
      <c r="Q389" s="10" t="n">
        <v>156351</v>
      </c>
      <c r="R389" s="12" t="n">
        <f aca="false">IF(OR($H389="",Q389=""),"",Q389/$H389)</f>
        <v>0.0743671932188589</v>
      </c>
      <c r="S389" s="9" t="s">
        <v>115</v>
      </c>
      <c r="T389" s="11" t="s">
        <v>119</v>
      </c>
      <c r="U389" s="11" t="s">
        <v>426</v>
      </c>
      <c r="V389" s="11" t="s">
        <v>121</v>
      </c>
      <c r="W389" s="10"/>
      <c r="X389" s="12"/>
      <c r="Y389" s="9"/>
      <c r="Z389" s="11"/>
      <c r="AA389" s="11"/>
      <c r="AB389" s="11"/>
      <c r="AC389" s="9"/>
      <c r="AD389" s="10"/>
      <c r="AE389" s="9"/>
      <c r="AF389" s="11"/>
      <c r="AG389" s="11"/>
      <c r="AH389" s="11"/>
      <c r="AI389" s="10" t="n">
        <v>4605</v>
      </c>
      <c r="AJ389" s="9" t="s">
        <v>122</v>
      </c>
      <c r="AK389" s="11" t="s">
        <v>123</v>
      </c>
      <c r="AL389" s="11" t="s">
        <v>124</v>
      </c>
      <c r="AM389" s="11" t="s">
        <v>125</v>
      </c>
    </row>
    <row r="390" customFormat="false" ht="15" hidden="false" customHeight="false" outlineLevel="0" collapsed="false">
      <c r="A390" s="9" t="s">
        <v>421</v>
      </c>
      <c r="B390" s="9" t="s">
        <v>422</v>
      </c>
      <c r="C390" s="9" t="s">
        <v>423</v>
      </c>
      <c r="D390" s="9" t="s">
        <v>424</v>
      </c>
      <c r="E390" s="9" t="n">
        <v>1</v>
      </c>
      <c r="F390" s="9" t="n">
        <v>1</v>
      </c>
      <c r="G390" s="9" t="n">
        <v>2021</v>
      </c>
      <c r="H390" s="10" t="n">
        <v>2108079</v>
      </c>
      <c r="I390" s="11" t="s">
        <v>98</v>
      </c>
      <c r="J390" s="11" t="s">
        <v>99</v>
      </c>
      <c r="K390" s="10" t="n">
        <v>292824</v>
      </c>
      <c r="L390" s="12" t="n">
        <f aca="false">IF(OR($H390="",K390=""),"",K390/$H390)</f>
        <v>0.138905610273619</v>
      </c>
      <c r="M390" s="9" t="s">
        <v>115</v>
      </c>
      <c r="N390" s="11" t="s">
        <v>116</v>
      </c>
      <c r="O390" s="11" t="s">
        <v>425</v>
      </c>
      <c r="P390" s="11" t="s">
        <v>118</v>
      </c>
      <c r="Q390" s="10" t="n">
        <v>168651</v>
      </c>
      <c r="R390" s="12" t="n">
        <f aca="false">IF(OR($H390="",Q390=""),"",Q390/$H390)</f>
        <v>0.0800022200306535</v>
      </c>
      <c r="S390" s="9" t="s">
        <v>115</v>
      </c>
      <c r="T390" s="11" t="s">
        <v>119</v>
      </c>
      <c r="U390" s="11" t="s">
        <v>426</v>
      </c>
      <c r="V390" s="11" t="s">
        <v>121</v>
      </c>
      <c r="W390" s="10"/>
      <c r="X390" s="12"/>
      <c r="Y390" s="9"/>
      <c r="Z390" s="11"/>
      <c r="AA390" s="11"/>
      <c r="AB390" s="11"/>
      <c r="AC390" s="9"/>
      <c r="AD390" s="10"/>
      <c r="AE390" s="9"/>
      <c r="AF390" s="11"/>
      <c r="AG390" s="11"/>
      <c r="AH390" s="11"/>
      <c r="AI390" s="10" t="n">
        <v>14430</v>
      </c>
      <c r="AJ390" s="9" t="s">
        <v>122</v>
      </c>
      <c r="AK390" s="11" t="s">
        <v>123</v>
      </c>
      <c r="AL390" s="11" t="s">
        <v>124</v>
      </c>
      <c r="AM390" s="11" t="s">
        <v>125</v>
      </c>
    </row>
    <row r="391" customFormat="false" ht="15" hidden="false" customHeight="false" outlineLevel="0" collapsed="false">
      <c r="A391" s="9" t="s">
        <v>421</v>
      </c>
      <c r="B391" s="9" t="s">
        <v>422</v>
      </c>
      <c r="C391" s="9" t="s">
        <v>423</v>
      </c>
      <c r="D391" s="9" t="s">
        <v>424</v>
      </c>
      <c r="E391" s="9" t="n">
        <v>1</v>
      </c>
      <c r="F391" s="9" t="n">
        <v>1</v>
      </c>
      <c r="G391" s="9" t="n">
        <v>2022</v>
      </c>
      <c r="H391" s="10" t="n">
        <v>2112076</v>
      </c>
      <c r="I391" s="11" t="s">
        <v>98</v>
      </c>
      <c r="J391" s="11" t="s">
        <v>99</v>
      </c>
      <c r="K391" s="10" t="n">
        <v>294533</v>
      </c>
      <c r="L391" s="12" t="n">
        <f aca="false">IF(OR($H391="",K391=""),"",K391/$H391)</f>
        <v>0.139451894723485</v>
      </c>
      <c r="M391" s="9" t="s">
        <v>115</v>
      </c>
      <c r="N391" s="11" t="s">
        <v>116</v>
      </c>
      <c r="O391" s="11" t="s">
        <v>425</v>
      </c>
      <c r="P391" s="11" t="s">
        <v>118</v>
      </c>
      <c r="Q391" s="10" t="n">
        <v>172442</v>
      </c>
      <c r="R391" s="12" t="n">
        <f aca="false">IF(OR($H391="",Q391=""),"",Q391/$H391)</f>
        <v>0.0816457362329765</v>
      </c>
      <c r="S391" s="9" t="s">
        <v>115</v>
      </c>
      <c r="T391" s="11" t="s">
        <v>119</v>
      </c>
      <c r="U391" s="11" t="s">
        <v>426</v>
      </c>
      <c r="V391" s="11" t="s">
        <v>121</v>
      </c>
      <c r="W391" s="10"/>
      <c r="X391" s="12"/>
      <c r="Y391" s="9"/>
      <c r="Z391" s="11"/>
      <c r="AA391" s="11"/>
      <c r="AB391" s="11"/>
      <c r="AC391" s="9"/>
      <c r="AD391" s="10"/>
      <c r="AE391" s="9"/>
      <c r="AF391" s="11"/>
      <c r="AG391" s="11"/>
      <c r="AH391" s="11"/>
      <c r="AI391" s="10" t="n">
        <v>35215</v>
      </c>
      <c r="AJ391" s="9" t="s">
        <v>122</v>
      </c>
      <c r="AK391" s="11" t="s">
        <v>123</v>
      </c>
      <c r="AL391" s="11" t="s">
        <v>124</v>
      </c>
      <c r="AM391" s="11" t="s">
        <v>125</v>
      </c>
    </row>
    <row r="392" customFormat="false" ht="15" hidden="false" customHeight="false" outlineLevel="0" collapsed="false">
      <c r="A392" s="9" t="s">
        <v>427</v>
      </c>
      <c r="B392" s="9" t="s">
        <v>428</v>
      </c>
      <c r="C392" s="9" t="s">
        <v>429</v>
      </c>
      <c r="D392" s="9" t="s">
        <v>430</v>
      </c>
      <c r="E392" s="9" t="n">
        <v>1</v>
      </c>
      <c r="F392" s="9" t="n">
        <v>1</v>
      </c>
      <c r="G392" s="9" t="n">
        <v>2010</v>
      </c>
      <c r="H392" s="10" t="n">
        <v>52344051</v>
      </c>
      <c r="I392" s="11" t="s">
        <v>98</v>
      </c>
      <c r="J392" s="11" t="s">
        <v>99</v>
      </c>
      <c r="K392" s="10" t="n">
        <v>2274466</v>
      </c>
      <c r="L392" s="12" t="n">
        <f aca="false">IF(OR($H392="",K392=""),"",K392/$H392)</f>
        <v>0.0434522349063125</v>
      </c>
      <c r="M392" s="9" t="s">
        <v>100</v>
      </c>
      <c r="N392" s="11" t="s">
        <v>167</v>
      </c>
      <c r="O392" s="11" t="s">
        <v>168</v>
      </c>
      <c r="P392" s="11" t="s">
        <v>174</v>
      </c>
      <c r="Q392" s="10"/>
      <c r="R392" s="12"/>
      <c r="S392" s="9"/>
      <c r="T392" s="11"/>
      <c r="U392" s="11"/>
      <c r="V392" s="11"/>
      <c r="W392" s="10"/>
      <c r="X392" s="12"/>
      <c r="Y392" s="9"/>
      <c r="Z392" s="11"/>
      <c r="AA392" s="11"/>
      <c r="AB392" s="11"/>
      <c r="AC392" s="9"/>
      <c r="AD392" s="10"/>
      <c r="AE392" s="9"/>
      <c r="AF392" s="11"/>
      <c r="AG392" s="11"/>
      <c r="AH392" s="11"/>
      <c r="AI392" s="10"/>
      <c r="AJ392" s="9"/>
      <c r="AK392" s="11"/>
      <c r="AL392" s="11"/>
      <c r="AM392" s="11"/>
    </row>
    <row r="393" customFormat="false" ht="15" hidden="false" customHeight="false" outlineLevel="0" collapsed="false">
      <c r="A393" s="9" t="s">
        <v>427</v>
      </c>
      <c r="B393" s="9" t="s">
        <v>428</v>
      </c>
      <c r="C393" s="9" t="s">
        <v>429</v>
      </c>
      <c r="D393" s="9" t="s">
        <v>430</v>
      </c>
      <c r="E393" s="9" t="n">
        <v>1</v>
      </c>
      <c r="F393" s="9" t="n">
        <v>1</v>
      </c>
      <c r="G393" s="9" t="n">
        <v>2011</v>
      </c>
      <c r="H393" s="10" t="n">
        <v>52995205</v>
      </c>
      <c r="I393" s="11" t="s">
        <v>98</v>
      </c>
      <c r="J393" s="11" t="s">
        <v>99</v>
      </c>
      <c r="K393" s="10" t="n">
        <v>2184408</v>
      </c>
      <c r="L393" s="12" t="n">
        <f aca="false">IF(OR($H393="",K393=""),"",K393/$H393)</f>
        <v>0.0412189744336304</v>
      </c>
      <c r="M393" s="9" t="s">
        <v>431</v>
      </c>
      <c r="N393" s="11" t="s">
        <v>432</v>
      </c>
      <c r="O393" s="11" t="s">
        <v>433</v>
      </c>
      <c r="P393" s="11" t="s">
        <v>434</v>
      </c>
      <c r="Q393" s="10"/>
      <c r="R393" s="12"/>
      <c r="S393" s="9"/>
      <c r="T393" s="11"/>
      <c r="U393" s="11"/>
      <c r="V393" s="11"/>
      <c r="W393" s="10"/>
      <c r="X393" s="12"/>
      <c r="Y393" s="9"/>
      <c r="Z393" s="11"/>
      <c r="AA393" s="11"/>
      <c r="AB393" s="11"/>
      <c r="AC393" s="9"/>
      <c r="AD393" s="10"/>
      <c r="AE393" s="9"/>
      <c r="AF393" s="11"/>
      <c r="AG393" s="11"/>
      <c r="AH393" s="11"/>
      <c r="AI393" s="10"/>
      <c r="AJ393" s="9"/>
      <c r="AK393" s="11"/>
      <c r="AL393" s="11"/>
      <c r="AM393" s="11"/>
    </row>
    <row r="394" customFormat="false" ht="15" hidden="false" customHeight="false" outlineLevel="0" collapsed="false">
      <c r="A394" s="9" t="s">
        <v>427</v>
      </c>
      <c r="B394" s="9" t="s">
        <v>428</v>
      </c>
      <c r="C394" s="9" t="s">
        <v>429</v>
      </c>
      <c r="D394" s="9" t="s">
        <v>430</v>
      </c>
      <c r="E394" s="9" t="n">
        <v>1</v>
      </c>
      <c r="F394" s="9" t="n">
        <v>1</v>
      </c>
      <c r="G394" s="9" t="n">
        <v>2012</v>
      </c>
      <c r="H394" s="10" t="n">
        <v>53782567</v>
      </c>
      <c r="I394" s="11" t="s">
        <v>98</v>
      </c>
      <c r="J394" s="11" t="s">
        <v>99</v>
      </c>
      <c r="K394" s="10"/>
      <c r="L394" s="12"/>
      <c r="M394" s="9"/>
      <c r="N394" s="11"/>
      <c r="O394" s="11"/>
      <c r="P394" s="11"/>
      <c r="Q394" s="10"/>
      <c r="R394" s="12"/>
      <c r="S394" s="9"/>
      <c r="T394" s="11"/>
      <c r="U394" s="11"/>
      <c r="V394" s="11"/>
      <c r="W394" s="10"/>
      <c r="X394" s="12"/>
      <c r="Y394" s="9"/>
      <c r="Z394" s="11"/>
      <c r="AA394" s="11"/>
      <c r="AB394" s="11"/>
      <c r="AC394" s="9"/>
      <c r="AD394" s="10"/>
      <c r="AE394" s="9"/>
      <c r="AF394" s="11"/>
      <c r="AG394" s="11"/>
      <c r="AH394" s="11"/>
      <c r="AI394" s="10"/>
      <c r="AJ394" s="9"/>
      <c r="AK394" s="11"/>
      <c r="AL394" s="11"/>
      <c r="AM394" s="11"/>
    </row>
    <row r="395" customFormat="false" ht="15" hidden="false" customHeight="false" outlineLevel="0" collapsed="false">
      <c r="A395" s="9" t="s">
        <v>427</v>
      </c>
      <c r="B395" s="9" t="s">
        <v>428</v>
      </c>
      <c r="C395" s="9" t="s">
        <v>429</v>
      </c>
      <c r="D395" s="9" t="s">
        <v>430</v>
      </c>
      <c r="E395" s="9" t="n">
        <v>1</v>
      </c>
      <c r="F395" s="9" t="n">
        <v>1</v>
      </c>
      <c r="G395" s="9" t="n">
        <v>2013</v>
      </c>
      <c r="H395" s="10" t="n">
        <v>54678791</v>
      </c>
      <c r="I395" s="11" t="s">
        <v>98</v>
      </c>
      <c r="J395" s="11" t="s">
        <v>99</v>
      </c>
      <c r="K395" s="10"/>
      <c r="L395" s="12"/>
      <c r="M395" s="9"/>
      <c r="N395" s="11"/>
      <c r="O395" s="11"/>
      <c r="P395" s="11"/>
      <c r="Q395" s="10"/>
      <c r="R395" s="12"/>
      <c r="S395" s="9"/>
      <c r="T395" s="11"/>
      <c r="U395" s="11"/>
      <c r="V395" s="11"/>
      <c r="W395" s="10"/>
      <c r="X395" s="12"/>
      <c r="Y395" s="9"/>
      <c r="Z395" s="11"/>
      <c r="AA395" s="11"/>
      <c r="AB395" s="11"/>
      <c r="AC395" s="9"/>
      <c r="AD395" s="10"/>
      <c r="AE395" s="9"/>
      <c r="AF395" s="11"/>
      <c r="AG395" s="11"/>
      <c r="AH395" s="11"/>
      <c r="AI395" s="10"/>
      <c r="AJ395" s="9"/>
      <c r="AK395" s="11"/>
      <c r="AL395" s="11"/>
      <c r="AM395" s="11"/>
    </row>
    <row r="396" customFormat="false" ht="15" hidden="false" customHeight="false" outlineLevel="0" collapsed="false">
      <c r="A396" s="9" t="s">
        <v>427</v>
      </c>
      <c r="B396" s="9" t="s">
        <v>428</v>
      </c>
      <c r="C396" s="9" t="s">
        <v>429</v>
      </c>
      <c r="D396" s="9" t="s">
        <v>430</v>
      </c>
      <c r="E396" s="9" t="n">
        <v>1</v>
      </c>
      <c r="F396" s="9" t="n">
        <v>1</v>
      </c>
      <c r="G396" s="9" t="n">
        <v>2014</v>
      </c>
      <c r="H396" s="10" t="n">
        <v>55594838</v>
      </c>
      <c r="I396" s="11" t="s">
        <v>98</v>
      </c>
      <c r="J396" s="11" t="s">
        <v>99</v>
      </c>
      <c r="K396" s="10"/>
      <c r="L396" s="12"/>
      <c r="M396" s="9"/>
      <c r="N396" s="11"/>
      <c r="O396" s="11"/>
      <c r="P396" s="11"/>
      <c r="Q396" s="10"/>
      <c r="R396" s="12"/>
      <c r="S396" s="9"/>
      <c r="T396" s="11"/>
      <c r="U396" s="11"/>
      <c r="V396" s="11"/>
      <c r="W396" s="10"/>
      <c r="X396" s="12"/>
      <c r="Y396" s="9"/>
      <c r="Z396" s="11"/>
      <c r="AA396" s="11"/>
      <c r="AB396" s="11"/>
      <c r="AC396" s="9"/>
      <c r="AD396" s="10"/>
      <c r="AE396" s="9"/>
      <c r="AF396" s="11"/>
      <c r="AG396" s="11"/>
      <c r="AH396" s="11"/>
      <c r="AI396" s="10"/>
      <c r="AJ396" s="9"/>
      <c r="AK396" s="11"/>
      <c r="AL396" s="11"/>
      <c r="AM396" s="11"/>
    </row>
    <row r="397" customFormat="false" ht="15" hidden="false" customHeight="false" outlineLevel="0" collapsed="false">
      <c r="A397" s="9" t="s">
        <v>427</v>
      </c>
      <c r="B397" s="9" t="s">
        <v>428</v>
      </c>
      <c r="C397" s="9" t="s">
        <v>429</v>
      </c>
      <c r="D397" s="9" t="s">
        <v>430</v>
      </c>
      <c r="E397" s="9" t="n">
        <v>1</v>
      </c>
      <c r="F397" s="9" t="n">
        <v>1</v>
      </c>
      <c r="G397" s="9" t="n">
        <v>2015</v>
      </c>
      <c r="H397" s="10" t="n">
        <v>56723537</v>
      </c>
      <c r="I397" s="11" t="s">
        <v>98</v>
      </c>
      <c r="J397" s="11" t="s">
        <v>99</v>
      </c>
      <c r="K397" s="10" t="n">
        <v>3162564</v>
      </c>
      <c r="L397" s="12" t="n">
        <f aca="false">IF(OR($H397="",K397=""),"",K397/$H397)</f>
        <v>0.0557539985561902</v>
      </c>
      <c r="M397" s="9" t="s">
        <v>100</v>
      </c>
      <c r="N397" s="11" t="s">
        <v>167</v>
      </c>
      <c r="O397" s="11" t="s">
        <v>168</v>
      </c>
      <c r="P397" s="11" t="s">
        <v>435</v>
      </c>
      <c r="Q397" s="10"/>
      <c r="R397" s="12"/>
      <c r="S397" s="9"/>
      <c r="T397" s="11"/>
      <c r="U397" s="11"/>
      <c r="V397" s="11"/>
      <c r="W397" s="10"/>
      <c r="X397" s="12"/>
      <c r="Y397" s="9"/>
      <c r="Z397" s="11"/>
      <c r="AA397" s="11"/>
      <c r="AB397" s="11"/>
      <c r="AC397" s="9"/>
      <c r="AD397" s="10"/>
      <c r="AE397" s="9"/>
      <c r="AF397" s="11"/>
      <c r="AG397" s="11"/>
      <c r="AH397" s="11"/>
      <c r="AI397" s="10"/>
      <c r="AJ397" s="9"/>
      <c r="AK397" s="11"/>
      <c r="AL397" s="11"/>
      <c r="AM397" s="11"/>
    </row>
    <row r="398" customFormat="false" ht="15" hidden="false" customHeight="false" outlineLevel="0" collapsed="false">
      <c r="A398" s="9" t="s">
        <v>427</v>
      </c>
      <c r="B398" s="9" t="s">
        <v>428</v>
      </c>
      <c r="C398" s="9" t="s">
        <v>429</v>
      </c>
      <c r="D398" s="9" t="s">
        <v>430</v>
      </c>
      <c r="E398" s="9" t="n">
        <v>1</v>
      </c>
      <c r="F398" s="9" t="n">
        <v>1</v>
      </c>
      <c r="G398" s="9" t="n">
        <v>2016</v>
      </c>
      <c r="H398" s="10" t="n">
        <v>57259551</v>
      </c>
      <c r="I398" s="11" t="s">
        <v>98</v>
      </c>
      <c r="J398" s="11" t="s">
        <v>99</v>
      </c>
      <c r="K398" s="10" t="n">
        <v>1578541</v>
      </c>
      <c r="L398" s="12" t="n">
        <f aca="false">IF(OR($H398="",K398=""),"",K398/$H398)</f>
        <v>0.027568169369683</v>
      </c>
      <c r="M398" s="9" t="s">
        <v>170</v>
      </c>
      <c r="N398" s="11" t="s">
        <v>436</v>
      </c>
      <c r="O398" s="11" t="s">
        <v>437</v>
      </c>
      <c r="P398" s="11" t="s">
        <v>438</v>
      </c>
      <c r="Q398" s="10"/>
      <c r="R398" s="12"/>
      <c r="S398" s="9"/>
      <c r="T398" s="11"/>
      <c r="U398" s="11"/>
      <c r="V398" s="11"/>
      <c r="W398" s="10"/>
      <c r="X398" s="12"/>
      <c r="Y398" s="9"/>
      <c r="Z398" s="11"/>
      <c r="AA398" s="11"/>
      <c r="AB398" s="11"/>
      <c r="AC398" s="9"/>
      <c r="AD398" s="10"/>
      <c r="AE398" s="9"/>
      <c r="AF398" s="11"/>
      <c r="AG398" s="11"/>
      <c r="AH398" s="11"/>
      <c r="AI398" s="10"/>
      <c r="AJ398" s="9"/>
      <c r="AK398" s="11"/>
      <c r="AL398" s="11"/>
      <c r="AM398" s="11"/>
    </row>
    <row r="399" customFormat="false" ht="15" hidden="false" customHeight="false" outlineLevel="0" collapsed="false">
      <c r="A399" s="9" t="s">
        <v>427</v>
      </c>
      <c r="B399" s="9" t="s">
        <v>428</v>
      </c>
      <c r="C399" s="9" t="s">
        <v>429</v>
      </c>
      <c r="D399" s="9" t="s">
        <v>430</v>
      </c>
      <c r="E399" s="9" t="n">
        <v>1</v>
      </c>
      <c r="F399" s="9" t="n">
        <v>1</v>
      </c>
      <c r="G399" s="9" t="n">
        <v>2017</v>
      </c>
      <c r="H399" s="10" t="n">
        <v>57635162</v>
      </c>
      <c r="I399" s="11" t="s">
        <v>98</v>
      </c>
      <c r="J399" s="11" t="s">
        <v>99</v>
      </c>
      <c r="K399" s="10"/>
      <c r="L399" s="12"/>
      <c r="M399" s="9"/>
      <c r="N399" s="11"/>
      <c r="O399" s="11"/>
      <c r="P399" s="11"/>
      <c r="Q399" s="10"/>
      <c r="R399" s="12"/>
      <c r="S399" s="9"/>
      <c r="T399" s="11"/>
      <c r="U399" s="11"/>
      <c r="V399" s="11"/>
      <c r="W399" s="10"/>
      <c r="X399" s="12"/>
      <c r="Y399" s="9"/>
      <c r="Z399" s="11"/>
      <c r="AA399" s="11"/>
      <c r="AB399" s="11"/>
      <c r="AC399" s="9"/>
      <c r="AD399" s="10"/>
      <c r="AE399" s="9"/>
      <c r="AF399" s="11"/>
      <c r="AG399" s="11"/>
      <c r="AH399" s="11"/>
      <c r="AI399" s="10"/>
      <c r="AJ399" s="9"/>
      <c r="AK399" s="11"/>
      <c r="AL399" s="11"/>
      <c r="AM399" s="11"/>
    </row>
    <row r="400" customFormat="false" ht="15" hidden="false" customHeight="false" outlineLevel="0" collapsed="false">
      <c r="A400" s="9" t="s">
        <v>427</v>
      </c>
      <c r="B400" s="9" t="s">
        <v>428</v>
      </c>
      <c r="C400" s="9" t="s">
        <v>429</v>
      </c>
      <c r="D400" s="9" t="s">
        <v>430</v>
      </c>
      <c r="E400" s="9" t="n">
        <v>1</v>
      </c>
      <c r="F400" s="9" t="n">
        <v>1</v>
      </c>
      <c r="G400" s="9" t="n">
        <v>2018</v>
      </c>
      <c r="H400" s="10" t="n">
        <v>58613001</v>
      </c>
      <c r="I400" s="11" t="s">
        <v>98</v>
      </c>
      <c r="J400" s="11" t="s">
        <v>99</v>
      </c>
      <c r="K400" s="10"/>
      <c r="L400" s="12"/>
      <c r="M400" s="9"/>
      <c r="N400" s="11"/>
      <c r="O400" s="11"/>
      <c r="P400" s="11"/>
      <c r="Q400" s="10"/>
      <c r="R400" s="12"/>
      <c r="S400" s="9"/>
      <c r="T400" s="11"/>
      <c r="U400" s="11"/>
      <c r="V400" s="11"/>
      <c r="W400" s="10"/>
      <c r="X400" s="12"/>
      <c r="Y400" s="9"/>
      <c r="Z400" s="11"/>
      <c r="AA400" s="11"/>
      <c r="AB400" s="11"/>
      <c r="AC400" s="9"/>
      <c r="AD400" s="10"/>
      <c r="AE400" s="9"/>
      <c r="AF400" s="11"/>
      <c r="AG400" s="11"/>
      <c r="AH400" s="11"/>
      <c r="AI400" s="10"/>
      <c r="AJ400" s="9"/>
      <c r="AK400" s="11"/>
      <c r="AL400" s="11"/>
      <c r="AM400" s="11"/>
    </row>
    <row r="401" customFormat="false" ht="15" hidden="false" customHeight="false" outlineLevel="0" collapsed="false">
      <c r="A401" s="9" t="s">
        <v>427</v>
      </c>
      <c r="B401" s="9" t="s">
        <v>428</v>
      </c>
      <c r="C401" s="9" t="s">
        <v>429</v>
      </c>
      <c r="D401" s="9" t="s">
        <v>430</v>
      </c>
      <c r="E401" s="9" t="n">
        <v>1</v>
      </c>
      <c r="F401" s="9" t="n">
        <v>1</v>
      </c>
      <c r="G401" s="9" t="n">
        <v>2019</v>
      </c>
      <c r="H401" s="10" t="n">
        <v>59587885</v>
      </c>
      <c r="I401" s="11" t="s">
        <v>98</v>
      </c>
      <c r="J401" s="11" t="s">
        <v>99</v>
      </c>
      <c r="K401" s="10"/>
      <c r="L401" s="12"/>
      <c r="M401" s="9"/>
      <c r="N401" s="11"/>
      <c r="O401" s="11"/>
      <c r="P401" s="11"/>
      <c r="Q401" s="10"/>
      <c r="R401" s="12"/>
      <c r="S401" s="9"/>
      <c r="T401" s="11"/>
      <c r="U401" s="11"/>
      <c r="V401" s="11"/>
      <c r="W401" s="10"/>
      <c r="X401" s="12"/>
      <c r="Y401" s="9"/>
      <c r="Z401" s="11"/>
      <c r="AA401" s="11"/>
      <c r="AB401" s="11"/>
      <c r="AC401" s="9"/>
      <c r="AD401" s="10"/>
      <c r="AE401" s="9"/>
      <c r="AF401" s="11"/>
      <c r="AG401" s="11"/>
      <c r="AH401" s="11"/>
      <c r="AI401" s="10"/>
      <c r="AJ401" s="9"/>
      <c r="AK401" s="11"/>
      <c r="AL401" s="11"/>
      <c r="AM401" s="11"/>
    </row>
    <row r="402" customFormat="false" ht="15" hidden="false" customHeight="false" outlineLevel="0" collapsed="false">
      <c r="A402" s="9" t="s">
        <v>427</v>
      </c>
      <c r="B402" s="9" t="s">
        <v>428</v>
      </c>
      <c r="C402" s="9" t="s">
        <v>429</v>
      </c>
      <c r="D402" s="9" t="s">
        <v>430</v>
      </c>
      <c r="E402" s="9" t="n">
        <v>1</v>
      </c>
      <c r="F402" s="9" t="n">
        <v>1</v>
      </c>
      <c r="G402" s="9" t="n">
        <v>2020</v>
      </c>
      <c r="H402" s="10" t="n">
        <v>60562381</v>
      </c>
      <c r="I402" s="11" t="s">
        <v>98</v>
      </c>
      <c r="J402" s="11" t="s">
        <v>99</v>
      </c>
      <c r="K402" s="10" t="n">
        <v>2639076</v>
      </c>
      <c r="L402" s="12" t="n">
        <f aca="false">IF(OR($H402="",K402=""),"",K402/$H402)</f>
        <v>0.0435761599267374</v>
      </c>
      <c r="M402" s="9" t="s">
        <v>100</v>
      </c>
      <c r="N402" s="11" t="s">
        <v>167</v>
      </c>
      <c r="O402" s="11" t="s">
        <v>168</v>
      </c>
      <c r="P402" s="11" t="s">
        <v>174</v>
      </c>
      <c r="Q402" s="10"/>
      <c r="R402" s="12"/>
      <c r="S402" s="9"/>
      <c r="T402" s="11"/>
      <c r="U402" s="11"/>
      <c r="V402" s="11"/>
      <c r="W402" s="10"/>
      <c r="X402" s="12"/>
      <c r="Y402" s="9"/>
      <c r="Z402" s="11"/>
      <c r="AA402" s="11"/>
      <c r="AB402" s="11"/>
      <c r="AC402" s="9"/>
      <c r="AD402" s="10"/>
      <c r="AE402" s="9"/>
      <c r="AF402" s="11"/>
      <c r="AG402" s="11"/>
      <c r="AH402" s="11"/>
      <c r="AI402" s="10"/>
      <c r="AJ402" s="9"/>
      <c r="AK402" s="11"/>
      <c r="AL402" s="11"/>
      <c r="AM402" s="11"/>
    </row>
    <row r="403" customFormat="false" ht="15" hidden="false" customHeight="false" outlineLevel="0" collapsed="false">
      <c r="A403" s="9" t="s">
        <v>427</v>
      </c>
      <c r="B403" s="9" t="s">
        <v>428</v>
      </c>
      <c r="C403" s="9" t="s">
        <v>429</v>
      </c>
      <c r="D403" s="9" t="s">
        <v>430</v>
      </c>
      <c r="E403" s="9" t="n">
        <v>1</v>
      </c>
      <c r="F403" s="9" t="n">
        <v>1</v>
      </c>
      <c r="G403" s="9" t="n">
        <v>2021</v>
      </c>
      <c r="H403" s="10" t="n">
        <v>61502603</v>
      </c>
      <c r="I403" s="11" t="s">
        <v>98</v>
      </c>
      <c r="J403" s="11" t="s">
        <v>99</v>
      </c>
      <c r="K403" s="10"/>
      <c r="L403" s="12"/>
      <c r="M403" s="9"/>
      <c r="N403" s="11"/>
      <c r="O403" s="11"/>
      <c r="P403" s="11"/>
      <c r="Q403" s="10"/>
      <c r="R403" s="12"/>
      <c r="S403" s="9"/>
      <c r="T403" s="11"/>
      <c r="U403" s="11"/>
      <c r="V403" s="11"/>
      <c r="W403" s="10"/>
      <c r="X403" s="12"/>
      <c r="Y403" s="9"/>
      <c r="Z403" s="11"/>
      <c r="AA403" s="11"/>
      <c r="AB403" s="11"/>
      <c r="AC403" s="9"/>
      <c r="AD403" s="10"/>
      <c r="AE403" s="9"/>
      <c r="AF403" s="11"/>
      <c r="AG403" s="11"/>
      <c r="AH403" s="11"/>
      <c r="AI403" s="10"/>
      <c r="AJ403" s="9"/>
      <c r="AK403" s="11"/>
      <c r="AL403" s="11"/>
      <c r="AM403" s="11"/>
    </row>
    <row r="404" customFormat="false" ht="15" hidden="false" customHeight="false" outlineLevel="0" collapsed="false">
      <c r="A404" s="9" t="s">
        <v>427</v>
      </c>
      <c r="B404" s="9" t="s">
        <v>428</v>
      </c>
      <c r="C404" s="9" t="s">
        <v>429</v>
      </c>
      <c r="D404" s="9" t="s">
        <v>430</v>
      </c>
      <c r="E404" s="9" t="n">
        <v>1</v>
      </c>
      <c r="F404" s="9" t="n">
        <v>1</v>
      </c>
      <c r="G404" s="9" t="n">
        <v>2022</v>
      </c>
      <c r="H404" s="10" t="n">
        <v>62378410</v>
      </c>
      <c r="I404" s="11" t="s">
        <v>98</v>
      </c>
      <c r="J404" s="11" t="s">
        <v>99</v>
      </c>
      <c r="K404" s="10" t="n">
        <v>2418197</v>
      </c>
      <c r="L404" s="12" t="n">
        <f aca="false">IF(OR($H404="",K404=""),"",K404/$H404)</f>
        <v>0.0387665700360109</v>
      </c>
      <c r="M404" s="9" t="s">
        <v>170</v>
      </c>
      <c r="N404" s="11" t="s">
        <v>439</v>
      </c>
      <c r="O404" s="11" t="s">
        <v>433</v>
      </c>
      <c r="P404" s="11" t="s">
        <v>440</v>
      </c>
      <c r="Q404" s="10"/>
      <c r="R404" s="12"/>
      <c r="S404" s="9"/>
      <c r="T404" s="11"/>
      <c r="U404" s="11"/>
      <c r="V404" s="11"/>
      <c r="W404" s="10"/>
      <c r="X404" s="12"/>
      <c r="Y404" s="9"/>
      <c r="Z404" s="11"/>
      <c r="AA404" s="11"/>
      <c r="AB404" s="11"/>
      <c r="AC404" s="9"/>
      <c r="AD404" s="10"/>
      <c r="AE404" s="9"/>
      <c r="AF404" s="11"/>
      <c r="AG404" s="11"/>
      <c r="AH404" s="11"/>
      <c r="AI404" s="10"/>
      <c r="AJ404" s="9"/>
      <c r="AK404" s="11"/>
      <c r="AL404" s="11"/>
      <c r="AM404" s="11"/>
    </row>
    <row r="405" customFormat="false" ht="15" hidden="false" customHeight="false" outlineLevel="0" collapsed="false">
      <c r="A405" s="9" t="s">
        <v>441</v>
      </c>
      <c r="B405" s="9" t="s">
        <v>442</v>
      </c>
      <c r="C405" s="9" t="s">
        <v>443</v>
      </c>
      <c r="D405" s="9" t="s">
        <v>444</v>
      </c>
      <c r="E405" s="9" t="n">
        <v>1</v>
      </c>
      <c r="F405" s="9" t="n">
        <v>0</v>
      </c>
      <c r="G405" s="9" t="n">
        <v>2010</v>
      </c>
      <c r="H405" s="10" t="n">
        <v>46576897</v>
      </c>
      <c r="I405" s="11" t="s">
        <v>98</v>
      </c>
      <c r="J405" s="11" t="s">
        <v>99</v>
      </c>
      <c r="K405" s="10" t="n">
        <v>6280062</v>
      </c>
      <c r="L405" s="12" t="n">
        <f aca="false">IF(OR($H405="",K405=""),"",K405/$H405)</f>
        <v>0.134832125034006</v>
      </c>
      <c r="M405" s="9" t="s">
        <v>115</v>
      </c>
      <c r="N405" s="11" t="s">
        <v>116</v>
      </c>
      <c r="O405" s="11" t="s">
        <v>445</v>
      </c>
      <c r="P405" s="11" t="s">
        <v>118</v>
      </c>
      <c r="Q405" s="10" t="n">
        <v>5402575</v>
      </c>
      <c r="R405" s="12" t="n">
        <f aca="false">IF(OR($H405="",Q405=""),"",Q405/$H405)</f>
        <v>0.115992591777851</v>
      </c>
      <c r="S405" s="9" t="s">
        <v>115</v>
      </c>
      <c r="T405" s="11" t="s">
        <v>119</v>
      </c>
      <c r="U405" s="11" t="s">
        <v>446</v>
      </c>
      <c r="V405" s="11" t="s">
        <v>121</v>
      </c>
      <c r="W405" s="10"/>
      <c r="X405" s="12"/>
      <c r="Y405" s="9"/>
      <c r="Z405" s="11"/>
      <c r="AA405" s="11"/>
      <c r="AB405" s="11"/>
      <c r="AC405" s="9"/>
      <c r="AD405" s="10"/>
      <c r="AE405" s="9"/>
      <c r="AF405" s="11"/>
      <c r="AG405" s="11"/>
      <c r="AH405" s="11"/>
      <c r="AI405" s="10" t="n">
        <v>70315</v>
      </c>
      <c r="AJ405" s="9" t="s">
        <v>122</v>
      </c>
      <c r="AK405" s="11" t="s">
        <v>123</v>
      </c>
      <c r="AL405" s="11" t="s">
        <v>124</v>
      </c>
      <c r="AM405" s="11" t="s">
        <v>125</v>
      </c>
    </row>
    <row r="406" customFormat="false" ht="15" hidden="false" customHeight="false" outlineLevel="0" collapsed="false">
      <c r="A406" s="9" t="s">
        <v>441</v>
      </c>
      <c r="B406" s="9" t="s">
        <v>442</v>
      </c>
      <c r="C406" s="9" t="s">
        <v>443</v>
      </c>
      <c r="D406" s="9" t="s">
        <v>444</v>
      </c>
      <c r="E406" s="9" t="n">
        <v>1</v>
      </c>
      <c r="F406" s="9" t="n">
        <v>0</v>
      </c>
      <c r="G406" s="9" t="n">
        <v>2011</v>
      </c>
      <c r="H406" s="10" t="n">
        <v>46742697</v>
      </c>
      <c r="I406" s="11" t="s">
        <v>98</v>
      </c>
      <c r="J406" s="11" t="s">
        <v>99</v>
      </c>
      <c r="K406" s="10" t="n">
        <v>6282205</v>
      </c>
      <c r="L406" s="12" t="n">
        <f aca="false">IF(OR($H406="",K406=""),"",K406/$H406)</f>
        <v>0.134399711681164</v>
      </c>
      <c r="M406" s="9" t="s">
        <v>115</v>
      </c>
      <c r="N406" s="11" t="s">
        <v>116</v>
      </c>
      <c r="O406" s="11" t="s">
        <v>445</v>
      </c>
      <c r="P406" s="11" t="s">
        <v>118</v>
      </c>
      <c r="Q406" s="10" t="n">
        <v>5312439</v>
      </c>
      <c r="R406" s="12" t="n">
        <f aca="false">IF(OR($H406="",Q406=""),"",Q406/$H406)</f>
        <v>0.113652812973115</v>
      </c>
      <c r="S406" s="9" t="s">
        <v>115</v>
      </c>
      <c r="T406" s="11" t="s">
        <v>119</v>
      </c>
      <c r="U406" s="11" t="s">
        <v>446</v>
      </c>
      <c r="V406" s="11" t="s">
        <v>121</v>
      </c>
      <c r="W406" s="10"/>
      <c r="X406" s="12"/>
      <c r="Y406" s="9"/>
      <c r="Z406" s="11"/>
      <c r="AA406" s="11"/>
      <c r="AB406" s="11"/>
      <c r="AC406" s="9"/>
      <c r="AD406" s="10"/>
      <c r="AE406" s="9"/>
      <c r="AF406" s="11"/>
      <c r="AG406" s="11"/>
      <c r="AH406" s="11"/>
      <c r="AI406" s="10" t="n">
        <v>68825</v>
      </c>
      <c r="AJ406" s="9" t="s">
        <v>122</v>
      </c>
      <c r="AK406" s="11" t="s">
        <v>123</v>
      </c>
      <c r="AL406" s="11" t="s">
        <v>124</v>
      </c>
      <c r="AM406" s="11" t="s">
        <v>125</v>
      </c>
    </row>
    <row r="407" customFormat="false" ht="15" hidden="false" customHeight="false" outlineLevel="0" collapsed="false">
      <c r="A407" s="9" t="s">
        <v>441</v>
      </c>
      <c r="B407" s="9" t="s">
        <v>442</v>
      </c>
      <c r="C407" s="9" t="s">
        <v>443</v>
      </c>
      <c r="D407" s="9" t="s">
        <v>444</v>
      </c>
      <c r="E407" s="9" t="n">
        <v>1</v>
      </c>
      <c r="F407" s="9" t="n">
        <v>0</v>
      </c>
      <c r="G407" s="9" t="n">
        <v>2012</v>
      </c>
      <c r="H407" s="10" t="n">
        <v>46773055</v>
      </c>
      <c r="I407" s="11" t="s">
        <v>98</v>
      </c>
      <c r="J407" s="11" t="s">
        <v>99</v>
      </c>
      <c r="K407" s="10" t="n">
        <v>6294954</v>
      </c>
      <c r="L407" s="12" t="n">
        <f aca="false">IF(OR($H407="",K407=""),"",K407/$H407)</f>
        <v>0.134585051158194</v>
      </c>
      <c r="M407" s="9" t="s">
        <v>115</v>
      </c>
      <c r="N407" s="11" t="s">
        <v>116</v>
      </c>
      <c r="O407" s="11" t="s">
        <v>445</v>
      </c>
      <c r="P407" s="11" t="s">
        <v>118</v>
      </c>
      <c r="Q407" s="10" t="n">
        <v>5236030</v>
      </c>
      <c r="R407" s="12" t="n">
        <f aca="false">IF(OR($H407="",Q407=""),"",Q407/$H407)</f>
        <v>0.111945435251129</v>
      </c>
      <c r="S407" s="9" t="s">
        <v>115</v>
      </c>
      <c r="T407" s="11" t="s">
        <v>119</v>
      </c>
      <c r="U407" s="11" t="s">
        <v>446</v>
      </c>
      <c r="V407" s="11" t="s">
        <v>121</v>
      </c>
      <c r="W407" s="10"/>
      <c r="X407" s="12"/>
      <c r="Y407" s="9"/>
      <c r="Z407" s="11"/>
      <c r="AA407" s="11"/>
      <c r="AB407" s="11"/>
      <c r="AC407" s="9"/>
      <c r="AD407" s="10"/>
      <c r="AE407" s="9"/>
      <c r="AF407" s="11"/>
      <c r="AG407" s="11"/>
      <c r="AH407" s="11"/>
      <c r="AI407" s="10" t="n">
        <v>52485</v>
      </c>
      <c r="AJ407" s="9" t="s">
        <v>122</v>
      </c>
      <c r="AK407" s="11" t="s">
        <v>123</v>
      </c>
      <c r="AL407" s="11" t="s">
        <v>124</v>
      </c>
      <c r="AM407" s="11" t="s">
        <v>125</v>
      </c>
    </row>
    <row r="408" customFormat="false" ht="15" hidden="false" customHeight="false" outlineLevel="0" collapsed="false">
      <c r="A408" s="9" t="s">
        <v>441</v>
      </c>
      <c r="B408" s="9" t="s">
        <v>442</v>
      </c>
      <c r="C408" s="9" t="s">
        <v>443</v>
      </c>
      <c r="D408" s="9" t="s">
        <v>444</v>
      </c>
      <c r="E408" s="9" t="n">
        <v>1</v>
      </c>
      <c r="F408" s="9" t="n">
        <v>0</v>
      </c>
      <c r="G408" s="9" t="n">
        <v>2013</v>
      </c>
      <c r="H408" s="10" t="n">
        <v>46604197</v>
      </c>
      <c r="I408" s="11" t="s">
        <v>98</v>
      </c>
      <c r="J408" s="11" t="s">
        <v>99</v>
      </c>
      <c r="K408" s="10" t="n">
        <v>6165635</v>
      </c>
      <c r="L408" s="12" t="n">
        <f aca="false">IF(OR($H408="",K408=""),"",K408/$H408)</f>
        <v>0.132297848625093</v>
      </c>
      <c r="M408" s="9" t="s">
        <v>115</v>
      </c>
      <c r="N408" s="11" t="s">
        <v>116</v>
      </c>
      <c r="O408" s="11" t="s">
        <v>445</v>
      </c>
      <c r="P408" s="11" t="s">
        <v>118</v>
      </c>
      <c r="Q408" s="10" t="n">
        <v>5064584</v>
      </c>
      <c r="R408" s="12" t="n">
        <f aca="false">IF(OR($H408="",Q408=""),"",Q408/$H408)</f>
        <v>0.108672272585235</v>
      </c>
      <c r="S408" s="9" t="s">
        <v>115</v>
      </c>
      <c r="T408" s="11" t="s">
        <v>119</v>
      </c>
      <c r="U408" s="11" t="s">
        <v>446</v>
      </c>
      <c r="V408" s="11" t="s">
        <v>121</v>
      </c>
      <c r="W408" s="10"/>
      <c r="X408" s="12"/>
      <c r="Y408" s="9"/>
      <c r="Z408" s="11"/>
      <c r="AA408" s="11"/>
      <c r="AB408" s="11"/>
      <c r="AC408" s="9"/>
      <c r="AD408" s="10"/>
      <c r="AE408" s="9"/>
      <c r="AF408" s="11"/>
      <c r="AG408" s="11"/>
      <c r="AH408" s="11"/>
      <c r="AI408" s="10" t="n">
        <v>46195</v>
      </c>
      <c r="AJ408" s="9" t="s">
        <v>122</v>
      </c>
      <c r="AK408" s="11" t="s">
        <v>123</v>
      </c>
      <c r="AL408" s="11" t="s">
        <v>124</v>
      </c>
      <c r="AM408" s="11" t="s">
        <v>125</v>
      </c>
    </row>
    <row r="409" customFormat="false" ht="15" hidden="false" customHeight="false" outlineLevel="0" collapsed="false">
      <c r="A409" s="9" t="s">
        <v>441</v>
      </c>
      <c r="B409" s="9" t="s">
        <v>442</v>
      </c>
      <c r="C409" s="9" t="s">
        <v>443</v>
      </c>
      <c r="D409" s="9" t="s">
        <v>444</v>
      </c>
      <c r="E409" s="9" t="n">
        <v>1</v>
      </c>
      <c r="F409" s="9" t="n">
        <v>0</v>
      </c>
      <c r="G409" s="9" t="n">
        <v>2014</v>
      </c>
      <c r="H409" s="10" t="n">
        <v>46460733</v>
      </c>
      <c r="I409" s="11" t="s">
        <v>98</v>
      </c>
      <c r="J409" s="11" t="s">
        <v>99</v>
      </c>
      <c r="K409" s="10" t="n">
        <v>5952770</v>
      </c>
      <c r="L409" s="12" t="n">
        <f aca="false">IF(OR($H409="",K409=""),"",K409/$H409)</f>
        <v>0.128124754295202</v>
      </c>
      <c r="M409" s="9" t="s">
        <v>115</v>
      </c>
      <c r="N409" s="11" t="s">
        <v>116</v>
      </c>
      <c r="O409" s="11" t="s">
        <v>445</v>
      </c>
      <c r="P409" s="11" t="s">
        <v>118</v>
      </c>
      <c r="Q409" s="10" t="n">
        <v>4676352</v>
      </c>
      <c r="R409" s="12" t="n">
        <f aca="false">IF(OR($H409="",Q409=""),"",Q409/$H409)</f>
        <v>0.100651705172193</v>
      </c>
      <c r="S409" s="9" t="s">
        <v>115</v>
      </c>
      <c r="T409" s="11" t="s">
        <v>119</v>
      </c>
      <c r="U409" s="11" t="s">
        <v>446</v>
      </c>
      <c r="V409" s="11" t="s">
        <v>121</v>
      </c>
      <c r="W409" s="10"/>
      <c r="X409" s="12"/>
      <c r="Y409" s="9"/>
      <c r="Z409" s="11"/>
      <c r="AA409" s="11"/>
      <c r="AB409" s="11"/>
      <c r="AC409" s="9"/>
      <c r="AD409" s="10"/>
      <c r="AE409" s="9"/>
      <c r="AF409" s="11"/>
      <c r="AG409" s="11"/>
      <c r="AH409" s="11"/>
      <c r="AI409" s="10" t="n">
        <v>47885</v>
      </c>
      <c r="AJ409" s="9" t="s">
        <v>122</v>
      </c>
      <c r="AK409" s="11" t="s">
        <v>123</v>
      </c>
      <c r="AL409" s="11" t="s">
        <v>124</v>
      </c>
      <c r="AM409" s="11" t="s">
        <v>125</v>
      </c>
    </row>
    <row r="410" customFormat="false" ht="15" hidden="false" customHeight="false" outlineLevel="0" collapsed="false">
      <c r="A410" s="9" t="s">
        <v>441</v>
      </c>
      <c r="B410" s="9" t="s">
        <v>442</v>
      </c>
      <c r="C410" s="9" t="s">
        <v>443</v>
      </c>
      <c r="D410" s="9" t="s">
        <v>444</v>
      </c>
      <c r="E410" s="9" t="n">
        <v>1</v>
      </c>
      <c r="F410" s="9" t="n">
        <v>0</v>
      </c>
      <c r="G410" s="9" t="n">
        <v>2015</v>
      </c>
      <c r="H410" s="10" t="n">
        <v>46422303</v>
      </c>
      <c r="I410" s="11" t="s">
        <v>98</v>
      </c>
      <c r="J410" s="11" t="s">
        <v>99</v>
      </c>
      <c r="K410" s="10" t="n">
        <v>5883891</v>
      </c>
      <c r="L410" s="12" t="n">
        <f aca="false">IF(OR($H410="",K410=""),"",K410/$H410)</f>
        <v>0.12674707241474</v>
      </c>
      <c r="M410" s="9" t="s">
        <v>115</v>
      </c>
      <c r="N410" s="11" t="s">
        <v>116</v>
      </c>
      <c r="O410" s="11" t="s">
        <v>445</v>
      </c>
      <c r="P410" s="11" t="s">
        <v>118</v>
      </c>
      <c r="Q410" s="10" t="n">
        <v>4453985</v>
      </c>
      <c r="R410" s="12" t="n">
        <f aca="false">IF(OR($H410="",Q410=""),"",Q410/$H410)</f>
        <v>0.0959449383629244</v>
      </c>
      <c r="S410" s="9" t="s">
        <v>115</v>
      </c>
      <c r="T410" s="11" t="s">
        <v>119</v>
      </c>
      <c r="U410" s="11" t="s">
        <v>446</v>
      </c>
      <c r="V410" s="11" t="s">
        <v>121</v>
      </c>
      <c r="W410" s="10"/>
      <c r="X410" s="12"/>
      <c r="Y410" s="9"/>
      <c r="Z410" s="11"/>
      <c r="AA410" s="11"/>
      <c r="AB410" s="11"/>
      <c r="AC410" s="9"/>
      <c r="AD410" s="10"/>
      <c r="AE410" s="9"/>
      <c r="AF410" s="11"/>
      <c r="AG410" s="11"/>
      <c r="AH410" s="11"/>
      <c r="AI410" s="10" t="n">
        <v>42605</v>
      </c>
      <c r="AJ410" s="9" t="s">
        <v>122</v>
      </c>
      <c r="AK410" s="11" t="s">
        <v>123</v>
      </c>
      <c r="AL410" s="11" t="s">
        <v>124</v>
      </c>
      <c r="AM410" s="11" t="s">
        <v>125</v>
      </c>
    </row>
    <row r="411" customFormat="false" ht="15" hidden="false" customHeight="false" outlineLevel="0" collapsed="false">
      <c r="A411" s="9" t="s">
        <v>441</v>
      </c>
      <c r="B411" s="9" t="s">
        <v>442</v>
      </c>
      <c r="C411" s="9" t="s">
        <v>443</v>
      </c>
      <c r="D411" s="9" t="s">
        <v>444</v>
      </c>
      <c r="E411" s="9" t="n">
        <v>1</v>
      </c>
      <c r="F411" s="9" t="n">
        <v>0</v>
      </c>
      <c r="G411" s="9" t="n">
        <v>2016</v>
      </c>
      <c r="H411" s="10" t="n">
        <v>46458139</v>
      </c>
      <c r="I411" s="11" t="s">
        <v>98</v>
      </c>
      <c r="J411" s="11" t="s">
        <v>99</v>
      </c>
      <c r="K411" s="10" t="n">
        <v>5913165</v>
      </c>
      <c r="L411" s="12" t="n">
        <f aca="false">IF(OR($H411="",K411=""),"",K411/$H411)</f>
        <v>0.127279420297055</v>
      </c>
      <c r="M411" s="9" t="s">
        <v>115</v>
      </c>
      <c r="N411" s="11" t="s">
        <v>116</v>
      </c>
      <c r="O411" s="11" t="s">
        <v>445</v>
      </c>
      <c r="P411" s="11" t="s">
        <v>118</v>
      </c>
      <c r="Q411" s="10" t="n">
        <v>4419334</v>
      </c>
      <c r="R411" s="12" t="n">
        <f aca="false">IF(OR($H411="",Q411=""),"",Q411/$H411)</f>
        <v>0.0951250759312593</v>
      </c>
      <c r="S411" s="9" t="s">
        <v>115</v>
      </c>
      <c r="T411" s="11" t="s">
        <v>119</v>
      </c>
      <c r="U411" s="11" t="s">
        <v>446</v>
      </c>
      <c r="V411" s="11" t="s">
        <v>121</v>
      </c>
      <c r="W411" s="10"/>
      <c r="X411" s="12"/>
      <c r="Y411" s="9"/>
      <c r="Z411" s="11"/>
      <c r="AA411" s="11"/>
      <c r="AB411" s="11"/>
      <c r="AC411" s="9"/>
      <c r="AD411" s="10"/>
      <c r="AE411" s="9"/>
      <c r="AF411" s="11"/>
      <c r="AG411" s="11"/>
      <c r="AH411" s="11"/>
      <c r="AI411" s="10" t="n">
        <v>37295</v>
      </c>
      <c r="AJ411" s="9" t="s">
        <v>122</v>
      </c>
      <c r="AK411" s="11" t="s">
        <v>123</v>
      </c>
      <c r="AL411" s="11" t="s">
        <v>124</v>
      </c>
      <c r="AM411" s="11" t="s">
        <v>125</v>
      </c>
    </row>
    <row r="412" customFormat="false" ht="15" hidden="false" customHeight="false" outlineLevel="0" collapsed="false">
      <c r="A412" s="9" t="s">
        <v>441</v>
      </c>
      <c r="B412" s="9" t="s">
        <v>442</v>
      </c>
      <c r="C412" s="9" t="s">
        <v>443</v>
      </c>
      <c r="D412" s="9" t="s">
        <v>444</v>
      </c>
      <c r="E412" s="9" t="n">
        <v>1</v>
      </c>
      <c r="F412" s="9" t="n">
        <v>0</v>
      </c>
      <c r="G412" s="9" t="n">
        <v>2017</v>
      </c>
      <c r="H412" s="10" t="n">
        <v>46571232</v>
      </c>
      <c r="I412" s="11" t="s">
        <v>98</v>
      </c>
      <c r="J412" s="11" t="s">
        <v>99</v>
      </c>
      <c r="K412" s="10" t="n">
        <v>6014708</v>
      </c>
      <c r="L412" s="12" t="n">
        <f aca="false">IF(OR($H412="",K412=""),"",K412/$H412)</f>
        <v>0.129150716906093</v>
      </c>
      <c r="M412" s="9" t="s">
        <v>115</v>
      </c>
      <c r="N412" s="11" t="s">
        <v>116</v>
      </c>
      <c r="O412" s="11" t="s">
        <v>445</v>
      </c>
      <c r="P412" s="11" t="s">
        <v>118</v>
      </c>
      <c r="Q412" s="10" t="n">
        <v>4417653</v>
      </c>
      <c r="R412" s="12" t="n">
        <f aca="false">IF(OR($H412="",Q412=""),"",Q412/$H412)</f>
        <v>0.0948579801367505</v>
      </c>
      <c r="S412" s="9" t="s">
        <v>115</v>
      </c>
      <c r="T412" s="11" t="s">
        <v>119</v>
      </c>
      <c r="U412" s="11" t="s">
        <v>446</v>
      </c>
      <c r="V412" s="11" t="s">
        <v>121</v>
      </c>
      <c r="W412" s="10" t="n">
        <v>127066</v>
      </c>
      <c r="X412" s="12" t="n">
        <f aca="false">IF(OR($H412="",W412=""),"",W412/$H412)</f>
        <v>0.00272842255923142</v>
      </c>
      <c r="Y412" s="9" t="s">
        <v>115</v>
      </c>
      <c r="Z412" s="11" t="s">
        <v>447</v>
      </c>
      <c r="AA412" s="11" t="s">
        <v>448</v>
      </c>
      <c r="AB412" s="11" t="s">
        <v>449</v>
      </c>
      <c r="AC412" s="9" t="n">
        <v>2</v>
      </c>
      <c r="AD412" s="10"/>
      <c r="AE412" s="9"/>
      <c r="AF412" s="11"/>
      <c r="AG412" s="11"/>
      <c r="AH412" s="11"/>
      <c r="AI412" s="10" t="n">
        <v>44625</v>
      </c>
      <c r="AJ412" s="9" t="s">
        <v>122</v>
      </c>
      <c r="AK412" s="11" t="s">
        <v>123</v>
      </c>
      <c r="AL412" s="11" t="s">
        <v>124</v>
      </c>
      <c r="AM412" s="11" t="s">
        <v>125</v>
      </c>
    </row>
    <row r="413" customFormat="false" ht="15" hidden="false" customHeight="false" outlineLevel="0" collapsed="false">
      <c r="A413" s="9" t="s">
        <v>441</v>
      </c>
      <c r="B413" s="9" t="s">
        <v>442</v>
      </c>
      <c r="C413" s="9" t="s">
        <v>443</v>
      </c>
      <c r="D413" s="9" t="s">
        <v>444</v>
      </c>
      <c r="E413" s="9" t="n">
        <v>1</v>
      </c>
      <c r="F413" s="9" t="n">
        <v>0</v>
      </c>
      <c r="G413" s="9" t="n">
        <v>2018</v>
      </c>
      <c r="H413" s="10" t="n">
        <v>46782011</v>
      </c>
      <c r="I413" s="11" t="s">
        <v>98</v>
      </c>
      <c r="J413" s="11" t="s">
        <v>99</v>
      </c>
      <c r="K413" s="10" t="n">
        <v>6207509</v>
      </c>
      <c r="L413" s="12" t="n">
        <f aca="false">IF(OR($H413="",K413=""),"",K413/$H413)</f>
        <v>0.132690084656686</v>
      </c>
      <c r="M413" s="9" t="s">
        <v>115</v>
      </c>
      <c r="N413" s="11" t="s">
        <v>116</v>
      </c>
      <c r="O413" s="11" t="s">
        <v>445</v>
      </c>
      <c r="P413" s="11" t="s">
        <v>118</v>
      </c>
      <c r="Q413" s="10" t="n">
        <v>4577322</v>
      </c>
      <c r="R413" s="12" t="n">
        <f aca="false">IF(OR($H413="",Q413=""),"",Q413/$H413)</f>
        <v>0.097843634810825</v>
      </c>
      <c r="S413" s="9" t="s">
        <v>115</v>
      </c>
      <c r="T413" s="11" t="s">
        <v>119</v>
      </c>
      <c r="U413" s="11" t="s">
        <v>446</v>
      </c>
      <c r="V413" s="11" t="s">
        <v>121</v>
      </c>
      <c r="W413" s="10" t="n">
        <v>183384</v>
      </c>
      <c r="X413" s="12" t="n">
        <f aca="false">IF(OR($H413="",W413=""),"",W413/$H413)</f>
        <v>0.00391996829721578</v>
      </c>
      <c r="Y413" s="9" t="s">
        <v>115</v>
      </c>
      <c r="Z413" s="11" t="s">
        <v>447</v>
      </c>
      <c r="AA413" s="11" t="s">
        <v>448</v>
      </c>
      <c r="AB413" s="11" t="s">
        <v>450</v>
      </c>
      <c r="AC413" s="9" t="n">
        <v>2</v>
      </c>
      <c r="AD413" s="10"/>
      <c r="AE413" s="9"/>
      <c r="AF413" s="11"/>
      <c r="AG413" s="11"/>
      <c r="AH413" s="11"/>
      <c r="AI413" s="10" t="n">
        <v>78280</v>
      </c>
      <c r="AJ413" s="9" t="s">
        <v>122</v>
      </c>
      <c r="AK413" s="11" t="s">
        <v>123</v>
      </c>
      <c r="AL413" s="11" t="s">
        <v>124</v>
      </c>
      <c r="AM413" s="11" t="s">
        <v>125</v>
      </c>
    </row>
    <row r="414" customFormat="false" ht="15" hidden="false" customHeight="false" outlineLevel="0" collapsed="false">
      <c r="A414" s="9" t="s">
        <v>441</v>
      </c>
      <c r="B414" s="9" t="s">
        <v>442</v>
      </c>
      <c r="C414" s="9" t="s">
        <v>443</v>
      </c>
      <c r="D414" s="9" t="s">
        <v>444</v>
      </c>
      <c r="E414" s="9" t="n">
        <v>1</v>
      </c>
      <c r="F414" s="9" t="n">
        <v>0</v>
      </c>
      <c r="G414" s="9" t="n">
        <v>2019</v>
      </c>
      <c r="H414" s="10" t="n">
        <v>47118501</v>
      </c>
      <c r="I414" s="11" t="s">
        <v>98</v>
      </c>
      <c r="J414" s="11" t="s">
        <v>99</v>
      </c>
      <c r="K414" s="10" t="n">
        <v>6549309</v>
      </c>
      <c r="L414" s="12" t="n">
        <f aca="false">IF(OR($H414="",K414=""),"",K414/$H414)</f>
        <v>0.138996548298512</v>
      </c>
      <c r="M414" s="9" t="s">
        <v>115</v>
      </c>
      <c r="N414" s="11" t="s">
        <v>116</v>
      </c>
      <c r="O414" s="11" t="s">
        <v>445</v>
      </c>
      <c r="P414" s="11" t="s">
        <v>118</v>
      </c>
      <c r="Q414" s="10" t="n">
        <v>4850762</v>
      </c>
      <c r="R414" s="12" t="n">
        <f aca="false">IF(OR($H414="",Q414=""),"",Q414/$H414)</f>
        <v>0.102948139203325</v>
      </c>
      <c r="S414" s="9" t="s">
        <v>115</v>
      </c>
      <c r="T414" s="11" t="s">
        <v>119</v>
      </c>
      <c r="U414" s="11" t="s">
        <v>446</v>
      </c>
      <c r="V414" s="11" t="s">
        <v>121</v>
      </c>
      <c r="W414" s="10" t="n">
        <v>259140</v>
      </c>
      <c r="X414" s="12" t="n">
        <f aca="false">IF(OR($H414="",W414=""),"",W414/$H414)</f>
        <v>0.00549975051201226</v>
      </c>
      <c r="Y414" s="9" t="s">
        <v>115</v>
      </c>
      <c r="Z414" s="11" t="s">
        <v>447</v>
      </c>
      <c r="AA414" s="11" t="s">
        <v>448</v>
      </c>
      <c r="AB414" s="11" t="s">
        <v>451</v>
      </c>
      <c r="AC414" s="9" t="n">
        <v>3</v>
      </c>
      <c r="AD414" s="10"/>
      <c r="AE414" s="9"/>
      <c r="AF414" s="11"/>
      <c r="AG414" s="11"/>
      <c r="AH414" s="11"/>
      <c r="AI414" s="10" t="n">
        <v>62865</v>
      </c>
      <c r="AJ414" s="9" t="s">
        <v>122</v>
      </c>
      <c r="AK414" s="11" t="s">
        <v>123</v>
      </c>
      <c r="AL414" s="11" t="s">
        <v>124</v>
      </c>
      <c r="AM414" s="11" t="s">
        <v>125</v>
      </c>
    </row>
    <row r="415" customFormat="false" ht="15" hidden="false" customHeight="false" outlineLevel="0" collapsed="false">
      <c r="A415" s="9" t="s">
        <v>441</v>
      </c>
      <c r="B415" s="9" t="s">
        <v>442</v>
      </c>
      <c r="C415" s="9" t="s">
        <v>443</v>
      </c>
      <c r="D415" s="9" t="s">
        <v>444</v>
      </c>
      <c r="E415" s="9" t="n">
        <v>1</v>
      </c>
      <c r="F415" s="9" t="n">
        <v>0</v>
      </c>
      <c r="G415" s="9" t="n">
        <v>2020</v>
      </c>
      <c r="H415" s="10" t="n">
        <v>47359424</v>
      </c>
      <c r="I415" s="11" t="s">
        <v>98</v>
      </c>
      <c r="J415" s="11" t="s">
        <v>99</v>
      </c>
      <c r="K415" s="10" t="n">
        <v>7014753</v>
      </c>
      <c r="L415" s="12" t="n">
        <f aca="false">IF(OR($H415="",K415=""),"",K415/$H415)</f>
        <v>0.148117363082794</v>
      </c>
      <c r="M415" s="9" t="s">
        <v>115</v>
      </c>
      <c r="N415" s="11" t="s">
        <v>116</v>
      </c>
      <c r="O415" s="11" t="s">
        <v>445</v>
      </c>
      <c r="P415" s="11" t="s">
        <v>118</v>
      </c>
      <c r="Q415" s="10" t="n">
        <v>5241278</v>
      </c>
      <c r="R415" s="12" t="n">
        <f aca="false">IF(OR($H415="",Q415=""),"",Q415/$H415)</f>
        <v>0.110670222678384</v>
      </c>
      <c r="S415" s="9" t="s">
        <v>115</v>
      </c>
      <c r="T415" s="11" t="s">
        <v>119</v>
      </c>
      <c r="U415" s="11" t="s">
        <v>446</v>
      </c>
      <c r="V415" s="11" t="s">
        <v>121</v>
      </c>
      <c r="W415" s="10" t="n">
        <v>370052</v>
      </c>
      <c r="X415" s="12" t="n">
        <f aca="false">IF(OR($H415="",W415=""),"",W415/$H415)</f>
        <v>0.00781369300437438</v>
      </c>
      <c r="Y415" s="9" t="s">
        <v>115</v>
      </c>
      <c r="Z415" s="11" t="s">
        <v>447</v>
      </c>
      <c r="AA415" s="11" t="s">
        <v>448</v>
      </c>
      <c r="AB415" s="11" t="s">
        <v>452</v>
      </c>
      <c r="AC415" s="9" t="n">
        <v>2</v>
      </c>
      <c r="AD415" s="10"/>
      <c r="AE415" s="9"/>
      <c r="AF415" s="11"/>
      <c r="AG415" s="11"/>
      <c r="AH415" s="11"/>
      <c r="AI415" s="10" t="n">
        <v>72265</v>
      </c>
      <c r="AJ415" s="9" t="s">
        <v>122</v>
      </c>
      <c r="AK415" s="11" t="s">
        <v>123</v>
      </c>
      <c r="AL415" s="11" t="s">
        <v>124</v>
      </c>
      <c r="AM415" s="11" t="s">
        <v>125</v>
      </c>
    </row>
    <row r="416" customFormat="false" ht="15" hidden="false" customHeight="false" outlineLevel="0" collapsed="false">
      <c r="A416" s="9" t="s">
        <v>441</v>
      </c>
      <c r="B416" s="9" t="s">
        <v>442</v>
      </c>
      <c r="C416" s="9" t="s">
        <v>443</v>
      </c>
      <c r="D416" s="9" t="s">
        <v>444</v>
      </c>
      <c r="E416" s="9" t="n">
        <v>1</v>
      </c>
      <c r="F416" s="9" t="n">
        <v>0</v>
      </c>
      <c r="G416" s="9" t="n">
        <v>2021</v>
      </c>
      <c r="H416" s="10" t="n">
        <v>47443821</v>
      </c>
      <c r="I416" s="11" t="s">
        <v>98</v>
      </c>
      <c r="J416" s="11" t="s">
        <v>99</v>
      </c>
      <c r="K416" s="10" t="n">
        <v>7254797</v>
      </c>
      <c r="L416" s="12" t="n">
        <f aca="false">IF(OR($H416="",K416=""),"",K416/$H416)</f>
        <v>0.152913421539129</v>
      </c>
      <c r="M416" s="9" t="s">
        <v>115</v>
      </c>
      <c r="N416" s="11" t="s">
        <v>116</v>
      </c>
      <c r="O416" s="11" t="s">
        <v>445</v>
      </c>
      <c r="P416" s="11" t="s">
        <v>118</v>
      </c>
      <c r="Q416" s="10" t="n">
        <v>5402702</v>
      </c>
      <c r="R416" s="12" t="n">
        <f aca="false">IF(OR($H416="",Q416=""),"",Q416/$H416)</f>
        <v>0.113875777416832</v>
      </c>
      <c r="S416" s="9" t="s">
        <v>115</v>
      </c>
      <c r="T416" s="11" t="s">
        <v>119</v>
      </c>
      <c r="U416" s="11" t="s">
        <v>446</v>
      </c>
      <c r="V416" s="11" t="s">
        <v>121</v>
      </c>
      <c r="W416" s="10" t="n">
        <v>517149</v>
      </c>
      <c r="X416" s="12" t="n">
        <f aca="false">IF(OR($H416="",W416=""),"",W416/$H416)</f>
        <v>0.0109002392534952</v>
      </c>
      <c r="Y416" s="9" t="s">
        <v>115</v>
      </c>
      <c r="Z416" s="11" t="s">
        <v>447</v>
      </c>
      <c r="AA416" s="11" t="s">
        <v>448</v>
      </c>
      <c r="AB416" s="11" t="s">
        <v>453</v>
      </c>
      <c r="AC416" s="9" t="n">
        <v>2</v>
      </c>
      <c r="AD416" s="10"/>
      <c r="AE416" s="9"/>
      <c r="AF416" s="11"/>
      <c r="AG416" s="11"/>
      <c r="AH416" s="11"/>
      <c r="AI416" s="10" t="n">
        <v>30615</v>
      </c>
      <c r="AJ416" s="9" t="s">
        <v>122</v>
      </c>
      <c r="AK416" s="11" t="s">
        <v>123</v>
      </c>
      <c r="AL416" s="11" t="s">
        <v>124</v>
      </c>
      <c r="AM416" s="11" t="s">
        <v>125</v>
      </c>
    </row>
    <row r="417" customFormat="false" ht="15" hidden="false" customHeight="false" outlineLevel="0" collapsed="false">
      <c r="A417" s="9" t="s">
        <v>441</v>
      </c>
      <c r="B417" s="9" t="s">
        <v>442</v>
      </c>
      <c r="C417" s="9" t="s">
        <v>443</v>
      </c>
      <c r="D417" s="9" t="s">
        <v>444</v>
      </c>
      <c r="E417" s="9" t="n">
        <v>1</v>
      </c>
      <c r="F417" s="9" t="n">
        <v>0</v>
      </c>
      <c r="G417" s="9" t="n">
        <v>2022</v>
      </c>
      <c r="H417" s="10" t="n">
        <v>47786102</v>
      </c>
      <c r="I417" s="11" t="s">
        <v>98</v>
      </c>
      <c r="J417" s="11" t="s">
        <v>99</v>
      </c>
      <c r="K417" s="10" t="n">
        <v>7468144</v>
      </c>
      <c r="L417" s="12" t="n">
        <f aca="false">IF(OR($H417="",K417=""),"",K417/$H417)</f>
        <v>0.156282761879176</v>
      </c>
      <c r="M417" s="9" t="s">
        <v>115</v>
      </c>
      <c r="N417" s="11" t="s">
        <v>116</v>
      </c>
      <c r="O417" s="11" t="s">
        <v>445</v>
      </c>
      <c r="P417" s="11" t="s">
        <v>118</v>
      </c>
      <c r="Q417" s="10" t="n">
        <v>5509134</v>
      </c>
      <c r="R417" s="12" t="n">
        <f aca="false">IF(OR($H417="",Q417=""),"",Q417/$H417)</f>
        <v>0.115287369536858</v>
      </c>
      <c r="S417" s="9" t="s">
        <v>115</v>
      </c>
      <c r="T417" s="11" t="s">
        <v>119</v>
      </c>
      <c r="U417" s="11" t="s">
        <v>446</v>
      </c>
      <c r="V417" s="11" t="s">
        <v>121</v>
      </c>
      <c r="W417" s="10" t="n">
        <v>482139</v>
      </c>
      <c r="X417" s="12" t="n">
        <f aca="false">IF(OR($H417="",W417=""),"",W417/$H417)</f>
        <v>0.0100895235187838</v>
      </c>
      <c r="Y417" s="9" t="s">
        <v>115</v>
      </c>
      <c r="Z417" s="11" t="s">
        <v>447</v>
      </c>
      <c r="AA417" s="11" t="s">
        <v>448</v>
      </c>
      <c r="AB417" s="11" t="s">
        <v>454</v>
      </c>
      <c r="AC417" s="9" t="n">
        <v>2</v>
      </c>
      <c r="AD417" s="10"/>
      <c r="AE417" s="9"/>
      <c r="AF417" s="11"/>
      <c r="AG417" s="11"/>
      <c r="AH417" s="11"/>
      <c r="AI417" s="10" t="n">
        <v>68100</v>
      </c>
      <c r="AJ417" s="9" t="s">
        <v>122</v>
      </c>
      <c r="AK417" s="11" t="s">
        <v>123</v>
      </c>
      <c r="AL417" s="11" t="s">
        <v>124</v>
      </c>
      <c r="AM417" s="11" t="s">
        <v>125</v>
      </c>
    </row>
    <row r="418" customFormat="false" ht="15" hidden="false" customHeight="false" outlineLevel="0" collapsed="false">
      <c r="A418" s="9" t="s">
        <v>455</v>
      </c>
      <c r="B418" s="9" t="s">
        <v>456</v>
      </c>
      <c r="C418" s="9" t="s">
        <v>457</v>
      </c>
      <c r="D418" s="9" t="s">
        <v>458</v>
      </c>
      <c r="E418" s="9" t="n">
        <v>0</v>
      </c>
      <c r="F418" s="9" t="n">
        <v>1</v>
      </c>
      <c r="G418" s="9" t="n">
        <v>2010</v>
      </c>
      <c r="H418" s="10" t="n">
        <v>549923</v>
      </c>
      <c r="I418" s="11" t="s">
        <v>98</v>
      </c>
      <c r="J418" s="11" t="s">
        <v>99</v>
      </c>
      <c r="K418" s="10" t="n">
        <v>39713</v>
      </c>
      <c r="L418" s="12" t="n">
        <f aca="false">IF(OR($H418="",K418=""),"",K418/$H418)</f>
        <v>0.072215564724516</v>
      </c>
      <c r="M418" s="9" t="s">
        <v>100</v>
      </c>
      <c r="N418" s="11" t="s">
        <v>167</v>
      </c>
      <c r="O418" s="11" t="s">
        <v>168</v>
      </c>
      <c r="P418" s="11" t="s">
        <v>174</v>
      </c>
      <c r="Q418" s="10"/>
      <c r="R418" s="12"/>
      <c r="S418" s="9"/>
      <c r="T418" s="11"/>
      <c r="U418" s="11"/>
      <c r="V418" s="11"/>
      <c r="W418" s="10"/>
      <c r="X418" s="12"/>
      <c r="Y418" s="9"/>
      <c r="Z418" s="11"/>
      <c r="AA418" s="11"/>
      <c r="AB418" s="11"/>
      <c r="AC418" s="9"/>
      <c r="AD418" s="10"/>
      <c r="AE418" s="9"/>
      <c r="AF418" s="11"/>
      <c r="AG418" s="11"/>
      <c r="AH418" s="11"/>
      <c r="AI418" s="10"/>
      <c r="AJ418" s="9"/>
      <c r="AK418" s="11"/>
      <c r="AL418" s="11"/>
      <c r="AM418" s="11"/>
    </row>
    <row r="419" customFormat="false" ht="15" hidden="false" customHeight="false" outlineLevel="0" collapsed="false">
      <c r="A419" s="9" t="s">
        <v>455</v>
      </c>
      <c r="B419" s="9" t="s">
        <v>456</v>
      </c>
      <c r="C419" s="9" t="s">
        <v>457</v>
      </c>
      <c r="D419" s="9" t="s">
        <v>458</v>
      </c>
      <c r="E419" s="9" t="n">
        <v>0</v>
      </c>
      <c r="F419" s="9" t="n">
        <v>1</v>
      </c>
      <c r="G419" s="9" t="n">
        <v>2011</v>
      </c>
      <c r="H419" s="10" t="n">
        <v>556269</v>
      </c>
      <c r="I419" s="11" t="s">
        <v>98</v>
      </c>
      <c r="J419" s="11" t="s">
        <v>99</v>
      </c>
      <c r="K419" s="10"/>
      <c r="L419" s="12"/>
      <c r="M419" s="9"/>
      <c r="N419" s="11"/>
      <c r="O419" s="11"/>
      <c r="P419" s="11"/>
      <c r="Q419" s="10"/>
      <c r="R419" s="12"/>
      <c r="S419" s="9"/>
      <c r="T419" s="11"/>
      <c r="U419" s="11"/>
      <c r="V419" s="11"/>
      <c r="W419" s="10"/>
      <c r="X419" s="12"/>
      <c r="Y419" s="9"/>
      <c r="Z419" s="11"/>
      <c r="AA419" s="11"/>
      <c r="AB419" s="11"/>
      <c r="AC419" s="9"/>
      <c r="AD419" s="10"/>
      <c r="AE419" s="9"/>
      <c r="AF419" s="11"/>
      <c r="AG419" s="11"/>
      <c r="AH419" s="11"/>
      <c r="AI419" s="10"/>
      <c r="AJ419" s="9"/>
      <c r="AK419" s="11"/>
      <c r="AL419" s="11"/>
      <c r="AM419" s="11"/>
    </row>
    <row r="420" customFormat="false" ht="15" hidden="false" customHeight="false" outlineLevel="0" collapsed="false">
      <c r="A420" s="9" t="s">
        <v>455</v>
      </c>
      <c r="B420" s="9" t="s">
        <v>456</v>
      </c>
      <c r="C420" s="9" t="s">
        <v>457</v>
      </c>
      <c r="D420" s="9" t="s">
        <v>458</v>
      </c>
      <c r="E420" s="9" t="n">
        <v>0</v>
      </c>
      <c r="F420" s="9" t="n">
        <v>1</v>
      </c>
      <c r="G420" s="9" t="n">
        <v>2012</v>
      </c>
      <c r="H420" s="10" t="n">
        <v>562633</v>
      </c>
      <c r="I420" s="11" t="s">
        <v>98</v>
      </c>
      <c r="J420" s="11" t="s">
        <v>99</v>
      </c>
      <c r="K420" s="10" t="n">
        <v>35040</v>
      </c>
      <c r="L420" s="12" t="n">
        <f aca="false">IF(OR($H420="",K420=""),"",K420/$H420)</f>
        <v>0.0622786079024871</v>
      </c>
      <c r="M420" s="9" t="s">
        <v>170</v>
      </c>
      <c r="N420" s="11" t="s">
        <v>459</v>
      </c>
      <c r="O420" s="11" t="s">
        <v>460</v>
      </c>
      <c r="P420" s="11" t="s">
        <v>461</v>
      </c>
      <c r="Q420" s="10" t="n">
        <v>36393</v>
      </c>
      <c r="R420" s="12" t="n">
        <f aca="false">IF(OR($H420="",Q420=""),"",Q420/$H420)</f>
        <v>0.0646833726425574</v>
      </c>
      <c r="S420" s="9" t="s">
        <v>170</v>
      </c>
      <c r="T420" s="11" t="s">
        <v>459</v>
      </c>
      <c r="U420" s="11" t="s">
        <v>460</v>
      </c>
      <c r="V420" s="11" t="s">
        <v>462</v>
      </c>
      <c r="W420" s="10"/>
      <c r="X420" s="12"/>
      <c r="Y420" s="9"/>
      <c r="Z420" s="11"/>
      <c r="AA420" s="11"/>
      <c r="AB420" s="11"/>
      <c r="AC420" s="9"/>
      <c r="AD420" s="10"/>
      <c r="AE420" s="9"/>
      <c r="AF420" s="11"/>
      <c r="AG420" s="11"/>
      <c r="AH420" s="11"/>
      <c r="AI420" s="10"/>
      <c r="AJ420" s="9"/>
      <c r="AK420" s="11"/>
      <c r="AL420" s="11"/>
      <c r="AM420" s="11"/>
    </row>
    <row r="421" customFormat="false" ht="15" hidden="false" customHeight="false" outlineLevel="0" collapsed="false">
      <c r="A421" s="9" t="s">
        <v>455</v>
      </c>
      <c r="B421" s="9" t="s">
        <v>456</v>
      </c>
      <c r="C421" s="9" t="s">
        <v>457</v>
      </c>
      <c r="D421" s="9" t="s">
        <v>458</v>
      </c>
      <c r="E421" s="9" t="n">
        <v>0</v>
      </c>
      <c r="F421" s="9" t="n">
        <v>1</v>
      </c>
      <c r="G421" s="9" t="n">
        <v>2013</v>
      </c>
      <c r="H421" s="10" t="n">
        <v>569020</v>
      </c>
      <c r="I421" s="11" t="s">
        <v>98</v>
      </c>
      <c r="J421" s="11" t="s">
        <v>99</v>
      </c>
      <c r="K421" s="10"/>
      <c r="L421" s="12"/>
      <c r="M421" s="9"/>
      <c r="N421" s="11"/>
      <c r="O421" s="11"/>
      <c r="P421" s="11"/>
      <c r="Q421" s="10"/>
      <c r="R421" s="12"/>
      <c r="S421" s="9"/>
      <c r="T421" s="11"/>
      <c r="U421" s="11"/>
      <c r="V421" s="11"/>
      <c r="W421" s="10"/>
      <c r="X421" s="12"/>
      <c r="Y421" s="9"/>
      <c r="Z421" s="11"/>
      <c r="AA421" s="11"/>
      <c r="AB421" s="11"/>
      <c r="AC421" s="9"/>
      <c r="AD421" s="10"/>
      <c r="AE421" s="9"/>
      <c r="AF421" s="11"/>
      <c r="AG421" s="11"/>
      <c r="AH421" s="11"/>
      <c r="AI421" s="10"/>
      <c r="AJ421" s="9"/>
      <c r="AK421" s="11"/>
      <c r="AL421" s="11"/>
      <c r="AM421" s="11"/>
    </row>
    <row r="422" customFormat="false" ht="15" hidden="false" customHeight="false" outlineLevel="0" collapsed="false">
      <c r="A422" s="9" t="s">
        <v>455</v>
      </c>
      <c r="B422" s="9" t="s">
        <v>456</v>
      </c>
      <c r="C422" s="9" t="s">
        <v>457</v>
      </c>
      <c r="D422" s="9" t="s">
        <v>458</v>
      </c>
      <c r="E422" s="9" t="n">
        <v>0</v>
      </c>
      <c r="F422" s="9" t="n">
        <v>1</v>
      </c>
      <c r="G422" s="9" t="n">
        <v>2014</v>
      </c>
      <c r="H422" s="10" t="n">
        <v>575373</v>
      </c>
      <c r="I422" s="11" t="s">
        <v>98</v>
      </c>
      <c r="J422" s="11" t="s">
        <v>99</v>
      </c>
      <c r="K422" s="10"/>
      <c r="L422" s="12"/>
      <c r="M422" s="9"/>
      <c r="N422" s="11"/>
      <c r="O422" s="11"/>
      <c r="P422" s="11"/>
      <c r="Q422" s="10"/>
      <c r="R422" s="12"/>
      <c r="S422" s="9"/>
      <c r="T422" s="11"/>
      <c r="U422" s="11"/>
      <c r="V422" s="11"/>
      <c r="W422" s="10"/>
      <c r="X422" s="12"/>
      <c r="Y422" s="9"/>
      <c r="Z422" s="11"/>
      <c r="AA422" s="11"/>
      <c r="AB422" s="11"/>
      <c r="AC422" s="9"/>
      <c r="AD422" s="10"/>
      <c r="AE422" s="9"/>
      <c r="AF422" s="11"/>
      <c r="AG422" s="11"/>
      <c r="AH422" s="11"/>
      <c r="AI422" s="10"/>
      <c r="AJ422" s="9"/>
      <c r="AK422" s="11"/>
      <c r="AL422" s="11"/>
      <c r="AM422" s="11"/>
    </row>
    <row r="423" customFormat="false" ht="15" hidden="false" customHeight="false" outlineLevel="0" collapsed="false">
      <c r="A423" s="9" t="s">
        <v>455</v>
      </c>
      <c r="B423" s="9" t="s">
        <v>456</v>
      </c>
      <c r="C423" s="9" t="s">
        <v>457</v>
      </c>
      <c r="D423" s="9" t="s">
        <v>458</v>
      </c>
      <c r="E423" s="9" t="n">
        <v>0</v>
      </c>
      <c r="F423" s="9" t="n">
        <v>1</v>
      </c>
      <c r="G423" s="9" t="n">
        <v>2015</v>
      </c>
      <c r="H423" s="10" t="n">
        <v>581627</v>
      </c>
      <c r="I423" s="11" t="s">
        <v>98</v>
      </c>
      <c r="J423" s="11" t="s">
        <v>99</v>
      </c>
      <c r="K423" s="10" t="n">
        <v>43127</v>
      </c>
      <c r="L423" s="12" t="n">
        <f aca="false">IF(OR($H423="",K423=""),"",K423/$H423)</f>
        <v>0.0741488961138324</v>
      </c>
      <c r="M423" s="9" t="s">
        <v>100</v>
      </c>
      <c r="N423" s="11" t="s">
        <v>167</v>
      </c>
      <c r="O423" s="11" t="s">
        <v>168</v>
      </c>
      <c r="P423" s="11" t="s">
        <v>174</v>
      </c>
      <c r="Q423" s="10"/>
      <c r="R423" s="12"/>
      <c r="S423" s="9"/>
      <c r="T423" s="11"/>
      <c r="U423" s="11"/>
      <c r="V423" s="11"/>
      <c r="W423" s="10"/>
      <c r="X423" s="12"/>
      <c r="Y423" s="9"/>
      <c r="Z423" s="11"/>
      <c r="AA423" s="11"/>
      <c r="AB423" s="11"/>
      <c r="AC423" s="9"/>
      <c r="AD423" s="10"/>
      <c r="AE423" s="9"/>
      <c r="AF423" s="11"/>
      <c r="AG423" s="11"/>
      <c r="AH423" s="11"/>
      <c r="AI423" s="10"/>
      <c r="AJ423" s="9"/>
      <c r="AK423" s="11"/>
      <c r="AL423" s="11"/>
      <c r="AM423" s="11"/>
    </row>
    <row r="424" customFormat="false" ht="15" hidden="false" customHeight="false" outlineLevel="0" collapsed="false">
      <c r="A424" s="9" t="s">
        <v>455</v>
      </c>
      <c r="B424" s="9" t="s">
        <v>456</v>
      </c>
      <c r="C424" s="9" t="s">
        <v>457</v>
      </c>
      <c r="D424" s="9" t="s">
        <v>458</v>
      </c>
      <c r="E424" s="9" t="n">
        <v>0</v>
      </c>
      <c r="F424" s="9" t="n">
        <v>1</v>
      </c>
      <c r="G424" s="9" t="n">
        <v>2016</v>
      </c>
      <c r="H424" s="10" t="n">
        <v>587757</v>
      </c>
      <c r="I424" s="11" t="s">
        <v>98</v>
      </c>
      <c r="J424" s="11" t="s">
        <v>99</v>
      </c>
      <c r="K424" s="10"/>
      <c r="L424" s="12"/>
      <c r="M424" s="9"/>
      <c r="N424" s="11"/>
      <c r="O424" s="11"/>
      <c r="P424" s="11"/>
      <c r="Q424" s="10"/>
      <c r="R424" s="12"/>
      <c r="S424" s="9"/>
      <c r="T424" s="11"/>
      <c r="U424" s="11"/>
      <c r="V424" s="11"/>
      <c r="W424" s="10"/>
      <c r="X424" s="12"/>
      <c r="Y424" s="9"/>
      <c r="Z424" s="11"/>
      <c r="AA424" s="11"/>
      <c r="AB424" s="11"/>
      <c r="AC424" s="9"/>
      <c r="AD424" s="10"/>
      <c r="AE424" s="9"/>
      <c r="AF424" s="11"/>
      <c r="AG424" s="11"/>
      <c r="AH424" s="11"/>
      <c r="AI424" s="10"/>
      <c r="AJ424" s="9"/>
      <c r="AK424" s="11"/>
      <c r="AL424" s="11"/>
      <c r="AM424" s="11"/>
    </row>
    <row r="425" customFormat="false" ht="15" hidden="false" customHeight="false" outlineLevel="0" collapsed="false">
      <c r="A425" s="9" t="s">
        <v>455</v>
      </c>
      <c r="B425" s="9" t="s">
        <v>456</v>
      </c>
      <c r="C425" s="9" t="s">
        <v>457</v>
      </c>
      <c r="D425" s="9" t="s">
        <v>458</v>
      </c>
      <c r="E425" s="9" t="n">
        <v>0</v>
      </c>
      <c r="F425" s="9" t="n">
        <v>1</v>
      </c>
      <c r="G425" s="9" t="n">
        <v>2017</v>
      </c>
      <c r="H425" s="10" t="n">
        <v>593713</v>
      </c>
      <c r="I425" s="11" t="s">
        <v>98</v>
      </c>
      <c r="J425" s="11" t="s">
        <v>99</v>
      </c>
      <c r="K425" s="10"/>
      <c r="L425" s="12"/>
      <c r="M425" s="9"/>
      <c r="N425" s="11"/>
      <c r="O425" s="11"/>
      <c r="P425" s="11"/>
      <c r="Q425" s="10"/>
      <c r="R425" s="12"/>
      <c r="S425" s="9"/>
      <c r="T425" s="11"/>
      <c r="U425" s="11"/>
      <c r="V425" s="11"/>
      <c r="W425" s="10"/>
      <c r="X425" s="12"/>
      <c r="Y425" s="9"/>
      <c r="Z425" s="11"/>
      <c r="AA425" s="11"/>
      <c r="AB425" s="11"/>
      <c r="AC425" s="9"/>
      <c r="AD425" s="10"/>
      <c r="AE425" s="9"/>
      <c r="AF425" s="11"/>
      <c r="AG425" s="11"/>
      <c r="AH425" s="11"/>
      <c r="AI425" s="10"/>
      <c r="AJ425" s="9"/>
      <c r="AK425" s="11"/>
      <c r="AL425" s="11"/>
      <c r="AM425" s="11"/>
    </row>
    <row r="426" customFormat="false" ht="15" hidden="false" customHeight="false" outlineLevel="0" collapsed="false">
      <c r="A426" s="9" t="s">
        <v>455</v>
      </c>
      <c r="B426" s="9" t="s">
        <v>456</v>
      </c>
      <c r="C426" s="9" t="s">
        <v>457</v>
      </c>
      <c r="D426" s="9" t="s">
        <v>458</v>
      </c>
      <c r="E426" s="9" t="n">
        <v>0</v>
      </c>
      <c r="F426" s="9" t="n">
        <v>1</v>
      </c>
      <c r="G426" s="9" t="n">
        <v>2018</v>
      </c>
      <c r="H426" s="10" t="n">
        <v>599513</v>
      </c>
      <c r="I426" s="11" t="s">
        <v>98</v>
      </c>
      <c r="J426" s="11" t="s">
        <v>99</v>
      </c>
      <c r="K426" s="10"/>
      <c r="L426" s="12"/>
      <c r="M426" s="9"/>
      <c r="N426" s="11"/>
      <c r="O426" s="11"/>
      <c r="P426" s="11"/>
      <c r="Q426" s="10"/>
      <c r="R426" s="12"/>
      <c r="S426" s="9"/>
      <c r="T426" s="11"/>
      <c r="U426" s="11"/>
      <c r="V426" s="11"/>
      <c r="W426" s="10"/>
      <c r="X426" s="12"/>
      <c r="Y426" s="9"/>
      <c r="Z426" s="11"/>
      <c r="AA426" s="11"/>
      <c r="AB426" s="11"/>
      <c r="AC426" s="9"/>
      <c r="AD426" s="10"/>
      <c r="AE426" s="9"/>
      <c r="AF426" s="11"/>
      <c r="AG426" s="11"/>
      <c r="AH426" s="11"/>
      <c r="AI426" s="10"/>
      <c r="AJ426" s="9"/>
      <c r="AK426" s="11"/>
      <c r="AL426" s="11"/>
      <c r="AM426" s="11"/>
    </row>
    <row r="427" customFormat="false" ht="15" hidden="false" customHeight="false" outlineLevel="0" collapsed="false">
      <c r="A427" s="9" t="s">
        <v>455</v>
      </c>
      <c r="B427" s="9" t="s">
        <v>456</v>
      </c>
      <c r="C427" s="9" t="s">
        <v>457</v>
      </c>
      <c r="D427" s="9" t="s">
        <v>458</v>
      </c>
      <c r="E427" s="9" t="n">
        <v>0</v>
      </c>
      <c r="F427" s="9" t="n">
        <v>1</v>
      </c>
      <c r="G427" s="9" t="n">
        <v>2019</v>
      </c>
      <c r="H427" s="10" t="n">
        <v>605768</v>
      </c>
      <c r="I427" s="11" t="s">
        <v>98</v>
      </c>
      <c r="J427" s="11" t="s">
        <v>99</v>
      </c>
      <c r="K427" s="10"/>
      <c r="L427" s="12"/>
      <c r="M427" s="9"/>
      <c r="N427" s="11"/>
      <c r="O427" s="11"/>
      <c r="P427" s="11"/>
      <c r="Q427" s="10"/>
      <c r="R427" s="12"/>
      <c r="S427" s="9"/>
      <c r="T427" s="11"/>
      <c r="U427" s="11"/>
      <c r="V427" s="11"/>
      <c r="W427" s="10"/>
      <c r="X427" s="12"/>
      <c r="Y427" s="9"/>
      <c r="Z427" s="11"/>
      <c r="AA427" s="11"/>
      <c r="AB427" s="11"/>
      <c r="AC427" s="9"/>
      <c r="AD427" s="10"/>
      <c r="AE427" s="9"/>
      <c r="AF427" s="11"/>
      <c r="AG427" s="11"/>
      <c r="AH427" s="11"/>
      <c r="AI427" s="10"/>
      <c r="AJ427" s="9"/>
      <c r="AK427" s="11"/>
      <c r="AL427" s="11"/>
      <c r="AM427" s="11"/>
    </row>
    <row r="428" customFormat="false" ht="15" hidden="false" customHeight="false" outlineLevel="0" collapsed="false">
      <c r="A428" s="9" t="s">
        <v>455</v>
      </c>
      <c r="B428" s="9" t="s">
        <v>456</v>
      </c>
      <c r="C428" s="9" t="s">
        <v>457</v>
      </c>
      <c r="D428" s="9" t="s">
        <v>458</v>
      </c>
      <c r="E428" s="9" t="n">
        <v>0</v>
      </c>
      <c r="F428" s="9" t="n">
        <v>1</v>
      </c>
      <c r="G428" s="9" t="n">
        <v>2020</v>
      </c>
      <c r="H428" s="10" t="n">
        <v>612317</v>
      </c>
      <c r="I428" s="11" t="s">
        <v>98</v>
      </c>
      <c r="J428" s="11" t="s">
        <v>99</v>
      </c>
      <c r="K428" s="10" t="n">
        <v>47801</v>
      </c>
      <c r="L428" s="12" t="n">
        <f aca="false">IF(OR($H428="",K428=""),"",K428/$H428)</f>
        <v>0.0780657731207855</v>
      </c>
      <c r="M428" s="9" t="s">
        <v>100</v>
      </c>
      <c r="N428" s="11" t="s">
        <v>167</v>
      </c>
      <c r="O428" s="11" t="s">
        <v>168</v>
      </c>
      <c r="P428" s="11" t="s">
        <v>174</v>
      </c>
      <c r="Q428" s="10"/>
      <c r="R428" s="12"/>
      <c r="S428" s="9"/>
      <c r="T428" s="11"/>
      <c r="U428" s="11"/>
      <c r="V428" s="11"/>
      <c r="W428" s="10"/>
      <c r="X428" s="12"/>
      <c r="Y428" s="9"/>
      <c r="Z428" s="11"/>
      <c r="AA428" s="11"/>
      <c r="AB428" s="11"/>
      <c r="AC428" s="9"/>
      <c r="AD428" s="10"/>
      <c r="AE428" s="9"/>
      <c r="AF428" s="11"/>
      <c r="AG428" s="11"/>
      <c r="AH428" s="11"/>
      <c r="AI428" s="10"/>
      <c r="AJ428" s="9"/>
      <c r="AK428" s="11"/>
      <c r="AL428" s="11"/>
      <c r="AM428" s="11"/>
    </row>
    <row r="429" customFormat="false" ht="15" hidden="false" customHeight="false" outlineLevel="0" collapsed="false">
      <c r="A429" s="9" t="s">
        <v>455</v>
      </c>
      <c r="B429" s="9" t="s">
        <v>456</v>
      </c>
      <c r="C429" s="9" t="s">
        <v>457</v>
      </c>
      <c r="D429" s="9" t="s">
        <v>458</v>
      </c>
      <c r="E429" s="9" t="n">
        <v>0</v>
      </c>
      <c r="F429" s="9" t="n">
        <v>1</v>
      </c>
      <c r="G429" s="9" t="n">
        <v>2021</v>
      </c>
      <c r="H429" s="10" t="n">
        <v>617896</v>
      </c>
      <c r="I429" s="11" t="s">
        <v>98</v>
      </c>
      <c r="J429" s="11" t="s">
        <v>99</v>
      </c>
      <c r="K429" s="10"/>
      <c r="L429" s="12"/>
      <c r="M429" s="9"/>
      <c r="N429" s="11"/>
      <c r="O429" s="11"/>
      <c r="P429" s="11"/>
      <c r="Q429" s="10"/>
      <c r="R429" s="12"/>
      <c r="S429" s="9"/>
      <c r="T429" s="11"/>
      <c r="U429" s="11"/>
      <c r="V429" s="11"/>
      <c r="W429" s="10"/>
      <c r="X429" s="12"/>
      <c r="Y429" s="9"/>
      <c r="Z429" s="11"/>
      <c r="AA429" s="11"/>
      <c r="AB429" s="11"/>
      <c r="AC429" s="9"/>
      <c r="AD429" s="10"/>
      <c r="AE429" s="9"/>
      <c r="AF429" s="11"/>
      <c r="AG429" s="11"/>
      <c r="AH429" s="11"/>
      <c r="AI429" s="10"/>
      <c r="AJ429" s="9"/>
      <c r="AK429" s="11"/>
      <c r="AL429" s="11"/>
      <c r="AM429" s="11"/>
    </row>
    <row r="430" customFormat="false" ht="15" hidden="false" customHeight="false" outlineLevel="0" collapsed="false">
      <c r="A430" s="9" t="s">
        <v>455</v>
      </c>
      <c r="B430" s="9" t="s">
        <v>456</v>
      </c>
      <c r="C430" s="9" t="s">
        <v>457</v>
      </c>
      <c r="D430" s="9" t="s">
        <v>458</v>
      </c>
      <c r="E430" s="9" t="n">
        <v>0</v>
      </c>
      <c r="F430" s="9" t="n">
        <v>1</v>
      </c>
      <c r="G430" s="9" t="n">
        <v>2022</v>
      </c>
      <c r="H430" s="10" t="n">
        <v>623164</v>
      </c>
      <c r="I430" s="11" t="s">
        <v>98</v>
      </c>
      <c r="J430" s="11" t="s">
        <v>99</v>
      </c>
      <c r="K430" s="10"/>
      <c r="L430" s="12"/>
      <c r="M430" s="9"/>
      <c r="N430" s="11"/>
      <c r="O430" s="11"/>
      <c r="P430" s="11"/>
      <c r="Q430" s="10"/>
      <c r="R430" s="12"/>
      <c r="S430" s="9"/>
      <c r="T430" s="11"/>
      <c r="U430" s="11"/>
      <c r="V430" s="11"/>
      <c r="W430" s="10"/>
      <c r="X430" s="12"/>
      <c r="Y430" s="9"/>
      <c r="Z430" s="11"/>
      <c r="AA430" s="11"/>
      <c r="AB430" s="11"/>
      <c r="AC430" s="9"/>
      <c r="AD430" s="10"/>
      <c r="AE430" s="9"/>
      <c r="AF430" s="11"/>
      <c r="AG430" s="11"/>
      <c r="AH430" s="11"/>
      <c r="AI430" s="10"/>
      <c r="AJ430" s="9"/>
      <c r="AK430" s="11"/>
      <c r="AL430" s="11"/>
      <c r="AM430" s="11"/>
    </row>
    <row r="431" customFormat="false" ht="15" hidden="false" customHeight="false" outlineLevel="0" collapsed="false">
      <c r="A431" s="9" t="s">
        <v>463</v>
      </c>
      <c r="B431" s="9" t="s">
        <v>464</v>
      </c>
      <c r="C431" s="9" t="s">
        <v>465</v>
      </c>
      <c r="D431" s="9" t="s">
        <v>466</v>
      </c>
      <c r="E431" s="9" t="n">
        <v>1</v>
      </c>
      <c r="F431" s="9" t="n">
        <v>0</v>
      </c>
      <c r="G431" s="9" t="n">
        <v>2010</v>
      </c>
      <c r="H431" s="10" t="n">
        <v>9378126</v>
      </c>
      <c r="I431" s="11" t="s">
        <v>98</v>
      </c>
      <c r="J431" s="11" t="s">
        <v>99</v>
      </c>
      <c r="K431" s="10" t="n">
        <v>1337214</v>
      </c>
      <c r="L431" s="12" t="n">
        <f aca="false">IF(OR($H431="",K431=""),"",K431/$H431)</f>
        <v>0.14258861525213</v>
      </c>
      <c r="M431" s="9" t="s">
        <v>115</v>
      </c>
      <c r="N431" s="11" t="s">
        <v>116</v>
      </c>
      <c r="O431" s="11" t="s">
        <v>467</v>
      </c>
      <c r="P431" s="11" t="s">
        <v>118</v>
      </c>
      <c r="Q431" s="10" t="n">
        <v>590475</v>
      </c>
      <c r="R431" s="12" t="n">
        <f aca="false">IF(OR($H431="",Q431=""),"",Q431/$H431)</f>
        <v>0.0629630056154076</v>
      </c>
      <c r="S431" s="9" t="s">
        <v>115</v>
      </c>
      <c r="T431" s="11" t="s">
        <v>119</v>
      </c>
      <c r="U431" s="11" t="s">
        <v>468</v>
      </c>
      <c r="V431" s="11" t="s">
        <v>121</v>
      </c>
      <c r="W431" s="10"/>
      <c r="X431" s="12"/>
      <c r="Y431" s="9"/>
      <c r="Z431" s="11"/>
      <c r="AA431" s="11"/>
      <c r="AB431" s="11"/>
      <c r="AC431" s="9"/>
      <c r="AD431" s="10"/>
      <c r="AE431" s="9"/>
      <c r="AF431" s="11"/>
      <c r="AG431" s="11"/>
      <c r="AH431" s="11"/>
      <c r="AI431" s="10" t="n">
        <v>20765</v>
      </c>
      <c r="AJ431" s="9" t="s">
        <v>122</v>
      </c>
      <c r="AK431" s="11" t="s">
        <v>123</v>
      </c>
      <c r="AL431" s="11" t="s">
        <v>124</v>
      </c>
      <c r="AM431" s="11" t="s">
        <v>469</v>
      </c>
    </row>
    <row r="432" customFormat="false" ht="15" hidden="false" customHeight="false" outlineLevel="0" collapsed="false">
      <c r="A432" s="9" t="s">
        <v>463</v>
      </c>
      <c r="B432" s="9" t="s">
        <v>464</v>
      </c>
      <c r="C432" s="9" t="s">
        <v>465</v>
      </c>
      <c r="D432" s="9" t="s">
        <v>466</v>
      </c>
      <c r="E432" s="9" t="n">
        <v>1</v>
      </c>
      <c r="F432" s="9" t="n">
        <v>0</v>
      </c>
      <c r="G432" s="9" t="n">
        <v>2011</v>
      </c>
      <c r="H432" s="10" t="n">
        <v>9449213</v>
      </c>
      <c r="I432" s="11" t="s">
        <v>98</v>
      </c>
      <c r="J432" s="11" t="s">
        <v>99</v>
      </c>
      <c r="K432" s="10" t="n">
        <v>1384111</v>
      </c>
      <c r="L432" s="12" t="n">
        <f aca="false">IF(OR($H432="",K432=""),"",K432/$H432)</f>
        <v>0.146478971317505</v>
      </c>
      <c r="M432" s="9" t="s">
        <v>115</v>
      </c>
      <c r="N432" s="11" t="s">
        <v>116</v>
      </c>
      <c r="O432" s="11" t="s">
        <v>467</v>
      </c>
      <c r="P432" s="11" t="s">
        <v>118</v>
      </c>
      <c r="Q432" s="10" t="n">
        <v>622275</v>
      </c>
      <c r="R432" s="12" t="n">
        <f aca="false">IF(OR($H432="",Q432=""),"",Q432/$H432)</f>
        <v>0.0658546907557275</v>
      </c>
      <c r="S432" s="9" t="s">
        <v>115</v>
      </c>
      <c r="T432" s="11" t="s">
        <v>119</v>
      </c>
      <c r="U432" s="11" t="s">
        <v>468</v>
      </c>
      <c r="V432" s="11" t="s">
        <v>121</v>
      </c>
      <c r="W432" s="10"/>
      <c r="X432" s="12"/>
      <c r="Y432" s="9"/>
      <c r="Z432" s="11"/>
      <c r="AA432" s="11"/>
      <c r="AB432" s="11"/>
      <c r="AC432" s="9"/>
      <c r="AD432" s="10"/>
      <c r="AE432" s="9"/>
      <c r="AF432" s="11"/>
      <c r="AG432" s="11"/>
      <c r="AH432" s="11"/>
      <c r="AI432" s="10" t="n">
        <v>23205</v>
      </c>
      <c r="AJ432" s="9" t="s">
        <v>122</v>
      </c>
      <c r="AK432" s="11" t="s">
        <v>123</v>
      </c>
      <c r="AL432" s="11" t="s">
        <v>124</v>
      </c>
      <c r="AM432" s="11" t="s">
        <v>469</v>
      </c>
    </row>
    <row r="433" customFormat="false" ht="15" hidden="false" customHeight="false" outlineLevel="0" collapsed="false">
      <c r="A433" s="9" t="s">
        <v>463</v>
      </c>
      <c r="B433" s="9" t="s">
        <v>464</v>
      </c>
      <c r="C433" s="9" t="s">
        <v>465</v>
      </c>
      <c r="D433" s="9" t="s">
        <v>466</v>
      </c>
      <c r="E433" s="9" t="n">
        <v>1</v>
      </c>
      <c r="F433" s="9" t="n">
        <v>0</v>
      </c>
      <c r="G433" s="9" t="n">
        <v>2012</v>
      </c>
      <c r="H433" s="10" t="n">
        <v>9519374</v>
      </c>
      <c r="I433" s="11" t="s">
        <v>98</v>
      </c>
      <c r="J433" s="11" t="s">
        <v>99</v>
      </c>
      <c r="K433" s="10" t="n">
        <v>1426402</v>
      </c>
      <c r="L433" s="12" t="n">
        <f aca="false">IF(OR($H433="",K433=""),"",K433/$H433)</f>
        <v>0.149841995912756</v>
      </c>
      <c r="M433" s="9" t="s">
        <v>115</v>
      </c>
      <c r="N433" s="11" t="s">
        <v>116</v>
      </c>
      <c r="O433" s="11" t="s">
        <v>467</v>
      </c>
      <c r="P433" s="11" t="s">
        <v>118</v>
      </c>
      <c r="Q433" s="10" t="n">
        <v>646095</v>
      </c>
      <c r="R433" s="12" t="n">
        <f aca="false">IF(OR($H433="",Q433=""),"",Q433/$H433)</f>
        <v>0.0678715848332044</v>
      </c>
      <c r="S433" s="9" t="s">
        <v>115</v>
      </c>
      <c r="T433" s="11" t="s">
        <v>119</v>
      </c>
      <c r="U433" s="11" t="s">
        <v>468</v>
      </c>
      <c r="V433" s="11" t="s">
        <v>121</v>
      </c>
      <c r="W433" s="10"/>
      <c r="X433" s="12"/>
      <c r="Y433" s="9"/>
      <c r="Z433" s="11"/>
      <c r="AA433" s="11"/>
      <c r="AB433" s="11"/>
      <c r="AC433" s="9"/>
      <c r="AD433" s="10"/>
      <c r="AE433" s="9"/>
      <c r="AF433" s="11"/>
      <c r="AG433" s="11"/>
      <c r="AH433" s="11"/>
      <c r="AI433" s="10" t="n">
        <v>24400</v>
      </c>
      <c r="AJ433" s="9" t="s">
        <v>122</v>
      </c>
      <c r="AK433" s="11" t="s">
        <v>123</v>
      </c>
      <c r="AL433" s="11" t="s">
        <v>124</v>
      </c>
      <c r="AM433" s="11" t="s">
        <v>469</v>
      </c>
    </row>
    <row r="434" customFormat="false" ht="15" hidden="false" customHeight="false" outlineLevel="0" collapsed="false">
      <c r="A434" s="9" t="s">
        <v>463</v>
      </c>
      <c r="B434" s="9" t="s">
        <v>464</v>
      </c>
      <c r="C434" s="9" t="s">
        <v>465</v>
      </c>
      <c r="D434" s="9" t="s">
        <v>466</v>
      </c>
      <c r="E434" s="9" t="n">
        <v>1</v>
      </c>
      <c r="F434" s="9" t="n">
        <v>0</v>
      </c>
      <c r="G434" s="9" t="n">
        <v>2013</v>
      </c>
      <c r="H434" s="10" t="n">
        <v>9600379</v>
      </c>
      <c r="I434" s="11" t="s">
        <v>98</v>
      </c>
      <c r="J434" s="11" t="s">
        <v>99</v>
      </c>
      <c r="K434" s="10" t="n">
        <v>1472353</v>
      </c>
      <c r="L434" s="12" t="n">
        <f aca="false">IF(OR($H434="",K434=""),"",K434/$H434)</f>
        <v>0.153364049481797</v>
      </c>
      <c r="M434" s="9" t="s">
        <v>115</v>
      </c>
      <c r="N434" s="11" t="s">
        <v>116</v>
      </c>
      <c r="O434" s="11" t="s">
        <v>467</v>
      </c>
      <c r="P434" s="11" t="s">
        <v>118</v>
      </c>
      <c r="Q434" s="10" t="n">
        <v>659374</v>
      </c>
      <c r="R434" s="12" t="n">
        <f aca="false">IF(OR($H434="",Q434=""),"",Q434/$H434)</f>
        <v>0.0686820801553772</v>
      </c>
      <c r="S434" s="9" t="s">
        <v>115</v>
      </c>
      <c r="T434" s="11" t="s">
        <v>119</v>
      </c>
      <c r="U434" s="11" t="s">
        <v>468</v>
      </c>
      <c r="V434" s="11" t="s">
        <v>121</v>
      </c>
      <c r="W434" s="10"/>
      <c r="X434" s="12"/>
      <c r="Y434" s="9"/>
      <c r="Z434" s="11"/>
      <c r="AA434" s="11"/>
      <c r="AB434" s="11"/>
      <c r="AC434" s="9"/>
      <c r="AD434" s="10"/>
      <c r="AE434" s="9"/>
      <c r="AF434" s="11"/>
      <c r="AG434" s="11"/>
      <c r="AH434" s="11"/>
      <c r="AI434" s="10" t="n">
        <v>72835</v>
      </c>
      <c r="AJ434" s="9" t="s">
        <v>122</v>
      </c>
      <c r="AK434" s="11" t="s">
        <v>123</v>
      </c>
      <c r="AL434" s="11" t="s">
        <v>124</v>
      </c>
      <c r="AM434" s="11" t="s">
        <v>469</v>
      </c>
    </row>
    <row r="435" customFormat="false" ht="15" hidden="false" customHeight="false" outlineLevel="0" collapsed="false">
      <c r="A435" s="9" t="s">
        <v>463</v>
      </c>
      <c r="B435" s="9" t="s">
        <v>464</v>
      </c>
      <c r="C435" s="9" t="s">
        <v>465</v>
      </c>
      <c r="D435" s="9" t="s">
        <v>466</v>
      </c>
      <c r="E435" s="9" t="n">
        <v>1</v>
      </c>
      <c r="F435" s="9" t="n">
        <v>0</v>
      </c>
      <c r="G435" s="9" t="n">
        <v>2014</v>
      </c>
      <c r="H435" s="10" t="n">
        <v>9696110</v>
      </c>
      <c r="I435" s="11" t="s">
        <v>98</v>
      </c>
      <c r="J435" s="11" t="s">
        <v>99</v>
      </c>
      <c r="K435" s="10" t="n">
        <v>1532563</v>
      </c>
      <c r="L435" s="12" t="n">
        <f aca="false">IF(OR($H435="",K435=""),"",K435/$H435)</f>
        <v>0.158059572343961</v>
      </c>
      <c r="M435" s="9" t="s">
        <v>115</v>
      </c>
      <c r="N435" s="11" t="s">
        <v>116</v>
      </c>
      <c r="O435" s="11" t="s">
        <v>467</v>
      </c>
      <c r="P435" s="11" t="s">
        <v>118</v>
      </c>
      <c r="Q435" s="10" t="n">
        <v>687192</v>
      </c>
      <c r="R435" s="12" t="n">
        <f aca="false">IF(OR($H435="",Q435=""),"",Q435/$H435)</f>
        <v>0.070872958330712</v>
      </c>
      <c r="S435" s="9" t="s">
        <v>115</v>
      </c>
      <c r="T435" s="11" t="s">
        <v>119</v>
      </c>
      <c r="U435" s="11" t="s">
        <v>468</v>
      </c>
      <c r="V435" s="11" t="s">
        <v>121</v>
      </c>
      <c r="W435" s="10"/>
      <c r="X435" s="12"/>
      <c r="Y435" s="9"/>
      <c r="Z435" s="11"/>
      <c r="AA435" s="11"/>
      <c r="AB435" s="11"/>
      <c r="AC435" s="9"/>
      <c r="AD435" s="10"/>
      <c r="AE435" s="9"/>
      <c r="AF435" s="11"/>
      <c r="AG435" s="11"/>
      <c r="AH435" s="11"/>
      <c r="AI435" s="10" t="n">
        <v>1445</v>
      </c>
      <c r="AJ435" s="9" t="s">
        <v>122</v>
      </c>
      <c r="AK435" s="11" t="s">
        <v>123</v>
      </c>
      <c r="AL435" s="11" t="s">
        <v>124</v>
      </c>
      <c r="AM435" s="11" t="s">
        <v>469</v>
      </c>
    </row>
    <row r="436" customFormat="false" ht="15" hidden="false" customHeight="false" outlineLevel="0" collapsed="false">
      <c r="A436" s="9" t="s">
        <v>463</v>
      </c>
      <c r="B436" s="9" t="s">
        <v>464</v>
      </c>
      <c r="C436" s="9" t="s">
        <v>465</v>
      </c>
      <c r="D436" s="9" t="s">
        <v>466</v>
      </c>
      <c r="E436" s="9" t="n">
        <v>1</v>
      </c>
      <c r="F436" s="9" t="n">
        <v>0</v>
      </c>
      <c r="G436" s="9" t="n">
        <v>2015</v>
      </c>
      <c r="H436" s="10" t="n">
        <v>9799186</v>
      </c>
      <c r="I436" s="11" t="s">
        <v>98</v>
      </c>
      <c r="J436" s="11" t="s">
        <v>99</v>
      </c>
      <c r="K436" s="10" t="n">
        <v>1602522</v>
      </c>
      <c r="L436" s="12" t="n">
        <f aca="false">IF(OR($H436="",K436=""),"",K436/$H436)</f>
        <v>0.163536236581283</v>
      </c>
      <c r="M436" s="9" t="s">
        <v>115</v>
      </c>
      <c r="N436" s="11" t="s">
        <v>116</v>
      </c>
      <c r="O436" s="11" t="s">
        <v>467</v>
      </c>
      <c r="P436" s="11" t="s">
        <v>118</v>
      </c>
      <c r="Q436" s="10" t="n">
        <v>731215</v>
      </c>
      <c r="R436" s="12" t="n">
        <f aca="false">IF(OR($H436="",Q436=""),"",Q436/$H436)</f>
        <v>0.0746199735365774</v>
      </c>
      <c r="S436" s="9" t="s">
        <v>115</v>
      </c>
      <c r="T436" s="11" t="s">
        <v>119</v>
      </c>
      <c r="U436" s="11" t="s">
        <v>468</v>
      </c>
      <c r="V436" s="11" t="s">
        <v>121</v>
      </c>
      <c r="W436" s="10"/>
      <c r="X436" s="12"/>
      <c r="Y436" s="9"/>
      <c r="Z436" s="11"/>
      <c r="AA436" s="11"/>
      <c r="AB436" s="11"/>
      <c r="AC436" s="9"/>
      <c r="AD436" s="10"/>
      <c r="AE436" s="9"/>
      <c r="AF436" s="11"/>
      <c r="AG436" s="11"/>
      <c r="AH436" s="11"/>
      <c r="AI436" s="10" t="n">
        <v>1210</v>
      </c>
      <c r="AJ436" s="9" t="s">
        <v>122</v>
      </c>
      <c r="AK436" s="11" t="s">
        <v>123</v>
      </c>
      <c r="AL436" s="11" t="s">
        <v>124</v>
      </c>
      <c r="AM436" s="11" t="s">
        <v>469</v>
      </c>
    </row>
    <row r="437" customFormat="false" ht="15" hidden="false" customHeight="false" outlineLevel="0" collapsed="false">
      <c r="A437" s="9" t="s">
        <v>463</v>
      </c>
      <c r="B437" s="9" t="s">
        <v>464</v>
      </c>
      <c r="C437" s="9" t="s">
        <v>465</v>
      </c>
      <c r="D437" s="9" t="s">
        <v>466</v>
      </c>
      <c r="E437" s="9" t="n">
        <v>1</v>
      </c>
      <c r="F437" s="9" t="n">
        <v>0</v>
      </c>
      <c r="G437" s="9" t="n">
        <v>2016</v>
      </c>
      <c r="H437" s="10" t="n">
        <v>9923085</v>
      </c>
      <c r="I437" s="11" t="s">
        <v>98</v>
      </c>
      <c r="J437" s="11" t="s">
        <v>99</v>
      </c>
      <c r="K437" s="10" t="n">
        <v>1675116</v>
      </c>
      <c r="L437" s="12" t="n">
        <f aca="false">IF(OR($H437="",K437=""),"",K437/$H437)</f>
        <v>0.168810002131394</v>
      </c>
      <c r="M437" s="9" t="s">
        <v>115</v>
      </c>
      <c r="N437" s="11" t="s">
        <v>116</v>
      </c>
      <c r="O437" s="11" t="s">
        <v>467</v>
      </c>
      <c r="P437" s="11" t="s">
        <v>118</v>
      </c>
      <c r="Q437" s="10" t="n">
        <v>773232</v>
      </c>
      <c r="R437" s="12" t="n">
        <f aca="false">IF(OR($H437="",Q437=""),"",Q437/$H437)</f>
        <v>0.0779225412258385</v>
      </c>
      <c r="S437" s="9" t="s">
        <v>115</v>
      </c>
      <c r="T437" s="11" t="s">
        <v>119</v>
      </c>
      <c r="U437" s="11" t="s">
        <v>468</v>
      </c>
      <c r="V437" s="11" t="s">
        <v>121</v>
      </c>
      <c r="W437" s="10"/>
      <c r="X437" s="12"/>
      <c r="Y437" s="9"/>
      <c r="Z437" s="11"/>
      <c r="AA437" s="11"/>
      <c r="AB437" s="11"/>
      <c r="AC437" s="9"/>
      <c r="AD437" s="10"/>
      <c r="AE437" s="9"/>
      <c r="AF437" s="11"/>
      <c r="AG437" s="11"/>
      <c r="AH437" s="11"/>
      <c r="AI437" s="10" t="n">
        <v>2145</v>
      </c>
      <c r="AJ437" s="9" t="s">
        <v>122</v>
      </c>
      <c r="AK437" s="11" t="s">
        <v>123</v>
      </c>
      <c r="AL437" s="11" t="s">
        <v>124</v>
      </c>
      <c r="AM437" s="11" t="s">
        <v>469</v>
      </c>
    </row>
    <row r="438" customFormat="false" ht="15" hidden="false" customHeight="false" outlineLevel="0" collapsed="false">
      <c r="A438" s="9" t="s">
        <v>463</v>
      </c>
      <c r="B438" s="9" t="s">
        <v>464</v>
      </c>
      <c r="C438" s="9" t="s">
        <v>465</v>
      </c>
      <c r="D438" s="9" t="s">
        <v>466</v>
      </c>
      <c r="E438" s="9" t="n">
        <v>1</v>
      </c>
      <c r="F438" s="9" t="n">
        <v>0</v>
      </c>
      <c r="G438" s="9" t="n">
        <v>2017</v>
      </c>
      <c r="H438" s="10" t="n">
        <v>10057698</v>
      </c>
      <c r="I438" s="11" t="s">
        <v>98</v>
      </c>
      <c r="J438" s="11" t="s">
        <v>99</v>
      </c>
      <c r="K438" s="10" t="n">
        <v>1783179</v>
      </c>
      <c r="L438" s="12" t="n">
        <f aca="false">IF(OR($H438="",K438=""),"",K438/$H438)</f>
        <v>0.177294943634219</v>
      </c>
      <c r="M438" s="9" t="s">
        <v>115</v>
      </c>
      <c r="N438" s="11" t="s">
        <v>116</v>
      </c>
      <c r="O438" s="11" t="s">
        <v>467</v>
      </c>
      <c r="P438" s="11" t="s">
        <v>118</v>
      </c>
      <c r="Q438" s="10" t="n">
        <v>841165</v>
      </c>
      <c r="R438" s="12" t="n">
        <f aca="false">IF(OR($H438="",Q438=""),"",Q438/$H438)</f>
        <v>0.0836339488419716</v>
      </c>
      <c r="S438" s="9" t="s">
        <v>115</v>
      </c>
      <c r="T438" s="11" t="s">
        <v>119</v>
      </c>
      <c r="U438" s="11" t="s">
        <v>468</v>
      </c>
      <c r="V438" s="11" t="s">
        <v>121</v>
      </c>
      <c r="W438" s="10"/>
      <c r="X438" s="12"/>
      <c r="Y438" s="9"/>
      <c r="Z438" s="11"/>
      <c r="AA438" s="11"/>
      <c r="AB438" s="11"/>
      <c r="AC438" s="9"/>
      <c r="AD438" s="10"/>
      <c r="AE438" s="9"/>
      <c r="AF438" s="11"/>
      <c r="AG438" s="11"/>
      <c r="AH438" s="11"/>
      <c r="AI438" s="10" t="n">
        <v>1720</v>
      </c>
      <c r="AJ438" s="9" t="s">
        <v>122</v>
      </c>
      <c r="AK438" s="11" t="s">
        <v>123</v>
      </c>
      <c r="AL438" s="11" t="s">
        <v>124</v>
      </c>
      <c r="AM438" s="11" t="s">
        <v>469</v>
      </c>
    </row>
    <row r="439" customFormat="false" ht="15" hidden="false" customHeight="false" outlineLevel="0" collapsed="false">
      <c r="A439" s="9" t="s">
        <v>463</v>
      </c>
      <c r="B439" s="9" t="s">
        <v>464</v>
      </c>
      <c r="C439" s="9" t="s">
        <v>465</v>
      </c>
      <c r="D439" s="9" t="s">
        <v>466</v>
      </c>
      <c r="E439" s="9" t="n">
        <v>1</v>
      </c>
      <c r="F439" s="9" t="n">
        <v>0</v>
      </c>
      <c r="G439" s="9" t="n">
        <v>2018</v>
      </c>
      <c r="H439" s="10" t="n">
        <v>10175214</v>
      </c>
      <c r="I439" s="11" t="s">
        <v>98</v>
      </c>
      <c r="J439" s="11" t="s">
        <v>99</v>
      </c>
      <c r="K439" s="10" t="n">
        <v>1875637</v>
      </c>
      <c r="L439" s="12" t="n">
        <f aca="false">IF(OR($H439="",K439=""),"",K439/$H439)</f>
        <v>0.184333911797826</v>
      </c>
      <c r="M439" s="9" t="s">
        <v>115</v>
      </c>
      <c r="N439" s="11" t="s">
        <v>116</v>
      </c>
      <c r="O439" s="11" t="s">
        <v>467</v>
      </c>
      <c r="P439" s="11" t="s">
        <v>118</v>
      </c>
      <c r="Q439" s="10" t="n">
        <v>885839</v>
      </c>
      <c r="R439" s="12" t="n">
        <f aca="false">IF(OR($H439="",Q439=""),"",Q439/$H439)</f>
        <v>0.0870585129708329</v>
      </c>
      <c r="S439" s="9" t="s">
        <v>115</v>
      </c>
      <c r="T439" s="11" t="s">
        <v>119</v>
      </c>
      <c r="U439" s="11" t="s">
        <v>468</v>
      </c>
      <c r="V439" s="11" t="s">
        <v>121</v>
      </c>
      <c r="W439" s="10"/>
      <c r="X439" s="12"/>
      <c r="Y439" s="9"/>
      <c r="Z439" s="11"/>
      <c r="AA439" s="11"/>
      <c r="AB439" s="11"/>
      <c r="AC439" s="9"/>
      <c r="AD439" s="10"/>
      <c r="AE439" s="9"/>
      <c r="AF439" s="11"/>
      <c r="AG439" s="11"/>
      <c r="AH439" s="11"/>
      <c r="AI439" s="10" t="n">
        <v>2170</v>
      </c>
      <c r="AJ439" s="9" t="s">
        <v>122</v>
      </c>
      <c r="AK439" s="11" t="s">
        <v>123</v>
      </c>
      <c r="AL439" s="11" t="s">
        <v>124</v>
      </c>
      <c r="AM439" s="11" t="s">
        <v>469</v>
      </c>
    </row>
    <row r="440" customFormat="false" ht="15" hidden="false" customHeight="false" outlineLevel="0" collapsed="false">
      <c r="A440" s="9" t="s">
        <v>463</v>
      </c>
      <c r="B440" s="9" t="s">
        <v>464</v>
      </c>
      <c r="C440" s="9" t="s">
        <v>465</v>
      </c>
      <c r="D440" s="9" t="s">
        <v>466</v>
      </c>
      <c r="E440" s="9" t="n">
        <v>1</v>
      </c>
      <c r="F440" s="9" t="n">
        <v>0</v>
      </c>
      <c r="G440" s="9" t="n">
        <v>2019</v>
      </c>
      <c r="H440" s="10" t="n">
        <v>10278887</v>
      </c>
      <c r="I440" s="11" t="s">
        <v>98</v>
      </c>
      <c r="J440" s="11" t="s">
        <v>99</v>
      </c>
      <c r="K440" s="10" t="n">
        <v>1954065</v>
      </c>
      <c r="L440" s="12" t="n">
        <f aca="false">IF(OR($H440="",K440=""),"",K440/$H440)</f>
        <v>0.190104726319104</v>
      </c>
      <c r="M440" s="9" t="s">
        <v>115</v>
      </c>
      <c r="N440" s="11" t="s">
        <v>116</v>
      </c>
      <c r="O440" s="11" t="s">
        <v>467</v>
      </c>
      <c r="P440" s="11" t="s">
        <v>118</v>
      </c>
      <c r="Q440" s="10" t="n">
        <v>920144</v>
      </c>
      <c r="R440" s="12" t="n">
        <f aca="false">IF(OR($H440="",Q440=""),"",Q440/$H440)</f>
        <v>0.0895178631694268</v>
      </c>
      <c r="S440" s="9" t="s">
        <v>115</v>
      </c>
      <c r="T440" s="11" t="s">
        <v>119</v>
      </c>
      <c r="U440" s="11" t="s">
        <v>468</v>
      </c>
      <c r="V440" s="11" t="s">
        <v>121</v>
      </c>
      <c r="W440" s="10"/>
      <c r="X440" s="12"/>
      <c r="Y440" s="9"/>
      <c r="Z440" s="11"/>
      <c r="AA440" s="11"/>
      <c r="AB440" s="11"/>
      <c r="AC440" s="9"/>
      <c r="AD440" s="10"/>
      <c r="AE440" s="9"/>
      <c r="AF440" s="11"/>
      <c r="AG440" s="11"/>
      <c r="AH440" s="11"/>
      <c r="AI440" s="10" t="n">
        <v>2615</v>
      </c>
      <c r="AJ440" s="9" t="s">
        <v>122</v>
      </c>
      <c r="AK440" s="11" t="s">
        <v>123</v>
      </c>
      <c r="AL440" s="11" t="s">
        <v>124</v>
      </c>
      <c r="AM440" s="11" t="s">
        <v>469</v>
      </c>
    </row>
    <row r="441" customFormat="false" ht="15" hidden="false" customHeight="false" outlineLevel="0" collapsed="false">
      <c r="A441" s="9" t="s">
        <v>463</v>
      </c>
      <c r="B441" s="9" t="s">
        <v>464</v>
      </c>
      <c r="C441" s="9" t="s">
        <v>465</v>
      </c>
      <c r="D441" s="9" t="s">
        <v>466</v>
      </c>
      <c r="E441" s="9" t="n">
        <v>1</v>
      </c>
      <c r="F441" s="9" t="n">
        <v>0</v>
      </c>
      <c r="G441" s="9" t="n">
        <v>2020</v>
      </c>
      <c r="H441" s="10" t="n">
        <v>10353442</v>
      </c>
      <c r="I441" s="11" t="s">
        <v>98</v>
      </c>
      <c r="J441" s="11" t="s">
        <v>99</v>
      </c>
      <c r="K441" s="10" t="n">
        <v>2018191</v>
      </c>
      <c r="L441" s="12" t="n">
        <f aca="false">IF(OR($H441="",K441=""),"",K441/$H441)</f>
        <v>0.194929473695801</v>
      </c>
      <c r="M441" s="9" t="s">
        <v>115</v>
      </c>
      <c r="N441" s="11" t="s">
        <v>116</v>
      </c>
      <c r="O441" s="11" t="s">
        <v>467</v>
      </c>
      <c r="P441" s="11" t="s">
        <v>118</v>
      </c>
      <c r="Q441" s="10" t="n">
        <v>927774</v>
      </c>
      <c r="R441" s="12" t="n">
        <f aca="false">IF(OR($H441="",Q441=""),"",Q441/$H441)</f>
        <v>0.0896101991975229</v>
      </c>
      <c r="S441" s="9" t="s">
        <v>115</v>
      </c>
      <c r="T441" s="11" t="s">
        <v>119</v>
      </c>
      <c r="U441" s="11" t="s">
        <v>468</v>
      </c>
      <c r="V441" s="11" t="s">
        <v>121</v>
      </c>
      <c r="W441" s="10"/>
      <c r="X441" s="12"/>
      <c r="Y441" s="9"/>
      <c r="Z441" s="11"/>
      <c r="AA441" s="11"/>
      <c r="AB441" s="11"/>
      <c r="AC441" s="9"/>
      <c r="AD441" s="10"/>
      <c r="AE441" s="9"/>
      <c r="AF441" s="11"/>
      <c r="AG441" s="11"/>
      <c r="AH441" s="11"/>
      <c r="AI441" s="10" t="n">
        <v>2635</v>
      </c>
      <c r="AJ441" s="9" t="s">
        <v>122</v>
      </c>
      <c r="AK441" s="11" t="s">
        <v>123</v>
      </c>
      <c r="AL441" s="11" t="s">
        <v>124</v>
      </c>
      <c r="AM441" s="11" t="s">
        <v>469</v>
      </c>
    </row>
    <row r="442" customFormat="false" ht="15" hidden="false" customHeight="false" outlineLevel="0" collapsed="false">
      <c r="A442" s="9" t="s">
        <v>463</v>
      </c>
      <c r="B442" s="9" t="s">
        <v>464</v>
      </c>
      <c r="C442" s="9" t="s">
        <v>465</v>
      </c>
      <c r="D442" s="9" t="s">
        <v>466</v>
      </c>
      <c r="E442" s="9" t="n">
        <v>1</v>
      </c>
      <c r="F442" s="9" t="n">
        <v>0</v>
      </c>
      <c r="G442" s="9" t="n">
        <v>2021</v>
      </c>
      <c r="H442" s="10" t="n">
        <v>10415811</v>
      </c>
      <c r="I442" s="11" t="s">
        <v>98</v>
      </c>
      <c r="J442" s="11" t="s">
        <v>99</v>
      </c>
      <c r="K442" s="10" t="n">
        <v>2045234</v>
      </c>
      <c r="L442" s="12" t="n">
        <f aca="false">IF(OR($H442="",K442=""),"",K442/$H442)</f>
        <v>0.196358593680319</v>
      </c>
      <c r="M442" s="9" t="s">
        <v>115</v>
      </c>
      <c r="N442" s="11" t="s">
        <v>116</v>
      </c>
      <c r="O442" s="11" t="s">
        <v>467</v>
      </c>
      <c r="P442" s="11" t="s">
        <v>118</v>
      </c>
      <c r="Q442" s="10" t="n">
        <v>892254</v>
      </c>
      <c r="R442" s="12" t="n">
        <f aca="false">IF(OR($H442="",Q442=""),"",Q442/$H442)</f>
        <v>0.085663420736033</v>
      </c>
      <c r="S442" s="9" t="s">
        <v>115</v>
      </c>
      <c r="T442" s="11" t="s">
        <v>119</v>
      </c>
      <c r="U442" s="11" t="s">
        <v>468</v>
      </c>
      <c r="V442" s="11" t="s">
        <v>121</v>
      </c>
      <c r="W442" s="10"/>
      <c r="X442" s="12"/>
      <c r="Y442" s="9"/>
      <c r="Z442" s="11"/>
      <c r="AA442" s="11"/>
      <c r="AB442" s="11"/>
      <c r="AC442" s="9"/>
      <c r="AD442" s="10"/>
      <c r="AE442" s="9"/>
      <c r="AF442" s="11"/>
      <c r="AG442" s="11"/>
      <c r="AH442" s="11"/>
      <c r="AI442" s="10" t="n">
        <v>2455</v>
      </c>
      <c r="AJ442" s="9" t="s">
        <v>122</v>
      </c>
      <c r="AK442" s="11" t="s">
        <v>123</v>
      </c>
      <c r="AL442" s="11" t="s">
        <v>124</v>
      </c>
      <c r="AM442" s="11" t="s">
        <v>469</v>
      </c>
    </row>
    <row r="443" customFormat="false" ht="15" hidden="false" customHeight="false" outlineLevel="0" collapsed="false">
      <c r="A443" s="9" t="s">
        <v>463</v>
      </c>
      <c r="B443" s="9" t="s">
        <v>464</v>
      </c>
      <c r="C443" s="9" t="s">
        <v>465</v>
      </c>
      <c r="D443" s="9" t="s">
        <v>466</v>
      </c>
      <c r="E443" s="9" t="n">
        <v>1</v>
      </c>
      <c r="F443" s="9" t="n">
        <v>0</v>
      </c>
      <c r="G443" s="9" t="n">
        <v>2022</v>
      </c>
      <c r="H443" s="10" t="n">
        <v>10486941</v>
      </c>
      <c r="I443" s="11" t="s">
        <v>98</v>
      </c>
      <c r="J443" s="11" t="s">
        <v>99</v>
      </c>
      <c r="K443" s="10" t="n">
        <v>2089008</v>
      </c>
      <c r="L443" s="12" t="n">
        <f aca="false">IF(OR($H443="",K443=""),"",K443/$H443)</f>
        <v>0.199200891852066</v>
      </c>
      <c r="M443" s="9" t="s">
        <v>115</v>
      </c>
      <c r="N443" s="11" t="s">
        <v>116</v>
      </c>
      <c r="O443" s="11" t="s">
        <v>467</v>
      </c>
      <c r="P443" s="11" t="s">
        <v>118</v>
      </c>
      <c r="Q443" s="10" t="n">
        <v>868193</v>
      </c>
      <c r="R443" s="12" t="n">
        <f aca="false">IF(OR($H443="",Q443=""),"",Q443/$H443)</f>
        <v>0.082788012252572</v>
      </c>
      <c r="S443" s="9" t="s">
        <v>115</v>
      </c>
      <c r="T443" s="11" t="s">
        <v>119</v>
      </c>
      <c r="U443" s="11" t="s">
        <v>468</v>
      </c>
      <c r="V443" s="11" t="s">
        <v>121</v>
      </c>
      <c r="W443" s="10"/>
      <c r="X443" s="12"/>
      <c r="Y443" s="9"/>
      <c r="Z443" s="11"/>
      <c r="AA443" s="11"/>
      <c r="AB443" s="11"/>
      <c r="AC443" s="9"/>
      <c r="AD443" s="10"/>
      <c r="AE443" s="9"/>
      <c r="AF443" s="11"/>
      <c r="AG443" s="11"/>
      <c r="AH443" s="11"/>
      <c r="AI443" s="10" t="n">
        <v>2510</v>
      </c>
      <c r="AJ443" s="9" t="s">
        <v>122</v>
      </c>
      <c r="AK443" s="11" t="s">
        <v>123</v>
      </c>
      <c r="AL443" s="11" t="s">
        <v>124</v>
      </c>
      <c r="AM443" s="11" t="s">
        <v>469</v>
      </c>
    </row>
    <row r="444" customFormat="false" ht="15" hidden="false" customHeight="false" outlineLevel="0" collapsed="false">
      <c r="A444" s="9" t="s">
        <v>470</v>
      </c>
      <c r="B444" s="9" t="s">
        <v>471</v>
      </c>
      <c r="C444" s="9" t="s">
        <v>472</v>
      </c>
      <c r="D444" s="9" t="s">
        <v>473</v>
      </c>
      <c r="E444" s="9" t="n">
        <v>1</v>
      </c>
      <c r="F444" s="9" t="n">
        <v>1</v>
      </c>
      <c r="G444" s="9" t="n">
        <v>2010</v>
      </c>
      <c r="H444" s="10" t="n">
        <v>7824909</v>
      </c>
      <c r="I444" s="11" t="s">
        <v>98</v>
      </c>
      <c r="J444" s="11" t="s">
        <v>99</v>
      </c>
      <c r="K444" s="10"/>
      <c r="L444" s="12"/>
      <c r="M444" s="9"/>
      <c r="N444" s="11"/>
      <c r="O444" s="11"/>
      <c r="P444" s="11"/>
      <c r="Q444" s="10" t="n">
        <v>1714004</v>
      </c>
      <c r="R444" s="12" t="n">
        <f aca="false">IF(OR($H444="",Q444=""),"",Q444/$H444)</f>
        <v>0.219044592084074</v>
      </c>
      <c r="S444" s="9" t="s">
        <v>115</v>
      </c>
      <c r="T444" s="11" t="s">
        <v>119</v>
      </c>
      <c r="U444" s="11" t="s">
        <v>474</v>
      </c>
      <c r="V444" s="11" t="s">
        <v>121</v>
      </c>
      <c r="W444" s="10"/>
      <c r="X444" s="12"/>
      <c r="Y444" s="9"/>
      <c r="Z444" s="11"/>
      <c r="AA444" s="11"/>
      <c r="AB444" s="11"/>
      <c r="AC444" s="9"/>
      <c r="AD444" s="10"/>
      <c r="AE444" s="9"/>
      <c r="AF444" s="11"/>
      <c r="AG444" s="11"/>
      <c r="AH444" s="11"/>
      <c r="AI444" s="10" t="n">
        <v>12630</v>
      </c>
      <c r="AJ444" s="9" t="s">
        <v>122</v>
      </c>
      <c r="AK444" s="11" t="s">
        <v>123</v>
      </c>
      <c r="AL444" s="11" t="s">
        <v>124</v>
      </c>
      <c r="AM444" s="11" t="s">
        <v>125</v>
      </c>
    </row>
    <row r="445" customFormat="false" ht="15" hidden="false" customHeight="false" outlineLevel="0" collapsed="false">
      <c r="A445" s="9" t="s">
        <v>470</v>
      </c>
      <c r="B445" s="9" t="s">
        <v>471</v>
      </c>
      <c r="C445" s="9" t="s">
        <v>472</v>
      </c>
      <c r="D445" s="9" t="s">
        <v>473</v>
      </c>
      <c r="E445" s="9" t="n">
        <v>1</v>
      </c>
      <c r="F445" s="9" t="n">
        <v>1</v>
      </c>
      <c r="G445" s="9" t="n">
        <v>2011</v>
      </c>
      <c r="H445" s="10" t="n">
        <v>7912398</v>
      </c>
      <c r="I445" s="11" t="s">
        <v>98</v>
      </c>
      <c r="J445" s="11" t="s">
        <v>99</v>
      </c>
      <c r="K445" s="10" t="n">
        <v>1940349</v>
      </c>
      <c r="L445" s="12" t="n">
        <f aca="false">IF(OR($H445="",K445=""),"",K445/$H445)</f>
        <v>0.245228943235666</v>
      </c>
      <c r="M445" s="9" t="s">
        <v>115</v>
      </c>
      <c r="N445" s="11" t="s">
        <v>116</v>
      </c>
      <c r="O445" s="11" t="s">
        <v>475</v>
      </c>
      <c r="P445" s="11" t="s">
        <v>476</v>
      </c>
      <c r="Q445" s="10" t="n">
        <v>1765750</v>
      </c>
      <c r="R445" s="12" t="n">
        <f aca="false">IF(OR($H445="",Q445=""),"",Q445/$H445)</f>
        <v>0.223162434447812</v>
      </c>
      <c r="S445" s="9" t="s">
        <v>115</v>
      </c>
      <c r="T445" s="11" t="s">
        <v>119</v>
      </c>
      <c r="U445" s="11" t="s">
        <v>474</v>
      </c>
      <c r="V445" s="11" t="s">
        <v>121</v>
      </c>
      <c r="W445" s="10"/>
      <c r="X445" s="12"/>
      <c r="Y445" s="9"/>
      <c r="Z445" s="11"/>
      <c r="AA445" s="11"/>
      <c r="AB445" s="11"/>
      <c r="AC445" s="9"/>
      <c r="AD445" s="10"/>
      <c r="AE445" s="9"/>
      <c r="AF445" s="11"/>
      <c r="AG445" s="11"/>
      <c r="AH445" s="11"/>
      <c r="AI445" s="10" t="n">
        <v>14170</v>
      </c>
      <c r="AJ445" s="9" t="s">
        <v>122</v>
      </c>
      <c r="AK445" s="11" t="s">
        <v>123</v>
      </c>
      <c r="AL445" s="11" t="s">
        <v>124</v>
      </c>
      <c r="AM445" s="11" t="s">
        <v>125</v>
      </c>
    </row>
    <row r="446" customFormat="false" ht="15" hidden="false" customHeight="false" outlineLevel="0" collapsed="false">
      <c r="A446" s="9" t="s">
        <v>470</v>
      </c>
      <c r="B446" s="9" t="s">
        <v>471</v>
      </c>
      <c r="C446" s="9" t="s">
        <v>472</v>
      </c>
      <c r="D446" s="9" t="s">
        <v>473</v>
      </c>
      <c r="E446" s="9" t="n">
        <v>1</v>
      </c>
      <c r="F446" s="9" t="n">
        <v>1</v>
      </c>
      <c r="G446" s="9" t="n">
        <v>2012</v>
      </c>
      <c r="H446" s="10" t="n">
        <v>7996861</v>
      </c>
      <c r="I446" s="11" t="s">
        <v>98</v>
      </c>
      <c r="J446" s="11" t="s">
        <v>99</v>
      </c>
      <c r="K446" s="10" t="n">
        <v>2033702</v>
      </c>
      <c r="L446" s="12" t="n">
        <f aca="false">IF(OR($H446="",K446=""),"",K446/$H446)</f>
        <v>0.254312535881266</v>
      </c>
      <c r="M446" s="9" t="s">
        <v>115</v>
      </c>
      <c r="N446" s="11" t="s">
        <v>116</v>
      </c>
      <c r="O446" s="11" t="s">
        <v>475</v>
      </c>
      <c r="P446" s="11" t="s">
        <v>476</v>
      </c>
      <c r="Q446" s="10" t="n">
        <v>1815063</v>
      </c>
      <c r="R446" s="12" t="n">
        <f aca="false">IF(OR($H446="",Q446=""),"",Q446/$H446)</f>
        <v>0.226971933112255</v>
      </c>
      <c r="S446" s="9" t="s">
        <v>115</v>
      </c>
      <c r="T446" s="11" t="s">
        <v>119</v>
      </c>
      <c r="U446" s="11" t="s">
        <v>474</v>
      </c>
      <c r="V446" s="11" t="s">
        <v>121</v>
      </c>
      <c r="W446" s="10"/>
      <c r="X446" s="12"/>
      <c r="Y446" s="9"/>
      <c r="Z446" s="11"/>
      <c r="AA446" s="11"/>
      <c r="AB446" s="11"/>
      <c r="AC446" s="9"/>
      <c r="AD446" s="10"/>
      <c r="AE446" s="9"/>
      <c r="AF446" s="11"/>
      <c r="AG446" s="11"/>
      <c r="AH446" s="11"/>
      <c r="AI446" s="10" t="n">
        <v>15045</v>
      </c>
      <c r="AJ446" s="9" t="s">
        <v>122</v>
      </c>
      <c r="AK446" s="11" t="s">
        <v>123</v>
      </c>
      <c r="AL446" s="11" t="s">
        <v>124</v>
      </c>
      <c r="AM446" s="11" t="s">
        <v>125</v>
      </c>
    </row>
    <row r="447" customFormat="false" ht="15" hidden="false" customHeight="false" outlineLevel="0" collapsed="false">
      <c r="A447" s="9" t="s">
        <v>470</v>
      </c>
      <c r="B447" s="9" t="s">
        <v>471</v>
      </c>
      <c r="C447" s="9" t="s">
        <v>472</v>
      </c>
      <c r="D447" s="9" t="s">
        <v>473</v>
      </c>
      <c r="E447" s="9" t="n">
        <v>1</v>
      </c>
      <c r="F447" s="9" t="n">
        <v>1</v>
      </c>
      <c r="G447" s="9" t="n">
        <v>2013</v>
      </c>
      <c r="H447" s="10" t="n">
        <v>8089346</v>
      </c>
      <c r="I447" s="11" t="s">
        <v>98</v>
      </c>
      <c r="J447" s="11" t="s">
        <v>99</v>
      </c>
      <c r="K447" s="10" t="n">
        <v>2102964</v>
      </c>
      <c r="L447" s="12" t="n">
        <f aca="false">IF(OR($H447="",K447=""),"",K447/$H447)</f>
        <v>0.259967122187628</v>
      </c>
      <c r="M447" s="9" t="s">
        <v>115</v>
      </c>
      <c r="N447" s="11" t="s">
        <v>116</v>
      </c>
      <c r="O447" s="11" t="s">
        <v>475</v>
      </c>
      <c r="P447" s="11" t="s">
        <v>476</v>
      </c>
      <c r="Q447" s="10" t="n">
        <v>1869070</v>
      </c>
      <c r="R447" s="12" t="n">
        <f aca="false">IF(OR($H447="",Q447=""),"",Q447/$H447)</f>
        <v>0.231053289103965</v>
      </c>
      <c r="S447" s="9" t="s">
        <v>115</v>
      </c>
      <c r="T447" s="11" t="s">
        <v>119</v>
      </c>
      <c r="U447" s="11" t="s">
        <v>474</v>
      </c>
      <c r="V447" s="11" t="s">
        <v>121</v>
      </c>
      <c r="W447" s="10"/>
      <c r="X447" s="12"/>
      <c r="Y447" s="9"/>
      <c r="Z447" s="11"/>
      <c r="AA447" s="11"/>
      <c r="AB447" s="11"/>
      <c r="AC447" s="9"/>
      <c r="AD447" s="10"/>
      <c r="AE447" s="9"/>
      <c r="AF447" s="11"/>
      <c r="AG447" s="11"/>
      <c r="AH447" s="11"/>
      <c r="AI447" s="10" t="n">
        <v>13800</v>
      </c>
      <c r="AJ447" s="9" t="s">
        <v>122</v>
      </c>
      <c r="AK447" s="11" t="s">
        <v>123</v>
      </c>
      <c r="AL447" s="11" t="s">
        <v>124</v>
      </c>
      <c r="AM447" s="11" t="s">
        <v>125</v>
      </c>
    </row>
    <row r="448" customFormat="false" ht="15" hidden="false" customHeight="false" outlineLevel="0" collapsed="false">
      <c r="A448" s="9" t="s">
        <v>470</v>
      </c>
      <c r="B448" s="9" t="s">
        <v>471</v>
      </c>
      <c r="C448" s="9" t="s">
        <v>472</v>
      </c>
      <c r="D448" s="9" t="s">
        <v>473</v>
      </c>
      <c r="E448" s="9" t="n">
        <v>1</v>
      </c>
      <c r="F448" s="9" t="n">
        <v>1</v>
      </c>
      <c r="G448" s="9" t="n">
        <v>2014</v>
      </c>
      <c r="H448" s="10" t="n">
        <v>8188649</v>
      </c>
      <c r="I448" s="11" t="s">
        <v>98</v>
      </c>
      <c r="J448" s="11" t="s">
        <v>99</v>
      </c>
      <c r="K448" s="10" t="n">
        <v>2183206</v>
      </c>
      <c r="L448" s="12" t="n">
        <f aca="false">IF(OR($H448="",K448=""),"",K448/$H448)</f>
        <v>0.266613699036312</v>
      </c>
      <c r="M448" s="9" t="s">
        <v>115</v>
      </c>
      <c r="N448" s="11" t="s">
        <v>116</v>
      </c>
      <c r="O448" s="11" t="s">
        <v>475</v>
      </c>
      <c r="P448" s="11" t="s">
        <v>476</v>
      </c>
      <c r="Q448" s="10" t="n">
        <v>1936412</v>
      </c>
      <c r="R448" s="12" t="n">
        <f aca="false">IF(OR($H448="",Q448=""),"",Q448/$H448)</f>
        <v>0.236475149930104</v>
      </c>
      <c r="S448" s="9" t="s">
        <v>115</v>
      </c>
      <c r="T448" s="11" t="s">
        <v>119</v>
      </c>
      <c r="U448" s="11" t="s">
        <v>474</v>
      </c>
      <c r="V448" s="11" t="s">
        <v>121</v>
      </c>
      <c r="W448" s="10"/>
      <c r="X448" s="12"/>
      <c r="Y448" s="9"/>
      <c r="Z448" s="11"/>
      <c r="AA448" s="11"/>
      <c r="AB448" s="11"/>
      <c r="AC448" s="9"/>
      <c r="AD448" s="10"/>
      <c r="AE448" s="9"/>
      <c r="AF448" s="11"/>
      <c r="AG448" s="11"/>
      <c r="AH448" s="11"/>
      <c r="AI448" s="10" t="n">
        <v>15555</v>
      </c>
      <c r="AJ448" s="9" t="s">
        <v>122</v>
      </c>
      <c r="AK448" s="11" t="s">
        <v>123</v>
      </c>
      <c r="AL448" s="11" t="s">
        <v>124</v>
      </c>
      <c r="AM448" s="11" t="s">
        <v>125</v>
      </c>
    </row>
    <row r="449" customFormat="false" ht="15" hidden="false" customHeight="false" outlineLevel="0" collapsed="false">
      <c r="A449" s="9" t="s">
        <v>470</v>
      </c>
      <c r="B449" s="9" t="s">
        <v>471</v>
      </c>
      <c r="C449" s="9" t="s">
        <v>472</v>
      </c>
      <c r="D449" s="9" t="s">
        <v>473</v>
      </c>
      <c r="E449" s="9" t="n">
        <v>1</v>
      </c>
      <c r="F449" s="9" t="n">
        <v>1</v>
      </c>
      <c r="G449" s="9" t="n">
        <v>2015</v>
      </c>
      <c r="H449" s="10" t="n">
        <v>8282396</v>
      </c>
      <c r="I449" s="11" t="s">
        <v>98</v>
      </c>
      <c r="J449" s="11" t="s">
        <v>99</v>
      </c>
      <c r="K449" s="10" t="n">
        <v>2258196</v>
      </c>
      <c r="L449" s="12" t="n">
        <f aca="false">IF(OR($H449="",K449=""),"",K449/$H449)</f>
        <v>0.272650088211189</v>
      </c>
      <c r="M449" s="9" t="s">
        <v>115</v>
      </c>
      <c r="N449" s="11" t="s">
        <v>116</v>
      </c>
      <c r="O449" s="11" t="s">
        <v>475</v>
      </c>
      <c r="P449" s="11" t="s">
        <v>476</v>
      </c>
      <c r="Q449" s="10" t="n">
        <v>1997179</v>
      </c>
      <c r="R449" s="12" t="n">
        <f aca="false">IF(OR($H449="",Q449=""),"",Q449/$H449)</f>
        <v>0.241135415403948</v>
      </c>
      <c r="S449" s="9" t="s">
        <v>115</v>
      </c>
      <c r="T449" s="11" t="s">
        <v>119</v>
      </c>
      <c r="U449" s="11" t="s">
        <v>474</v>
      </c>
      <c r="V449" s="11" t="s">
        <v>121</v>
      </c>
      <c r="W449" s="10" t="n">
        <v>76000</v>
      </c>
      <c r="X449" s="12" t="n">
        <f aca="false">IF(OR($H449="",W449=""),"",W449/$H449)</f>
        <v>0.00917608865840271</v>
      </c>
      <c r="Y449" s="9" t="s">
        <v>126</v>
      </c>
      <c r="Z449" s="11" t="s">
        <v>477</v>
      </c>
      <c r="AA449" s="11" t="s">
        <v>478</v>
      </c>
      <c r="AB449" s="11" t="s">
        <v>479</v>
      </c>
      <c r="AC449" s="9" t="n">
        <v>1</v>
      </c>
      <c r="AD449" s="10"/>
      <c r="AE449" s="9"/>
      <c r="AF449" s="11"/>
      <c r="AG449" s="11"/>
      <c r="AH449" s="11"/>
      <c r="AI449" s="10" t="n">
        <v>15765</v>
      </c>
      <c r="AJ449" s="9" t="s">
        <v>122</v>
      </c>
      <c r="AK449" s="11" t="s">
        <v>123</v>
      </c>
      <c r="AL449" s="11" t="s">
        <v>124</v>
      </c>
      <c r="AM449" s="11" t="s">
        <v>125</v>
      </c>
    </row>
    <row r="450" customFormat="false" ht="15" hidden="false" customHeight="false" outlineLevel="0" collapsed="false">
      <c r="A450" s="9" t="s">
        <v>470</v>
      </c>
      <c r="B450" s="9" t="s">
        <v>471</v>
      </c>
      <c r="C450" s="9" t="s">
        <v>472</v>
      </c>
      <c r="D450" s="9" t="s">
        <v>473</v>
      </c>
      <c r="E450" s="9" t="n">
        <v>1</v>
      </c>
      <c r="F450" s="9" t="n">
        <v>1</v>
      </c>
      <c r="G450" s="9" t="n">
        <v>2016</v>
      </c>
      <c r="H450" s="10" t="n">
        <v>8373338</v>
      </c>
      <c r="I450" s="11" t="s">
        <v>98</v>
      </c>
      <c r="J450" s="11" t="s">
        <v>99</v>
      </c>
      <c r="K450" s="10" t="n">
        <v>2324461</v>
      </c>
      <c r="L450" s="12" t="n">
        <f aca="false">IF(OR($H450="",K450=""),"",K450/$H450)</f>
        <v>0.277602671718256</v>
      </c>
      <c r="M450" s="9" t="s">
        <v>115</v>
      </c>
      <c r="N450" s="11" t="s">
        <v>116</v>
      </c>
      <c r="O450" s="11" t="s">
        <v>475</v>
      </c>
      <c r="P450" s="11" t="s">
        <v>476</v>
      </c>
      <c r="Q450" s="10" t="n">
        <v>2047200</v>
      </c>
      <c r="R450" s="12" t="n">
        <f aca="false">IF(OR($H450="",Q450=""),"",Q450/$H450)</f>
        <v>0.24449030959935</v>
      </c>
      <c r="S450" s="9" t="s">
        <v>115</v>
      </c>
      <c r="T450" s="11" t="s">
        <v>119</v>
      </c>
      <c r="U450" s="11" t="s">
        <v>474</v>
      </c>
      <c r="V450" s="11" t="s">
        <v>121</v>
      </c>
      <c r="W450" s="10"/>
      <c r="X450" s="12"/>
      <c r="Y450" s="9"/>
      <c r="Z450" s="11"/>
      <c r="AA450" s="11"/>
      <c r="AB450" s="11"/>
      <c r="AC450" s="9"/>
      <c r="AD450" s="10"/>
      <c r="AE450" s="9"/>
      <c r="AF450" s="11"/>
      <c r="AG450" s="11"/>
      <c r="AH450" s="11"/>
      <c r="AI450" s="10" t="n">
        <v>13940</v>
      </c>
      <c r="AJ450" s="9" t="s">
        <v>122</v>
      </c>
      <c r="AK450" s="11" t="s">
        <v>123</v>
      </c>
      <c r="AL450" s="11" t="s">
        <v>124</v>
      </c>
      <c r="AM450" s="11" t="s">
        <v>125</v>
      </c>
    </row>
    <row r="451" customFormat="false" ht="15" hidden="false" customHeight="false" outlineLevel="0" collapsed="false">
      <c r="A451" s="9" t="s">
        <v>470</v>
      </c>
      <c r="B451" s="9" t="s">
        <v>471</v>
      </c>
      <c r="C451" s="9" t="s">
        <v>472</v>
      </c>
      <c r="D451" s="9" t="s">
        <v>473</v>
      </c>
      <c r="E451" s="9" t="n">
        <v>1</v>
      </c>
      <c r="F451" s="9" t="n">
        <v>1</v>
      </c>
      <c r="G451" s="9" t="n">
        <v>2017</v>
      </c>
      <c r="H451" s="10" t="n">
        <v>8451840</v>
      </c>
      <c r="I451" s="11" t="s">
        <v>98</v>
      </c>
      <c r="J451" s="11" t="s">
        <v>99</v>
      </c>
      <c r="K451" s="10" t="n">
        <v>2391480</v>
      </c>
      <c r="L451" s="12" t="n">
        <f aca="false">IF(OR($H451="",K451=""),"",K451/$H451)</f>
        <v>0.282953771013176</v>
      </c>
      <c r="M451" s="9" t="s">
        <v>115</v>
      </c>
      <c r="N451" s="11" t="s">
        <v>116</v>
      </c>
      <c r="O451" s="11" t="s">
        <v>475</v>
      </c>
      <c r="P451" s="11" t="s">
        <v>476</v>
      </c>
      <c r="Q451" s="10" t="n">
        <v>2099319</v>
      </c>
      <c r="R451" s="12" t="n">
        <f aca="false">IF(OR($H451="",Q451=""),"",Q451/$H451)</f>
        <v>0.24838603191731</v>
      </c>
      <c r="S451" s="9" t="s">
        <v>115</v>
      </c>
      <c r="T451" s="11" t="s">
        <v>119</v>
      </c>
      <c r="U451" s="11" t="s">
        <v>474</v>
      </c>
      <c r="V451" s="11" t="s">
        <v>121</v>
      </c>
      <c r="W451" s="10" t="n">
        <v>150000</v>
      </c>
      <c r="X451" s="12" t="n">
        <f aca="false">IF(OR($H451="",W451=""),"",W451/$H451)</f>
        <v>0.0177476147205816</v>
      </c>
      <c r="Y451" s="9" t="s">
        <v>126</v>
      </c>
      <c r="Z451" s="11" t="s">
        <v>127</v>
      </c>
      <c r="AA451" s="11" t="s">
        <v>128</v>
      </c>
      <c r="AB451" s="11" t="s">
        <v>129</v>
      </c>
      <c r="AC451" s="9" t="n">
        <v>1</v>
      </c>
      <c r="AD451" s="10"/>
      <c r="AE451" s="9"/>
      <c r="AF451" s="11"/>
      <c r="AG451" s="11"/>
      <c r="AH451" s="11"/>
      <c r="AI451" s="10" t="n">
        <v>14420</v>
      </c>
      <c r="AJ451" s="9" t="s">
        <v>122</v>
      </c>
      <c r="AK451" s="11" t="s">
        <v>123</v>
      </c>
      <c r="AL451" s="11" t="s">
        <v>124</v>
      </c>
      <c r="AM451" s="11" t="s">
        <v>125</v>
      </c>
    </row>
    <row r="452" customFormat="false" ht="15" hidden="false" customHeight="false" outlineLevel="0" collapsed="false">
      <c r="A452" s="9" t="s">
        <v>470</v>
      </c>
      <c r="B452" s="9" t="s">
        <v>471</v>
      </c>
      <c r="C452" s="9" t="s">
        <v>472</v>
      </c>
      <c r="D452" s="9" t="s">
        <v>473</v>
      </c>
      <c r="E452" s="9" t="n">
        <v>1</v>
      </c>
      <c r="F452" s="9" t="n">
        <v>1</v>
      </c>
      <c r="G452" s="9" t="n">
        <v>2018</v>
      </c>
      <c r="H452" s="10" t="n">
        <v>8514329</v>
      </c>
      <c r="I452" s="11" t="s">
        <v>98</v>
      </c>
      <c r="J452" s="11" t="s">
        <v>99</v>
      </c>
      <c r="K452" s="10" t="n">
        <v>2432519</v>
      </c>
      <c r="L452" s="12" t="n">
        <f aca="false">IF(OR($H452="",K452=""),"",K452/$H452)</f>
        <v>0.285697087815141</v>
      </c>
      <c r="M452" s="9" t="s">
        <v>115</v>
      </c>
      <c r="N452" s="11" t="s">
        <v>116</v>
      </c>
      <c r="O452" s="11" t="s">
        <v>475</v>
      </c>
      <c r="P452" s="11" t="s">
        <v>476</v>
      </c>
      <c r="Q452" s="10" t="n">
        <v>2124540</v>
      </c>
      <c r="R452" s="12" t="n">
        <f aca="false">IF(OR($H452="",Q452=""),"",Q452/$H452)</f>
        <v>0.249525241507581</v>
      </c>
      <c r="S452" s="9" t="s">
        <v>115</v>
      </c>
      <c r="T452" s="11" t="s">
        <v>119</v>
      </c>
      <c r="U452" s="11" t="s">
        <v>474</v>
      </c>
      <c r="V452" s="11" t="s">
        <v>121</v>
      </c>
      <c r="W452" s="10"/>
      <c r="X452" s="12"/>
      <c r="Y452" s="9"/>
      <c r="Z452" s="11"/>
      <c r="AA452" s="11"/>
      <c r="AB452" s="11"/>
      <c r="AC452" s="9"/>
      <c r="AD452" s="10"/>
      <c r="AE452" s="9"/>
      <c r="AF452" s="11"/>
      <c r="AG452" s="11"/>
      <c r="AH452" s="11"/>
      <c r="AI452" s="10" t="n">
        <v>13885</v>
      </c>
      <c r="AJ452" s="9" t="s">
        <v>122</v>
      </c>
      <c r="AK452" s="11" t="s">
        <v>123</v>
      </c>
      <c r="AL452" s="11" t="s">
        <v>124</v>
      </c>
      <c r="AM452" s="11" t="s">
        <v>125</v>
      </c>
    </row>
    <row r="453" customFormat="false" ht="15" hidden="false" customHeight="false" outlineLevel="0" collapsed="false">
      <c r="A453" s="9" t="s">
        <v>470</v>
      </c>
      <c r="B453" s="9" t="s">
        <v>471</v>
      </c>
      <c r="C453" s="9" t="s">
        <v>472</v>
      </c>
      <c r="D453" s="9" t="s">
        <v>473</v>
      </c>
      <c r="E453" s="9" t="n">
        <v>1</v>
      </c>
      <c r="F453" s="9" t="n">
        <v>1</v>
      </c>
      <c r="G453" s="9" t="n">
        <v>2019</v>
      </c>
      <c r="H453" s="10" t="n">
        <v>8575280</v>
      </c>
      <c r="I453" s="11" t="s">
        <v>98</v>
      </c>
      <c r="J453" s="11" t="s">
        <v>99</v>
      </c>
      <c r="K453" s="10" t="n">
        <v>2469381</v>
      </c>
      <c r="L453" s="12" t="n">
        <f aca="false">IF(OR($H453="",K453=""),"",K453/$H453)</f>
        <v>0.28796505770074</v>
      </c>
      <c r="M453" s="9" t="s">
        <v>115</v>
      </c>
      <c r="N453" s="11" t="s">
        <v>116</v>
      </c>
      <c r="O453" s="11" t="s">
        <v>475</v>
      </c>
      <c r="P453" s="11" t="s">
        <v>476</v>
      </c>
      <c r="Q453" s="10" t="n">
        <v>2146381</v>
      </c>
      <c r="R453" s="12" t="n">
        <f aca="false">IF(OR($H453="",Q453=""),"",Q453/$H453)</f>
        <v>0.25029864914032</v>
      </c>
      <c r="S453" s="9" t="s">
        <v>115</v>
      </c>
      <c r="T453" s="11" t="s">
        <v>119</v>
      </c>
      <c r="U453" s="11" t="s">
        <v>474</v>
      </c>
      <c r="V453" s="11" t="s">
        <v>121</v>
      </c>
      <c r="W453" s="10"/>
      <c r="X453" s="12"/>
      <c r="Y453" s="9"/>
      <c r="Z453" s="11"/>
      <c r="AA453" s="11"/>
      <c r="AB453" s="11"/>
      <c r="AC453" s="9"/>
      <c r="AD453" s="10"/>
      <c r="AE453" s="9"/>
      <c r="AF453" s="11"/>
      <c r="AG453" s="11"/>
      <c r="AH453" s="11"/>
      <c r="AI453" s="10" t="n">
        <v>11020</v>
      </c>
      <c r="AJ453" s="9" t="s">
        <v>122</v>
      </c>
      <c r="AK453" s="11" t="s">
        <v>123</v>
      </c>
      <c r="AL453" s="11" t="s">
        <v>124</v>
      </c>
      <c r="AM453" s="11" t="s">
        <v>125</v>
      </c>
    </row>
    <row r="454" customFormat="false" ht="15" hidden="false" customHeight="false" outlineLevel="0" collapsed="false">
      <c r="A454" s="9" t="s">
        <v>470</v>
      </c>
      <c r="B454" s="9" t="s">
        <v>471</v>
      </c>
      <c r="C454" s="9" t="s">
        <v>472</v>
      </c>
      <c r="D454" s="9" t="s">
        <v>473</v>
      </c>
      <c r="E454" s="9" t="n">
        <v>1</v>
      </c>
      <c r="F454" s="9" t="n">
        <v>1</v>
      </c>
      <c r="G454" s="9" t="n">
        <v>2020</v>
      </c>
      <c r="H454" s="10" t="n">
        <v>8638167</v>
      </c>
      <c r="I454" s="11" t="s">
        <v>98</v>
      </c>
      <c r="J454" s="11" t="s">
        <v>99</v>
      </c>
      <c r="K454" s="10" t="n">
        <v>2509692</v>
      </c>
      <c r="L454" s="12" t="n">
        <f aca="false">IF(OR($H454="",K454=""),"",K454/$H454)</f>
        <v>0.290535248971223</v>
      </c>
      <c r="M454" s="9" t="s">
        <v>115</v>
      </c>
      <c r="N454" s="11" t="s">
        <v>116</v>
      </c>
      <c r="O454" s="11" t="s">
        <v>475</v>
      </c>
      <c r="P454" s="11" t="s">
        <v>476</v>
      </c>
      <c r="Q454" s="10" t="n">
        <v>2173429</v>
      </c>
      <c r="R454" s="12" t="n">
        <f aca="false">IF(OR($H454="",Q454=""),"",Q454/$H454)</f>
        <v>0.251607661671741</v>
      </c>
      <c r="S454" s="9" t="s">
        <v>115</v>
      </c>
      <c r="T454" s="11" t="s">
        <v>119</v>
      </c>
      <c r="U454" s="11" t="s">
        <v>474</v>
      </c>
      <c r="V454" s="11" t="s">
        <v>121</v>
      </c>
      <c r="W454" s="10"/>
      <c r="X454" s="12"/>
      <c r="Y454" s="9"/>
      <c r="Z454" s="11"/>
      <c r="AA454" s="11"/>
      <c r="AB454" s="11"/>
      <c r="AC454" s="9"/>
      <c r="AD454" s="10"/>
      <c r="AE454" s="9"/>
      <c r="AF454" s="11"/>
      <c r="AG454" s="11"/>
      <c r="AH454" s="11"/>
      <c r="AI454" s="10" t="n">
        <v>12175</v>
      </c>
      <c r="AJ454" s="9" t="s">
        <v>122</v>
      </c>
      <c r="AK454" s="11" t="s">
        <v>123</v>
      </c>
      <c r="AL454" s="11" t="s">
        <v>124</v>
      </c>
      <c r="AM454" s="11" t="s">
        <v>125</v>
      </c>
    </row>
    <row r="455" customFormat="false" ht="15" hidden="false" customHeight="false" outlineLevel="0" collapsed="false">
      <c r="A455" s="9" t="s">
        <v>470</v>
      </c>
      <c r="B455" s="9" t="s">
        <v>471</v>
      </c>
      <c r="C455" s="9" t="s">
        <v>472</v>
      </c>
      <c r="D455" s="9" t="s">
        <v>473</v>
      </c>
      <c r="E455" s="9" t="n">
        <v>1</v>
      </c>
      <c r="F455" s="9" t="n">
        <v>1</v>
      </c>
      <c r="G455" s="9" t="n">
        <v>2021</v>
      </c>
      <c r="H455" s="10" t="n">
        <v>8704546</v>
      </c>
      <c r="I455" s="11" t="s">
        <v>98</v>
      </c>
      <c r="J455" s="11" t="s">
        <v>99</v>
      </c>
      <c r="K455" s="10" t="n">
        <v>2553225</v>
      </c>
      <c r="L455" s="12" t="n">
        <f aca="false">IF(OR($H455="",K455=""),"",K455/$H455)</f>
        <v>0.29332086934804</v>
      </c>
      <c r="M455" s="9" t="s">
        <v>115</v>
      </c>
      <c r="N455" s="11" t="s">
        <v>116</v>
      </c>
      <c r="O455" s="11" t="s">
        <v>475</v>
      </c>
      <c r="P455" s="11" t="s">
        <v>476</v>
      </c>
      <c r="Q455" s="10" t="n">
        <v>2208864</v>
      </c>
      <c r="R455" s="12" t="n">
        <f aca="false">IF(OR($H455="",Q455=""),"",Q455/$H455)</f>
        <v>0.253759816996774</v>
      </c>
      <c r="S455" s="9" t="s">
        <v>115</v>
      </c>
      <c r="T455" s="11" t="s">
        <v>119</v>
      </c>
      <c r="U455" s="11" t="s">
        <v>474</v>
      </c>
      <c r="V455" s="11" t="s">
        <v>121</v>
      </c>
      <c r="W455" s="10"/>
      <c r="X455" s="12"/>
      <c r="Y455" s="9"/>
      <c r="Z455" s="11"/>
      <c r="AA455" s="11"/>
      <c r="AB455" s="11"/>
      <c r="AC455" s="9"/>
      <c r="AD455" s="10"/>
      <c r="AE455" s="9"/>
      <c r="AF455" s="11"/>
      <c r="AG455" s="11"/>
      <c r="AH455" s="11"/>
      <c r="AI455" s="10" t="n">
        <v>15130</v>
      </c>
      <c r="AJ455" s="9" t="s">
        <v>122</v>
      </c>
      <c r="AK455" s="11" t="s">
        <v>123</v>
      </c>
      <c r="AL455" s="11" t="s">
        <v>124</v>
      </c>
      <c r="AM455" s="11" t="s">
        <v>125</v>
      </c>
    </row>
    <row r="456" customFormat="false" ht="15" hidden="false" customHeight="false" outlineLevel="0" collapsed="false">
      <c r="A456" s="9" t="s">
        <v>470</v>
      </c>
      <c r="B456" s="9" t="s">
        <v>471</v>
      </c>
      <c r="C456" s="9" t="s">
        <v>472</v>
      </c>
      <c r="D456" s="9" t="s">
        <v>473</v>
      </c>
      <c r="E456" s="9" t="n">
        <v>1</v>
      </c>
      <c r="F456" s="9" t="n">
        <v>1</v>
      </c>
      <c r="G456" s="9" t="n">
        <v>2022</v>
      </c>
      <c r="H456" s="10" t="n">
        <v>8777088</v>
      </c>
      <c r="I456" s="11" t="s">
        <v>98</v>
      </c>
      <c r="J456" s="11" t="s">
        <v>99</v>
      </c>
      <c r="K456" s="10" t="n">
        <v>2598146</v>
      </c>
      <c r="L456" s="12" t="n">
        <f aca="false">IF(OR($H456="",K456=""),"",K456/$H456)</f>
        <v>0.296014577955696</v>
      </c>
      <c r="M456" s="9" t="s">
        <v>115</v>
      </c>
      <c r="N456" s="11" t="s">
        <v>116</v>
      </c>
      <c r="O456" s="11" t="s">
        <v>475</v>
      </c>
      <c r="P456" s="11" t="s">
        <v>476</v>
      </c>
      <c r="Q456" s="10" t="n">
        <v>2242343</v>
      </c>
      <c r="R456" s="12" t="n">
        <f aca="false">IF(OR($H456="",Q456=""),"",Q456/$H456)</f>
        <v>0.255476873423167</v>
      </c>
      <c r="S456" s="9" t="s">
        <v>115</v>
      </c>
      <c r="T456" s="11" t="s">
        <v>119</v>
      </c>
      <c r="U456" s="11" t="s">
        <v>474</v>
      </c>
      <c r="V456" s="11" t="s">
        <v>121</v>
      </c>
      <c r="W456" s="10"/>
      <c r="X456" s="12"/>
      <c r="Y456" s="9"/>
      <c r="Z456" s="11"/>
      <c r="AA456" s="11"/>
      <c r="AB456" s="11"/>
      <c r="AC456" s="9"/>
      <c r="AD456" s="10"/>
      <c r="AE456" s="9"/>
      <c r="AF456" s="11"/>
      <c r="AG456" s="11"/>
      <c r="AH456" s="11"/>
      <c r="AI456" s="10" t="n">
        <v>19280</v>
      </c>
      <c r="AJ456" s="9" t="s">
        <v>122</v>
      </c>
      <c r="AK456" s="11" t="s">
        <v>123</v>
      </c>
      <c r="AL456" s="11" t="s">
        <v>124</v>
      </c>
      <c r="AM456" s="11" t="s">
        <v>125</v>
      </c>
    </row>
    <row r="457" customFormat="false" ht="15" hidden="false" customHeight="false" outlineLevel="0" collapsed="false">
      <c r="A457" s="9" t="s">
        <v>480</v>
      </c>
      <c r="B457" s="9" t="s">
        <v>481</v>
      </c>
      <c r="C457" s="9" t="s">
        <v>482</v>
      </c>
      <c r="D457" s="9" t="s">
        <v>483</v>
      </c>
      <c r="E457" s="9" t="n">
        <v>1</v>
      </c>
      <c r="F457" s="9" t="n">
        <v>1</v>
      </c>
      <c r="G457" s="9" t="n">
        <v>2010</v>
      </c>
      <c r="H457" s="10" t="n">
        <v>23162000</v>
      </c>
      <c r="I457" s="13" t="s">
        <v>484</v>
      </c>
      <c r="J457" s="11" t="s">
        <v>485</v>
      </c>
      <c r="K457" s="10"/>
      <c r="L457" s="12"/>
      <c r="M457" s="9"/>
      <c r="N457" s="11"/>
      <c r="O457" s="11"/>
      <c r="P457" s="11"/>
      <c r="Q457" s="10"/>
      <c r="R457" s="12"/>
      <c r="S457" s="9"/>
      <c r="T457" s="11"/>
      <c r="U457" s="11"/>
      <c r="V457" s="11"/>
      <c r="W457" s="10"/>
      <c r="X457" s="12"/>
      <c r="Y457" s="9"/>
      <c r="Z457" s="11"/>
      <c r="AA457" s="11"/>
      <c r="AB457" s="11"/>
      <c r="AC457" s="9"/>
      <c r="AD457" s="10"/>
      <c r="AE457" s="9"/>
      <c r="AF457" s="11"/>
      <c r="AG457" s="11"/>
      <c r="AH457" s="11"/>
      <c r="AI457" s="10"/>
      <c r="AJ457" s="9"/>
      <c r="AK457" s="11"/>
      <c r="AL457" s="11"/>
      <c r="AM457" s="11"/>
    </row>
    <row r="458" customFormat="false" ht="15" hidden="false" customHeight="false" outlineLevel="0" collapsed="false">
      <c r="A458" s="9" t="s">
        <v>480</v>
      </c>
      <c r="B458" s="9" t="s">
        <v>481</v>
      </c>
      <c r="C458" s="9" t="s">
        <v>482</v>
      </c>
      <c r="D458" s="9" t="s">
        <v>483</v>
      </c>
      <c r="E458" s="9" t="n">
        <v>1</v>
      </c>
      <c r="F458" s="9" t="n">
        <v>1</v>
      </c>
      <c r="G458" s="9" t="n">
        <v>2011</v>
      </c>
      <c r="H458" s="10" t="n">
        <v>23225000</v>
      </c>
      <c r="I458" s="13" t="s">
        <v>484</v>
      </c>
      <c r="J458" s="11" t="s">
        <v>485</v>
      </c>
      <c r="K458" s="10"/>
      <c r="L458" s="12"/>
      <c r="M458" s="9"/>
      <c r="N458" s="11"/>
      <c r="O458" s="11"/>
      <c r="P458" s="11"/>
      <c r="Q458" s="10"/>
      <c r="R458" s="12"/>
      <c r="S458" s="9"/>
      <c r="T458" s="11"/>
      <c r="U458" s="11"/>
      <c r="V458" s="11"/>
      <c r="W458" s="10"/>
      <c r="X458" s="12"/>
      <c r="Y458" s="9"/>
      <c r="Z458" s="11"/>
      <c r="AA458" s="11"/>
      <c r="AB458" s="11"/>
      <c r="AC458" s="9"/>
      <c r="AD458" s="10" t="n">
        <v>33730</v>
      </c>
      <c r="AE458" s="9" t="s">
        <v>151</v>
      </c>
      <c r="AF458" s="11" t="s">
        <v>486</v>
      </c>
      <c r="AG458" s="11" t="s">
        <v>487</v>
      </c>
      <c r="AH458" s="11" t="s">
        <v>488</v>
      </c>
      <c r="AI458" s="10"/>
      <c r="AJ458" s="9"/>
      <c r="AK458" s="11"/>
      <c r="AL458" s="11"/>
      <c r="AM458" s="11"/>
    </row>
    <row r="459" customFormat="false" ht="15" hidden="false" customHeight="false" outlineLevel="0" collapsed="false">
      <c r="A459" s="9" t="s">
        <v>480</v>
      </c>
      <c r="B459" s="9" t="s">
        <v>481</v>
      </c>
      <c r="C459" s="9" t="s">
        <v>482</v>
      </c>
      <c r="D459" s="9" t="s">
        <v>483</v>
      </c>
      <c r="E459" s="9" t="n">
        <v>1</v>
      </c>
      <c r="F459" s="9" t="n">
        <v>1</v>
      </c>
      <c r="G459" s="9" t="n">
        <v>2012</v>
      </c>
      <c r="H459" s="10" t="n">
        <v>23316000</v>
      </c>
      <c r="I459" s="13" t="s">
        <v>484</v>
      </c>
      <c r="J459" s="11" t="s">
        <v>485</v>
      </c>
      <c r="K459" s="10"/>
      <c r="L459" s="12"/>
      <c r="M459" s="9"/>
      <c r="N459" s="11"/>
      <c r="O459" s="11"/>
      <c r="P459" s="11"/>
      <c r="Q459" s="10" t="n">
        <v>483921</v>
      </c>
      <c r="R459" s="12" t="n">
        <f aca="false">IF(OR($H459="",Q459=""),"",Q459/$H459)</f>
        <v>0.0207548893463716</v>
      </c>
      <c r="S459" s="9" t="s">
        <v>151</v>
      </c>
      <c r="T459" s="11" t="s">
        <v>489</v>
      </c>
      <c r="U459" s="11" t="s">
        <v>490</v>
      </c>
      <c r="V459" s="11" t="s">
        <v>491</v>
      </c>
      <c r="W459" s="10"/>
      <c r="X459" s="12"/>
      <c r="Y459" s="9"/>
      <c r="Z459" s="11"/>
      <c r="AA459" s="11"/>
      <c r="AB459" s="11"/>
      <c r="AC459" s="9"/>
      <c r="AD459" s="10" t="n">
        <v>37177</v>
      </c>
      <c r="AE459" s="9" t="s">
        <v>151</v>
      </c>
      <c r="AF459" s="11" t="s">
        <v>486</v>
      </c>
      <c r="AG459" s="11" t="s">
        <v>487</v>
      </c>
      <c r="AH459" s="11" t="s">
        <v>492</v>
      </c>
      <c r="AI459" s="10"/>
      <c r="AJ459" s="9"/>
      <c r="AK459" s="11"/>
      <c r="AL459" s="11"/>
      <c r="AM459" s="11"/>
    </row>
    <row r="460" customFormat="false" ht="15" hidden="false" customHeight="false" outlineLevel="0" collapsed="false">
      <c r="A460" s="9" t="s">
        <v>480</v>
      </c>
      <c r="B460" s="9" t="s">
        <v>481</v>
      </c>
      <c r="C460" s="9" t="s">
        <v>482</v>
      </c>
      <c r="D460" s="9" t="s">
        <v>483</v>
      </c>
      <c r="E460" s="9" t="n">
        <v>1</v>
      </c>
      <c r="F460" s="9" t="n">
        <v>1</v>
      </c>
      <c r="G460" s="9" t="n">
        <v>2013</v>
      </c>
      <c r="H460" s="10" t="n">
        <v>23374000</v>
      </c>
      <c r="I460" s="13" t="s">
        <v>484</v>
      </c>
      <c r="J460" s="11" t="s">
        <v>485</v>
      </c>
      <c r="K460" s="10"/>
      <c r="L460" s="12"/>
      <c r="M460" s="9"/>
      <c r="N460" s="11"/>
      <c r="O460" s="11"/>
      <c r="P460" s="11"/>
      <c r="Q460" s="10" t="n">
        <v>525109</v>
      </c>
      <c r="R460" s="12" t="n">
        <f aca="false">IF(OR($H460="",Q460=""),"",Q460/$H460)</f>
        <v>0.0224655172413793</v>
      </c>
      <c r="S460" s="9" t="s">
        <v>151</v>
      </c>
      <c r="T460" s="11" t="s">
        <v>489</v>
      </c>
      <c r="U460" s="11" t="s">
        <v>490</v>
      </c>
      <c r="V460" s="11" t="s">
        <v>491</v>
      </c>
      <c r="W460" s="10"/>
      <c r="X460" s="12"/>
      <c r="Y460" s="9"/>
      <c r="Z460" s="11"/>
      <c r="AA460" s="11"/>
      <c r="AB460" s="11"/>
      <c r="AC460" s="9"/>
      <c r="AD460" s="10" t="n">
        <v>41724</v>
      </c>
      <c r="AE460" s="9" t="s">
        <v>151</v>
      </c>
      <c r="AF460" s="11" t="s">
        <v>486</v>
      </c>
      <c r="AG460" s="11" t="s">
        <v>487</v>
      </c>
      <c r="AH460" s="11" t="s">
        <v>493</v>
      </c>
      <c r="AI460" s="10"/>
      <c r="AJ460" s="9"/>
      <c r="AK460" s="11"/>
      <c r="AL460" s="11"/>
      <c r="AM460" s="11"/>
    </row>
    <row r="461" customFormat="false" ht="15" hidden="false" customHeight="false" outlineLevel="0" collapsed="false">
      <c r="A461" s="9" t="s">
        <v>480</v>
      </c>
      <c r="B461" s="9" t="s">
        <v>481</v>
      </c>
      <c r="C461" s="9" t="s">
        <v>482</v>
      </c>
      <c r="D461" s="9" t="s">
        <v>483</v>
      </c>
      <c r="E461" s="9" t="n">
        <v>1</v>
      </c>
      <c r="F461" s="9" t="n">
        <v>1</v>
      </c>
      <c r="G461" s="9" t="n">
        <v>2014</v>
      </c>
      <c r="H461" s="10" t="n">
        <v>23434000</v>
      </c>
      <c r="I461" s="13" t="s">
        <v>484</v>
      </c>
      <c r="J461" s="11" t="s">
        <v>485</v>
      </c>
      <c r="K461" s="10"/>
      <c r="L461" s="12"/>
      <c r="M461" s="9"/>
      <c r="N461" s="11"/>
      <c r="O461" s="11"/>
      <c r="P461" s="11"/>
      <c r="Q461" s="10" t="n">
        <v>629633</v>
      </c>
      <c r="R461" s="12" t="n">
        <f aca="false">IF(OR($H461="",Q461=""),"",Q461/$H461)</f>
        <v>0.0268683536741487</v>
      </c>
      <c r="S461" s="9" t="s">
        <v>151</v>
      </c>
      <c r="T461" s="11" t="s">
        <v>489</v>
      </c>
      <c r="U461" s="11" t="s">
        <v>490</v>
      </c>
      <c r="V461" s="11" t="s">
        <v>491</v>
      </c>
      <c r="W461" s="10"/>
      <c r="X461" s="12"/>
      <c r="Y461" s="9"/>
      <c r="Z461" s="11"/>
      <c r="AA461" s="11"/>
      <c r="AB461" s="11"/>
      <c r="AC461" s="9"/>
      <c r="AD461" s="10" t="n">
        <v>68998</v>
      </c>
      <c r="AE461" s="9" t="s">
        <v>151</v>
      </c>
      <c r="AF461" s="11" t="s">
        <v>494</v>
      </c>
      <c r="AG461" s="11" t="s">
        <v>495</v>
      </c>
      <c r="AH461" s="11" t="s">
        <v>496</v>
      </c>
      <c r="AI461" s="10"/>
      <c r="AJ461" s="9"/>
      <c r="AK461" s="11"/>
      <c r="AL461" s="11"/>
      <c r="AM461" s="11"/>
    </row>
    <row r="462" customFormat="false" ht="15" hidden="false" customHeight="false" outlineLevel="0" collapsed="false">
      <c r="A462" s="9" t="s">
        <v>480</v>
      </c>
      <c r="B462" s="9" t="s">
        <v>481</v>
      </c>
      <c r="C462" s="9" t="s">
        <v>482</v>
      </c>
      <c r="D462" s="9" t="s">
        <v>483</v>
      </c>
      <c r="E462" s="9" t="n">
        <v>1</v>
      </c>
      <c r="F462" s="9" t="n">
        <v>1</v>
      </c>
      <c r="G462" s="9" t="n">
        <v>2015</v>
      </c>
      <c r="H462" s="10" t="n">
        <v>23492000</v>
      </c>
      <c r="I462" s="13" t="s">
        <v>484</v>
      </c>
      <c r="J462" s="11" t="s">
        <v>485</v>
      </c>
      <c r="K462" s="10"/>
      <c r="L462" s="12"/>
      <c r="M462" s="9"/>
      <c r="N462" s="11"/>
      <c r="O462" s="11"/>
      <c r="P462" s="11"/>
      <c r="Q462" s="10" t="n">
        <v>637843</v>
      </c>
      <c r="R462" s="12" t="n">
        <f aca="false">IF(OR($H462="",Q462=""),"",Q462/$H462)</f>
        <v>0.0271514983824281</v>
      </c>
      <c r="S462" s="9" t="s">
        <v>151</v>
      </c>
      <c r="T462" s="11" t="s">
        <v>489</v>
      </c>
      <c r="U462" s="11" t="s">
        <v>490</v>
      </c>
      <c r="V462" s="11" t="s">
        <v>491</v>
      </c>
      <c r="W462" s="10"/>
      <c r="X462" s="12"/>
      <c r="Y462" s="9"/>
      <c r="Z462" s="11"/>
      <c r="AA462" s="11"/>
      <c r="AB462" s="11"/>
      <c r="AC462" s="9"/>
      <c r="AD462" s="10" t="n">
        <v>77422</v>
      </c>
      <c r="AE462" s="9" t="s">
        <v>151</v>
      </c>
      <c r="AF462" s="11" t="s">
        <v>494</v>
      </c>
      <c r="AG462" s="11" t="s">
        <v>495</v>
      </c>
      <c r="AH462" s="11" t="s">
        <v>497</v>
      </c>
      <c r="AI462" s="10"/>
      <c r="AJ462" s="9"/>
      <c r="AK462" s="11"/>
      <c r="AL462" s="11"/>
      <c r="AM462" s="11"/>
    </row>
    <row r="463" customFormat="false" ht="15" hidden="false" customHeight="false" outlineLevel="0" collapsed="false">
      <c r="A463" s="9" t="s">
        <v>480</v>
      </c>
      <c r="B463" s="9" t="s">
        <v>481</v>
      </c>
      <c r="C463" s="9" t="s">
        <v>482</v>
      </c>
      <c r="D463" s="9" t="s">
        <v>483</v>
      </c>
      <c r="E463" s="9" t="n">
        <v>1</v>
      </c>
      <c r="F463" s="9" t="n">
        <v>1</v>
      </c>
      <c r="G463" s="9" t="n">
        <v>2016</v>
      </c>
      <c r="H463" s="10" t="n">
        <v>23540000</v>
      </c>
      <c r="I463" s="13" t="s">
        <v>484</v>
      </c>
      <c r="J463" s="11" t="s">
        <v>485</v>
      </c>
      <c r="K463" s="10"/>
      <c r="L463" s="12"/>
      <c r="M463" s="9"/>
      <c r="N463" s="11"/>
      <c r="O463" s="11"/>
      <c r="P463" s="11"/>
      <c r="Q463" s="10" t="n">
        <v>671375</v>
      </c>
      <c r="R463" s="12" t="n">
        <f aca="false">IF(OR($H463="",Q463=""),"",Q463/$H463)</f>
        <v>0.0285206032285472</v>
      </c>
      <c r="S463" s="9" t="s">
        <v>151</v>
      </c>
      <c r="T463" s="11" t="s">
        <v>489</v>
      </c>
      <c r="U463" s="11" t="s">
        <v>490</v>
      </c>
      <c r="V463" s="11" t="s">
        <v>491</v>
      </c>
      <c r="W463" s="10"/>
      <c r="X463" s="12"/>
      <c r="Y463" s="9"/>
      <c r="Z463" s="11"/>
      <c r="AA463" s="11"/>
      <c r="AB463" s="11"/>
      <c r="AC463" s="9"/>
      <c r="AD463" s="10" t="n">
        <v>79392</v>
      </c>
      <c r="AE463" s="9" t="s">
        <v>151</v>
      </c>
      <c r="AF463" s="11" t="s">
        <v>494</v>
      </c>
      <c r="AG463" s="11" t="s">
        <v>495</v>
      </c>
      <c r="AH463" s="11" t="s">
        <v>498</v>
      </c>
      <c r="AI463" s="10"/>
      <c r="AJ463" s="9"/>
      <c r="AK463" s="11"/>
      <c r="AL463" s="11"/>
      <c r="AM463" s="11"/>
    </row>
    <row r="464" customFormat="false" ht="15" hidden="false" customHeight="false" outlineLevel="0" collapsed="false">
      <c r="A464" s="9" t="s">
        <v>480</v>
      </c>
      <c r="B464" s="9" t="s">
        <v>481</v>
      </c>
      <c r="C464" s="9" t="s">
        <v>482</v>
      </c>
      <c r="D464" s="9" t="s">
        <v>483</v>
      </c>
      <c r="E464" s="9" t="n">
        <v>1</v>
      </c>
      <c r="F464" s="9" t="n">
        <v>1</v>
      </c>
      <c r="G464" s="9" t="n">
        <v>2017</v>
      </c>
      <c r="H464" s="10" t="n">
        <v>23571227</v>
      </c>
      <c r="I464" s="13" t="s">
        <v>499</v>
      </c>
      <c r="J464" s="11" t="s">
        <v>500</v>
      </c>
      <c r="K464" s="10"/>
      <c r="L464" s="12"/>
      <c r="M464" s="9"/>
      <c r="N464" s="11"/>
      <c r="O464" s="11"/>
      <c r="P464" s="11"/>
      <c r="Q464" s="10" t="n">
        <v>717736</v>
      </c>
      <c r="R464" s="12" t="n">
        <f aca="false">IF(OR($H464="",Q464=""),"",Q464/$H464)</f>
        <v>0.0304496664513901</v>
      </c>
      <c r="S464" s="9" t="s">
        <v>151</v>
      </c>
      <c r="T464" s="11" t="s">
        <v>489</v>
      </c>
      <c r="U464" s="11" t="s">
        <v>490</v>
      </c>
      <c r="V464" s="11" t="s">
        <v>491</v>
      </c>
      <c r="W464" s="10"/>
      <c r="X464" s="12"/>
      <c r="Y464" s="9"/>
      <c r="Z464" s="11"/>
      <c r="AA464" s="11"/>
      <c r="AB464" s="11"/>
      <c r="AC464" s="9"/>
      <c r="AD464" s="10" t="n">
        <v>79909</v>
      </c>
      <c r="AE464" s="9" t="s">
        <v>151</v>
      </c>
      <c r="AF464" s="11" t="s">
        <v>494</v>
      </c>
      <c r="AG464" s="11" t="s">
        <v>495</v>
      </c>
      <c r="AH464" s="11" t="s">
        <v>501</v>
      </c>
      <c r="AI464" s="10"/>
      <c r="AJ464" s="9"/>
      <c r="AK464" s="11"/>
      <c r="AL464" s="11"/>
      <c r="AM464" s="11"/>
    </row>
    <row r="465" customFormat="false" ht="15" hidden="false" customHeight="false" outlineLevel="0" collapsed="false">
      <c r="A465" s="9" t="s">
        <v>480</v>
      </c>
      <c r="B465" s="9" t="s">
        <v>481</v>
      </c>
      <c r="C465" s="9" t="s">
        <v>482</v>
      </c>
      <c r="D465" s="9" t="s">
        <v>483</v>
      </c>
      <c r="E465" s="9" t="n">
        <v>1</v>
      </c>
      <c r="F465" s="9" t="n">
        <v>1</v>
      </c>
      <c r="G465" s="9" t="n">
        <v>2018</v>
      </c>
      <c r="H465" s="10" t="n">
        <v>23588932</v>
      </c>
      <c r="I465" s="13" t="s">
        <v>499</v>
      </c>
      <c r="J465" s="11" t="s">
        <v>500</v>
      </c>
      <c r="K465" s="10"/>
      <c r="L465" s="12"/>
      <c r="M465" s="9"/>
      <c r="N465" s="11"/>
      <c r="O465" s="11"/>
      <c r="P465" s="11"/>
      <c r="Q465" s="10" t="n">
        <v>758583</v>
      </c>
      <c r="R465" s="12" t="n">
        <f aca="false">IF(OR($H465="",Q465=""),"",Q465/$H465)</f>
        <v>0.0321584292158712</v>
      </c>
      <c r="S465" s="9" t="s">
        <v>151</v>
      </c>
      <c r="T465" s="11" t="s">
        <v>489</v>
      </c>
      <c r="U465" s="11" t="s">
        <v>490</v>
      </c>
      <c r="V465" s="11" t="s">
        <v>491</v>
      </c>
      <c r="W465" s="10"/>
      <c r="X465" s="12"/>
      <c r="Y465" s="9"/>
      <c r="Z465" s="11"/>
      <c r="AA465" s="11"/>
      <c r="AB465" s="11"/>
      <c r="AC465" s="9"/>
      <c r="AD465" s="10" t="n">
        <v>89965</v>
      </c>
      <c r="AE465" s="9" t="s">
        <v>151</v>
      </c>
      <c r="AF465" s="11" t="s">
        <v>494</v>
      </c>
      <c r="AG465" s="11" t="s">
        <v>495</v>
      </c>
      <c r="AH465" s="11" t="s">
        <v>502</v>
      </c>
      <c r="AI465" s="10"/>
      <c r="AJ465" s="9"/>
      <c r="AK465" s="11"/>
      <c r="AL465" s="11"/>
      <c r="AM465" s="11"/>
    </row>
    <row r="466" customFormat="false" ht="15" hidden="false" customHeight="false" outlineLevel="0" collapsed="false">
      <c r="A466" s="9" t="s">
        <v>480</v>
      </c>
      <c r="B466" s="9" t="s">
        <v>481</v>
      </c>
      <c r="C466" s="9" t="s">
        <v>482</v>
      </c>
      <c r="D466" s="9" t="s">
        <v>483</v>
      </c>
      <c r="E466" s="9" t="n">
        <v>1</v>
      </c>
      <c r="F466" s="9" t="n">
        <v>1</v>
      </c>
      <c r="G466" s="9" t="n">
        <v>2019</v>
      </c>
      <c r="H466" s="10" t="n">
        <v>23603121</v>
      </c>
      <c r="I466" s="13" t="s">
        <v>499</v>
      </c>
      <c r="J466" s="11" t="s">
        <v>500</v>
      </c>
      <c r="K466" s="10"/>
      <c r="L466" s="12"/>
      <c r="M466" s="9"/>
      <c r="N466" s="11"/>
      <c r="O466" s="11"/>
      <c r="P466" s="11"/>
      <c r="Q466" s="10" t="n">
        <v>785341</v>
      </c>
      <c r="R466" s="12" t="n">
        <f aca="false">IF(OR($H466="",Q466=""),"",Q466/$H466)</f>
        <v>0.033272760835315</v>
      </c>
      <c r="S466" s="9" t="s">
        <v>151</v>
      </c>
      <c r="T466" s="11" t="s">
        <v>489</v>
      </c>
      <c r="U466" s="11" t="s">
        <v>490</v>
      </c>
      <c r="V466" s="11" t="s">
        <v>491</v>
      </c>
      <c r="W466" s="10"/>
      <c r="X466" s="12"/>
      <c r="Y466" s="9"/>
      <c r="Z466" s="11"/>
      <c r="AA466" s="11"/>
      <c r="AB466" s="11"/>
      <c r="AC466" s="9"/>
      <c r="AD466" s="10" t="n">
        <v>47632</v>
      </c>
      <c r="AE466" s="9" t="s">
        <v>503</v>
      </c>
      <c r="AF466" s="11" t="s">
        <v>504</v>
      </c>
      <c r="AG466" s="11" t="s">
        <v>495</v>
      </c>
      <c r="AH466" s="11" t="s">
        <v>505</v>
      </c>
      <c r="AI466" s="10"/>
      <c r="AJ466" s="9"/>
      <c r="AK466" s="11"/>
      <c r="AL466" s="11"/>
      <c r="AM466" s="11"/>
    </row>
    <row r="467" customFormat="false" ht="15" hidden="false" customHeight="false" outlineLevel="0" collapsed="false">
      <c r="A467" s="9" t="s">
        <v>480</v>
      </c>
      <c r="B467" s="9" t="s">
        <v>481</v>
      </c>
      <c r="C467" s="9" t="s">
        <v>482</v>
      </c>
      <c r="D467" s="9" t="s">
        <v>483</v>
      </c>
      <c r="E467" s="9" t="n">
        <v>1</v>
      </c>
      <c r="F467" s="9" t="n">
        <v>1</v>
      </c>
      <c r="G467" s="9" t="n">
        <v>2020</v>
      </c>
      <c r="H467" s="10" t="n">
        <v>23561236</v>
      </c>
      <c r="I467" s="13" t="s">
        <v>499</v>
      </c>
      <c r="J467" s="11" t="s">
        <v>500</v>
      </c>
      <c r="K467" s="10"/>
      <c r="L467" s="12"/>
      <c r="M467" s="9"/>
      <c r="N467" s="11"/>
      <c r="O467" s="11"/>
      <c r="P467" s="11"/>
      <c r="Q467" s="10" t="n">
        <v>797122</v>
      </c>
      <c r="R467" s="12" t="n">
        <f aca="false">IF(OR($H467="",Q467=""),"",Q467/$H467)</f>
        <v>0.0338319263047151</v>
      </c>
      <c r="S467" s="9" t="s">
        <v>151</v>
      </c>
      <c r="T467" s="11" t="s">
        <v>489</v>
      </c>
      <c r="U467" s="11" t="s">
        <v>490</v>
      </c>
      <c r="V467" s="11" t="s">
        <v>491</v>
      </c>
      <c r="W467" s="10"/>
      <c r="X467" s="12"/>
      <c r="Y467" s="9"/>
      <c r="Z467" s="11"/>
      <c r="AA467" s="11"/>
      <c r="AB467" s="11"/>
      <c r="AC467" s="9"/>
      <c r="AD467" s="10" t="n">
        <v>52199</v>
      </c>
      <c r="AE467" s="9" t="s">
        <v>151</v>
      </c>
      <c r="AF467" s="11" t="s">
        <v>486</v>
      </c>
      <c r="AG467" s="11" t="s">
        <v>487</v>
      </c>
      <c r="AH467" s="11" t="s">
        <v>506</v>
      </c>
      <c r="AI467" s="10"/>
      <c r="AJ467" s="9"/>
      <c r="AK467" s="11"/>
      <c r="AL467" s="11"/>
      <c r="AM467" s="11"/>
    </row>
    <row r="468" customFormat="false" ht="15" hidden="false" customHeight="false" outlineLevel="0" collapsed="false">
      <c r="A468" s="9" t="s">
        <v>480</v>
      </c>
      <c r="B468" s="9" t="s">
        <v>481</v>
      </c>
      <c r="C468" s="9" t="s">
        <v>482</v>
      </c>
      <c r="D468" s="9" t="s">
        <v>483</v>
      </c>
      <c r="E468" s="9" t="n">
        <v>1</v>
      </c>
      <c r="F468" s="9" t="n">
        <v>1</v>
      </c>
      <c r="G468" s="9" t="n">
        <v>2021</v>
      </c>
      <c r="H468" s="10" t="n">
        <v>23375314</v>
      </c>
      <c r="I468" s="13" t="s">
        <v>499</v>
      </c>
      <c r="J468" s="11" t="s">
        <v>500</v>
      </c>
      <c r="K468" s="10"/>
      <c r="L468" s="12"/>
      <c r="M468" s="9"/>
      <c r="N468" s="11"/>
      <c r="O468" s="11"/>
      <c r="P468" s="11"/>
      <c r="Q468" s="10" t="n">
        <v>752900</v>
      </c>
      <c r="R468" s="12" t="n">
        <f aca="false">IF(OR($H468="",Q468=""),"",Q468/$H468)</f>
        <v>0.0322091929973647</v>
      </c>
      <c r="S468" s="9" t="s">
        <v>151</v>
      </c>
      <c r="T468" s="11" t="s">
        <v>489</v>
      </c>
      <c r="U468" s="11" t="s">
        <v>490</v>
      </c>
      <c r="V468" s="11" t="s">
        <v>491</v>
      </c>
      <c r="W468" s="10"/>
      <c r="X468" s="12"/>
      <c r="Y468" s="9"/>
      <c r="Z468" s="11"/>
      <c r="AA468" s="11"/>
      <c r="AB468" s="11"/>
      <c r="AC468" s="9"/>
      <c r="AD468" s="10" t="n">
        <v>55805</v>
      </c>
      <c r="AE468" s="9" t="s">
        <v>151</v>
      </c>
      <c r="AF468" s="11" t="s">
        <v>486</v>
      </c>
      <c r="AG468" s="11" t="s">
        <v>487</v>
      </c>
      <c r="AH468" s="11" t="s">
        <v>507</v>
      </c>
      <c r="AI468" s="10"/>
      <c r="AJ468" s="9"/>
      <c r="AK468" s="11"/>
      <c r="AL468" s="11"/>
      <c r="AM468" s="11"/>
    </row>
    <row r="469" customFormat="false" ht="15" hidden="false" customHeight="false" outlineLevel="0" collapsed="false">
      <c r="A469" s="9" t="s">
        <v>480</v>
      </c>
      <c r="B469" s="9" t="s">
        <v>481</v>
      </c>
      <c r="C469" s="9" t="s">
        <v>482</v>
      </c>
      <c r="D469" s="9" t="s">
        <v>483</v>
      </c>
      <c r="E469" s="9" t="n">
        <v>1</v>
      </c>
      <c r="F469" s="9" t="n">
        <v>1</v>
      </c>
      <c r="G469" s="9" t="n">
        <v>2022</v>
      </c>
      <c r="H469" s="10" t="n">
        <v>23264640</v>
      </c>
      <c r="I469" s="13" t="s">
        <v>499</v>
      </c>
      <c r="J469" s="11" t="s">
        <v>500</v>
      </c>
      <c r="K469" s="10"/>
      <c r="L469" s="12"/>
      <c r="M469" s="9"/>
      <c r="N469" s="11"/>
      <c r="O469" s="11"/>
      <c r="P469" s="11"/>
      <c r="Q469" s="10" t="n">
        <v>796696</v>
      </c>
      <c r="R469" s="12" t="n">
        <f aca="false">IF(OR($H469="",Q469=""),"",Q469/$H469)</f>
        <v>0.0342449313636489</v>
      </c>
      <c r="S469" s="9" t="s">
        <v>151</v>
      </c>
      <c r="T469" s="11" t="s">
        <v>489</v>
      </c>
      <c r="U469" s="11" t="s">
        <v>508</v>
      </c>
      <c r="V469" s="11" t="s">
        <v>491</v>
      </c>
      <c r="W469" s="10"/>
      <c r="X469" s="12"/>
      <c r="Y469" s="9"/>
      <c r="Z469" s="11"/>
      <c r="AA469" s="11"/>
      <c r="AB469" s="11"/>
      <c r="AC469" s="9"/>
      <c r="AD469" s="10" t="n">
        <v>80331</v>
      </c>
      <c r="AE469" s="9" t="s">
        <v>151</v>
      </c>
      <c r="AF469" s="11" t="s">
        <v>486</v>
      </c>
      <c r="AG469" s="11" t="s">
        <v>487</v>
      </c>
      <c r="AH469" s="11" t="s">
        <v>509</v>
      </c>
      <c r="AI469" s="10"/>
      <c r="AJ469" s="9"/>
      <c r="AK469" s="11"/>
      <c r="AL469" s="11"/>
      <c r="AM469" s="11"/>
    </row>
    <row r="470" customFormat="false" ht="15" hidden="false" customHeight="false" outlineLevel="0" collapsed="false">
      <c r="A470" s="9" t="s">
        <v>510</v>
      </c>
      <c r="B470" s="9" t="s">
        <v>511</v>
      </c>
      <c r="C470" s="9" t="s">
        <v>512</v>
      </c>
      <c r="D470" s="9" t="s">
        <v>513</v>
      </c>
      <c r="E470" s="9" t="n">
        <v>0</v>
      </c>
      <c r="F470" s="9" t="n">
        <v>1</v>
      </c>
      <c r="G470" s="9" t="n">
        <v>2010</v>
      </c>
      <c r="H470" s="10" t="n">
        <v>68579447</v>
      </c>
      <c r="I470" s="11" t="s">
        <v>98</v>
      </c>
      <c r="J470" s="11" t="s">
        <v>99</v>
      </c>
      <c r="K470" s="10" t="n">
        <v>2640454</v>
      </c>
      <c r="L470" s="12" t="n">
        <f aca="false">IF(OR($H470="",K470=""),"",K470/$H470)</f>
        <v>0.0385021185720556</v>
      </c>
      <c r="M470" s="9" t="s">
        <v>100</v>
      </c>
      <c r="N470" s="11" t="s">
        <v>167</v>
      </c>
      <c r="O470" s="11" t="s">
        <v>168</v>
      </c>
      <c r="P470" s="11" t="s">
        <v>174</v>
      </c>
      <c r="Q470" s="10"/>
      <c r="R470" s="12"/>
      <c r="S470" s="9"/>
      <c r="T470" s="11"/>
      <c r="U470" s="11"/>
      <c r="V470" s="11"/>
      <c r="W470" s="10"/>
      <c r="X470" s="12"/>
      <c r="Y470" s="9"/>
      <c r="Z470" s="11"/>
      <c r="AA470" s="11"/>
      <c r="AB470" s="11"/>
      <c r="AC470" s="9"/>
      <c r="AD470" s="10"/>
      <c r="AE470" s="9"/>
      <c r="AF470" s="11"/>
      <c r="AG470" s="11"/>
      <c r="AH470" s="11"/>
      <c r="AI470" s="10"/>
      <c r="AJ470" s="9"/>
      <c r="AK470" s="11"/>
      <c r="AL470" s="11"/>
      <c r="AM470" s="11"/>
    </row>
    <row r="471" customFormat="false" ht="15" hidden="false" customHeight="false" outlineLevel="0" collapsed="false">
      <c r="A471" s="9" t="s">
        <v>510</v>
      </c>
      <c r="B471" s="9" t="s">
        <v>511</v>
      </c>
      <c r="C471" s="9" t="s">
        <v>512</v>
      </c>
      <c r="D471" s="9" t="s">
        <v>513</v>
      </c>
      <c r="E471" s="9" t="n">
        <v>0</v>
      </c>
      <c r="F471" s="9" t="n">
        <v>1</v>
      </c>
      <c r="G471" s="9" t="n">
        <v>2011</v>
      </c>
      <c r="H471" s="10" t="n">
        <v>69007208</v>
      </c>
      <c r="I471" s="11" t="s">
        <v>98</v>
      </c>
      <c r="J471" s="11" t="s">
        <v>99</v>
      </c>
      <c r="K471" s="10"/>
      <c r="L471" s="12"/>
      <c r="M471" s="9"/>
      <c r="N471" s="11"/>
      <c r="O471" s="11"/>
      <c r="P471" s="11"/>
      <c r="Q471" s="10"/>
      <c r="R471" s="12"/>
      <c r="S471" s="9"/>
      <c r="T471" s="11"/>
      <c r="U471" s="11"/>
      <c r="V471" s="11"/>
      <c r="W471" s="10"/>
      <c r="X471" s="12"/>
      <c r="Y471" s="9"/>
      <c r="Z471" s="11"/>
      <c r="AA471" s="11"/>
      <c r="AB471" s="11"/>
      <c r="AC471" s="9"/>
      <c r="AD471" s="10"/>
      <c r="AE471" s="9"/>
      <c r="AF471" s="11"/>
      <c r="AG471" s="11"/>
      <c r="AH471" s="11"/>
      <c r="AI471" s="10"/>
      <c r="AJ471" s="9"/>
      <c r="AK471" s="11"/>
      <c r="AL471" s="11"/>
      <c r="AM471" s="11"/>
    </row>
    <row r="472" customFormat="false" ht="15" hidden="false" customHeight="false" outlineLevel="0" collapsed="false">
      <c r="A472" s="9" t="s">
        <v>510</v>
      </c>
      <c r="B472" s="9" t="s">
        <v>511</v>
      </c>
      <c r="C472" s="9" t="s">
        <v>512</v>
      </c>
      <c r="D472" s="9" t="s">
        <v>513</v>
      </c>
      <c r="E472" s="9" t="n">
        <v>0</v>
      </c>
      <c r="F472" s="9" t="n">
        <v>1</v>
      </c>
      <c r="G472" s="9" t="n">
        <v>2012</v>
      </c>
      <c r="H472" s="10" t="n">
        <v>69436098</v>
      </c>
      <c r="I472" s="11" t="s">
        <v>98</v>
      </c>
      <c r="J472" s="11" t="s">
        <v>99</v>
      </c>
      <c r="K472" s="10"/>
      <c r="L472" s="12"/>
      <c r="M472" s="9"/>
      <c r="N472" s="11"/>
      <c r="O472" s="11"/>
      <c r="P472" s="11"/>
      <c r="Q472" s="10"/>
      <c r="R472" s="12"/>
      <c r="S472" s="9"/>
      <c r="T472" s="11"/>
      <c r="U472" s="11"/>
      <c r="V472" s="11"/>
      <c r="W472" s="10"/>
      <c r="X472" s="12"/>
      <c r="Y472" s="9"/>
      <c r="Z472" s="11"/>
      <c r="AA472" s="11"/>
      <c r="AB472" s="11"/>
      <c r="AC472" s="9"/>
      <c r="AD472" s="10"/>
      <c r="AE472" s="9"/>
      <c r="AF472" s="11"/>
      <c r="AG472" s="11"/>
      <c r="AH472" s="11"/>
      <c r="AI472" s="10"/>
      <c r="AJ472" s="9"/>
      <c r="AK472" s="11"/>
      <c r="AL472" s="11"/>
      <c r="AM472" s="11"/>
    </row>
    <row r="473" customFormat="false" ht="15" hidden="false" customHeight="false" outlineLevel="0" collapsed="false">
      <c r="A473" s="9" t="s">
        <v>510</v>
      </c>
      <c r="B473" s="9" t="s">
        <v>511</v>
      </c>
      <c r="C473" s="9" t="s">
        <v>512</v>
      </c>
      <c r="D473" s="9" t="s">
        <v>513</v>
      </c>
      <c r="E473" s="9" t="n">
        <v>0</v>
      </c>
      <c r="F473" s="9" t="n">
        <v>1</v>
      </c>
      <c r="G473" s="9" t="n">
        <v>2013</v>
      </c>
      <c r="H473" s="10" t="n">
        <v>69845114</v>
      </c>
      <c r="I473" s="11" t="s">
        <v>98</v>
      </c>
      <c r="J473" s="11" t="s">
        <v>99</v>
      </c>
      <c r="K473" s="10"/>
      <c r="L473" s="12"/>
      <c r="M473" s="9"/>
      <c r="N473" s="11"/>
      <c r="O473" s="11"/>
      <c r="P473" s="11"/>
      <c r="Q473" s="10"/>
      <c r="R473" s="12"/>
      <c r="S473" s="9"/>
      <c r="T473" s="11"/>
      <c r="U473" s="11"/>
      <c r="V473" s="11"/>
      <c r="W473" s="10"/>
      <c r="X473" s="12"/>
      <c r="Y473" s="9"/>
      <c r="Z473" s="11"/>
      <c r="AA473" s="11"/>
      <c r="AB473" s="11"/>
      <c r="AC473" s="9"/>
      <c r="AD473" s="10"/>
      <c r="AE473" s="9"/>
      <c r="AF473" s="11"/>
      <c r="AG473" s="11"/>
      <c r="AH473" s="11"/>
      <c r="AI473" s="10"/>
      <c r="AJ473" s="9"/>
      <c r="AK473" s="11"/>
      <c r="AL473" s="11"/>
      <c r="AM473" s="11"/>
    </row>
    <row r="474" customFormat="false" ht="15" hidden="false" customHeight="false" outlineLevel="0" collapsed="false">
      <c r="A474" s="9" t="s">
        <v>510</v>
      </c>
      <c r="B474" s="9" t="s">
        <v>511</v>
      </c>
      <c r="C474" s="9" t="s">
        <v>512</v>
      </c>
      <c r="D474" s="9" t="s">
        <v>513</v>
      </c>
      <c r="E474" s="9" t="n">
        <v>0</v>
      </c>
      <c r="F474" s="9" t="n">
        <v>1</v>
      </c>
      <c r="G474" s="9" t="n">
        <v>2014</v>
      </c>
      <c r="H474" s="10" t="n">
        <v>70216367</v>
      </c>
      <c r="I474" s="11" t="s">
        <v>98</v>
      </c>
      <c r="J474" s="11" t="s">
        <v>99</v>
      </c>
      <c r="K474" s="10"/>
      <c r="L474" s="12"/>
      <c r="M474" s="9"/>
      <c r="N474" s="11"/>
      <c r="O474" s="11"/>
      <c r="P474" s="11"/>
      <c r="Q474" s="10"/>
      <c r="R474" s="12"/>
      <c r="S474" s="9"/>
      <c r="T474" s="11"/>
      <c r="U474" s="11"/>
      <c r="V474" s="11"/>
      <c r="W474" s="10"/>
      <c r="X474" s="12"/>
      <c r="Y474" s="9"/>
      <c r="Z474" s="11"/>
      <c r="AA474" s="11"/>
      <c r="AB474" s="11"/>
      <c r="AC474" s="9"/>
      <c r="AD474" s="10"/>
      <c r="AE474" s="9"/>
      <c r="AF474" s="11"/>
      <c r="AG474" s="11"/>
      <c r="AH474" s="11"/>
      <c r="AI474" s="10"/>
      <c r="AJ474" s="9"/>
      <c r="AK474" s="11"/>
      <c r="AL474" s="11"/>
      <c r="AM474" s="11"/>
    </row>
    <row r="475" customFormat="false" ht="15" hidden="false" customHeight="false" outlineLevel="0" collapsed="false">
      <c r="A475" s="9" t="s">
        <v>510</v>
      </c>
      <c r="B475" s="9" t="s">
        <v>511</v>
      </c>
      <c r="C475" s="9" t="s">
        <v>512</v>
      </c>
      <c r="D475" s="9" t="s">
        <v>513</v>
      </c>
      <c r="E475" s="9" t="n">
        <v>0</v>
      </c>
      <c r="F475" s="9" t="n">
        <v>1</v>
      </c>
      <c r="G475" s="9" t="n">
        <v>2015</v>
      </c>
      <c r="H475" s="10" t="n">
        <v>70540795</v>
      </c>
      <c r="I475" s="11" t="s">
        <v>98</v>
      </c>
      <c r="J475" s="11" t="s">
        <v>99</v>
      </c>
      <c r="K475" s="10" t="n">
        <v>2853248</v>
      </c>
      <c r="L475" s="12" t="n">
        <f aca="false">IF(OR($H475="",K475=""),"",K475/$H475)</f>
        <v>0.0404481973870581</v>
      </c>
      <c r="M475" s="9" t="s">
        <v>100</v>
      </c>
      <c r="N475" s="11" t="s">
        <v>167</v>
      </c>
      <c r="O475" s="11" t="s">
        <v>168</v>
      </c>
      <c r="P475" s="11" t="s">
        <v>174</v>
      </c>
      <c r="Q475" s="10"/>
      <c r="R475" s="12"/>
      <c r="S475" s="9"/>
      <c r="T475" s="11"/>
      <c r="U475" s="11"/>
      <c r="V475" s="11"/>
      <c r="W475" s="10"/>
      <c r="X475" s="12"/>
      <c r="Y475" s="9"/>
      <c r="Z475" s="11"/>
      <c r="AA475" s="11"/>
      <c r="AB475" s="11"/>
      <c r="AC475" s="9"/>
      <c r="AD475" s="10"/>
      <c r="AE475" s="9"/>
      <c r="AF475" s="11"/>
      <c r="AG475" s="11"/>
      <c r="AH475" s="11"/>
      <c r="AI475" s="10"/>
      <c r="AJ475" s="9"/>
      <c r="AK475" s="11"/>
      <c r="AL475" s="11"/>
      <c r="AM475" s="11"/>
    </row>
    <row r="476" customFormat="false" ht="15" hidden="false" customHeight="false" outlineLevel="0" collapsed="false">
      <c r="A476" s="9" t="s">
        <v>510</v>
      </c>
      <c r="B476" s="9" t="s">
        <v>511</v>
      </c>
      <c r="C476" s="9" t="s">
        <v>512</v>
      </c>
      <c r="D476" s="9" t="s">
        <v>513</v>
      </c>
      <c r="E476" s="9" t="n">
        <v>0</v>
      </c>
      <c r="F476" s="9" t="n">
        <v>1</v>
      </c>
      <c r="G476" s="9" t="n">
        <v>2016</v>
      </c>
      <c r="H476" s="10" t="n">
        <v>70859841</v>
      </c>
      <c r="I476" s="11" t="s">
        <v>98</v>
      </c>
      <c r="J476" s="11" t="s">
        <v>99</v>
      </c>
      <c r="K476" s="10"/>
      <c r="L476" s="12"/>
      <c r="M476" s="9"/>
      <c r="N476" s="11"/>
      <c r="O476" s="11"/>
      <c r="P476" s="11"/>
      <c r="Q476" s="10"/>
      <c r="R476" s="12"/>
      <c r="S476" s="9"/>
      <c r="T476" s="11"/>
      <c r="U476" s="11"/>
      <c r="V476" s="11"/>
      <c r="W476" s="10"/>
      <c r="X476" s="12"/>
      <c r="Y476" s="9"/>
      <c r="Z476" s="11"/>
      <c r="AA476" s="11"/>
      <c r="AB476" s="11"/>
      <c r="AC476" s="9"/>
      <c r="AD476" s="10"/>
      <c r="AE476" s="9"/>
      <c r="AF476" s="11"/>
      <c r="AG476" s="11"/>
      <c r="AH476" s="11"/>
      <c r="AI476" s="10"/>
      <c r="AJ476" s="9"/>
      <c r="AK476" s="11"/>
      <c r="AL476" s="11"/>
      <c r="AM476" s="11"/>
    </row>
    <row r="477" customFormat="false" ht="15" hidden="false" customHeight="false" outlineLevel="0" collapsed="false">
      <c r="A477" s="9" t="s">
        <v>510</v>
      </c>
      <c r="B477" s="9" t="s">
        <v>511</v>
      </c>
      <c r="C477" s="9" t="s">
        <v>512</v>
      </c>
      <c r="D477" s="9" t="s">
        <v>513</v>
      </c>
      <c r="E477" s="9" t="n">
        <v>0</v>
      </c>
      <c r="F477" s="9" t="n">
        <v>1</v>
      </c>
      <c r="G477" s="9" t="n">
        <v>2017</v>
      </c>
      <c r="H477" s="10" t="n">
        <v>71160187</v>
      </c>
      <c r="I477" s="11" t="s">
        <v>98</v>
      </c>
      <c r="J477" s="11" t="s">
        <v>99</v>
      </c>
      <c r="K477" s="10"/>
      <c r="L477" s="12"/>
      <c r="M477" s="9"/>
      <c r="N477" s="11"/>
      <c r="O477" s="11"/>
      <c r="P477" s="11"/>
      <c r="Q477" s="10"/>
      <c r="R477" s="12"/>
      <c r="S477" s="9"/>
      <c r="T477" s="11"/>
      <c r="U477" s="11"/>
      <c r="V477" s="11"/>
      <c r="W477" s="10"/>
      <c r="X477" s="12"/>
      <c r="Y477" s="9"/>
      <c r="Z477" s="11"/>
      <c r="AA477" s="11"/>
      <c r="AB477" s="11"/>
      <c r="AC477" s="9"/>
      <c r="AD477" s="10"/>
      <c r="AE477" s="9"/>
      <c r="AF477" s="11"/>
      <c r="AG477" s="11"/>
      <c r="AH477" s="11"/>
      <c r="AI477" s="10"/>
      <c r="AJ477" s="9"/>
      <c r="AK477" s="11"/>
      <c r="AL477" s="11"/>
      <c r="AM477" s="11"/>
    </row>
    <row r="478" customFormat="false" ht="15" hidden="false" customHeight="false" outlineLevel="0" collapsed="false">
      <c r="A478" s="9" t="s">
        <v>510</v>
      </c>
      <c r="B478" s="9" t="s">
        <v>511</v>
      </c>
      <c r="C478" s="9" t="s">
        <v>512</v>
      </c>
      <c r="D478" s="9" t="s">
        <v>513</v>
      </c>
      <c r="E478" s="9" t="n">
        <v>0</v>
      </c>
      <c r="F478" s="9" t="n">
        <v>1</v>
      </c>
      <c r="G478" s="9" t="n">
        <v>2018</v>
      </c>
      <c r="H478" s="10" t="n">
        <v>71376079</v>
      </c>
      <c r="I478" s="11" t="s">
        <v>98</v>
      </c>
      <c r="J478" s="11" t="s">
        <v>99</v>
      </c>
      <c r="K478" s="10"/>
      <c r="L478" s="12"/>
      <c r="M478" s="9"/>
      <c r="N478" s="11"/>
      <c r="O478" s="11"/>
      <c r="P478" s="11"/>
      <c r="Q478" s="10" t="n">
        <v>4898461</v>
      </c>
      <c r="R478" s="12" t="n">
        <f aca="false">IF(OR($H478="",Q478=""),"",Q478/$H478)</f>
        <v>0.0686288889587224</v>
      </c>
      <c r="S478" s="9" t="s">
        <v>126</v>
      </c>
      <c r="T478" s="11" t="s">
        <v>514</v>
      </c>
      <c r="U478" s="11" t="s">
        <v>515</v>
      </c>
      <c r="V478" s="11" t="s">
        <v>516</v>
      </c>
      <c r="W478" s="10"/>
      <c r="X478" s="12"/>
      <c r="Y478" s="9"/>
      <c r="Z478" s="11"/>
      <c r="AA478" s="11"/>
      <c r="AB478" s="11"/>
      <c r="AC478" s="9"/>
      <c r="AD478" s="10"/>
      <c r="AE478" s="9"/>
      <c r="AF478" s="11"/>
      <c r="AG478" s="11"/>
      <c r="AH478" s="11"/>
      <c r="AI478" s="10"/>
      <c r="AJ478" s="9"/>
      <c r="AK478" s="11"/>
      <c r="AL478" s="11"/>
      <c r="AM478" s="11"/>
    </row>
    <row r="479" customFormat="false" ht="15" hidden="false" customHeight="false" outlineLevel="0" collapsed="false">
      <c r="A479" s="9" t="s">
        <v>510</v>
      </c>
      <c r="B479" s="9" t="s">
        <v>511</v>
      </c>
      <c r="C479" s="9" t="s">
        <v>512</v>
      </c>
      <c r="D479" s="9" t="s">
        <v>513</v>
      </c>
      <c r="E479" s="9" t="n">
        <v>0</v>
      </c>
      <c r="F479" s="9" t="n">
        <v>1</v>
      </c>
      <c r="G479" s="9" t="n">
        <v>2019</v>
      </c>
      <c r="H479" s="10" t="n">
        <v>71522271</v>
      </c>
      <c r="I479" s="11" t="s">
        <v>98</v>
      </c>
      <c r="J479" s="11" t="s">
        <v>99</v>
      </c>
      <c r="K479" s="10"/>
      <c r="L479" s="12"/>
      <c r="M479" s="9"/>
      <c r="N479" s="11"/>
      <c r="O479" s="11"/>
      <c r="P479" s="11"/>
      <c r="Q479" s="10"/>
      <c r="R479" s="12"/>
      <c r="S479" s="9"/>
      <c r="T479" s="11"/>
      <c r="U479" s="11"/>
      <c r="V479" s="11"/>
      <c r="W479" s="10"/>
      <c r="X479" s="12"/>
      <c r="Y479" s="9"/>
      <c r="Z479" s="11"/>
      <c r="AA479" s="11"/>
      <c r="AB479" s="11"/>
      <c r="AC479" s="9"/>
      <c r="AD479" s="10"/>
      <c r="AE479" s="9"/>
      <c r="AF479" s="11"/>
      <c r="AG479" s="11"/>
      <c r="AH479" s="11"/>
      <c r="AI479" s="10"/>
      <c r="AJ479" s="9"/>
      <c r="AK479" s="11"/>
      <c r="AL479" s="11"/>
      <c r="AM479" s="11"/>
    </row>
    <row r="480" customFormat="false" ht="15" hidden="false" customHeight="false" outlineLevel="0" collapsed="false">
      <c r="A480" s="9" t="s">
        <v>510</v>
      </c>
      <c r="B480" s="9" t="s">
        <v>511</v>
      </c>
      <c r="C480" s="9" t="s">
        <v>512</v>
      </c>
      <c r="D480" s="9" t="s">
        <v>513</v>
      </c>
      <c r="E480" s="9" t="n">
        <v>0</v>
      </c>
      <c r="F480" s="9" t="n">
        <v>1</v>
      </c>
      <c r="G480" s="9" t="n">
        <v>2020</v>
      </c>
      <c r="H480" s="10" t="n">
        <v>71641484</v>
      </c>
      <c r="I480" s="11" t="s">
        <v>98</v>
      </c>
      <c r="J480" s="11" t="s">
        <v>99</v>
      </c>
      <c r="K480" s="10" t="n">
        <v>3015007</v>
      </c>
      <c r="L480" s="12" t="n">
        <f aca="false">IF(OR($H480="",K480=""),"",K480/$H480)</f>
        <v>0.0420846530761423</v>
      </c>
      <c r="M480" s="9" t="s">
        <v>100</v>
      </c>
      <c r="N480" s="11" t="s">
        <v>167</v>
      </c>
      <c r="O480" s="11" t="s">
        <v>168</v>
      </c>
      <c r="P480" s="11" t="s">
        <v>174</v>
      </c>
      <c r="Q480" s="10"/>
      <c r="R480" s="12"/>
      <c r="S480" s="9"/>
      <c r="T480" s="11"/>
      <c r="U480" s="11"/>
      <c r="V480" s="11"/>
      <c r="W480" s="10"/>
      <c r="X480" s="12"/>
      <c r="Y480" s="9"/>
      <c r="Z480" s="11"/>
      <c r="AA480" s="11"/>
      <c r="AB480" s="11"/>
      <c r="AC480" s="9"/>
      <c r="AD480" s="10"/>
      <c r="AE480" s="9"/>
      <c r="AF480" s="11"/>
      <c r="AG480" s="11"/>
      <c r="AH480" s="11"/>
      <c r="AI480" s="10"/>
      <c r="AJ480" s="9"/>
      <c r="AK480" s="11"/>
      <c r="AL480" s="11"/>
      <c r="AM480" s="11"/>
    </row>
    <row r="481" customFormat="false" ht="15" hidden="false" customHeight="false" outlineLevel="0" collapsed="false">
      <c r="A481" s="9" t="s">
        <v>510</v>
      </c>
      <c r="B481" s="9" t="s">
        <v>511</v>
      </c>
      <c r="C481" s="9" t="s">
        <v>512</v>
      </c>
      <c r="D481" s="9" t="s">
        <v>513</v>
      </c>
      <c r="E481" s="9" t="n">
        <v>0</v>
      </c>
      <c r="F481" s="9" t="n">
        <v>1</v>
      </c>
      <c r="G481" s="9" t="n">
        <v>2021</v>
      </c>
      <c r="H481" s="10" t="n">
        <v>71727332</v>
      </c>
      <c r="I481" s="11" t="s">
        <v>98</v>
      </c>
      <c r="J481" s="11" t="s">
        <v>99</v>
      </c>
      <c r="K481" s="10"/>
      <c r="L481" s="12"/>
      <c r="M481" s="9"/>
      <c r="N481" s="11"/>
      <c r="O481" s="11"/>
      <c r="P481" s="11"/>
      <c r="Q481" s="10"/>
      <c r="R481" s="12"/>
      <c r="S481" s="9"/>
      <c r="T481" s="11"/>
      <c r="U481" s="11"/>
      <c r="V481" s="11"/>
      <c r="W481" s="10"/>
      <c r="X481" s="12"/>
      <c r="Y481" s="9"/>
      <c r="Z481" s="11"/>
      <c r="AA481" s="11"/>
      <c r="AB481" s="11"/>
      <c r="AC481" s="9"/>
      <c r="AD481" s="10"/>
      <c r="AE481" s="9"/>
      <c r="AF481" s="11"/>
      <c r="AG481" s="11"/>
      <c r="AH481" s="11"/>
      <c r="AI481" s="10"/>
      <c r="AJ481" s="9"/>
      <c r="AK481" s="11"/>
      <c r="AL481" s="11"/>
      <c r="AM481" s="11"/>
    </row>
    <row r="482" customFormat="false" ht="15" hidden="false" customHeight="false" outlineLevel="0" collapsed="false">
      <c r="A482" s="9" t="s">
        <v>510</v>
      </c>
      <c r="B482" s="9" t="s">
        <v>511</v>
      </c>
      <c r="C482" s="9" t="s">
        <v>512</v>
      </c>
      <c r="D482" s="9" t="s">
        <v>513</v>
      </c>
      <c r="E482" s="9" t="n">
        <v>0</v>
      </c>
      <c r="F482" s="9" t="n">
        <v>1</v>
      </c>
      <c r="G482" s="9" t="n">
        <v>2022</v>
      </c>
      <c r="H482" s="10" t="n">
        <v>71735329</v>
      </c>
      <c r="I482" s="11" t="s">
        <v>98</v>
      </c>
      <c r="J482" s="11" t="s">
        <v>99</v>
      </c>
      <c r="K482" s="10"/>
      <c r="L482" s="12"/>
      <c r="M482" s="9"/>
      <c r="N482" s="11"/>
      <c r="O482" s="11"/>
      <c r="P482" s="11"/>
      <c r="Q482" s="10"/>
      <c r="R482" s="12"/>
      <c r="S482" s="9"/>
      <c r="T482" s="11"/>
      <c r="U482" s="11"/>
      <c r="V482" s="11"/>
      <c r="W482" s="10"/>
      <c r="X482" s="12"/>
      <c r="Y482" s="9"/>
      <c r="Z482" s="11"/>
      <c r="AA482" s="11"/>
      <c r="AB482" s="11"/>
      <c r="AC482" s="9"/>
      <c r="AD482" s="10"/>
      <c r="AE482" s="9"/>
      <c r="AF482" s="11"/>
      <c r="AG482" s="11"/>
      <c r="AH482" s="11"/>
      <c r="AI482" s="10"/>
      <c r="AJ482" s="9"/>
      <c r="AK482" s="11"/>
      <c r="AL482" s="11"/>
      <c r="AM482" s="11"/>
    </row>
    <row r="483" customFormat="false" ht="15" hidden="false" customHeight="false" outlineLevel="0" collapsed="false">
      <c r="A483" s="9" t="s">
        <v>517</v>
      </c>
      <c r="B483" s="9" t="s">
        <v>518</v>
      </c>
      <c r="C483" s="9" t="s">
        <v>519</v>
      </c>
      <c r="D483" s="9" t="s">
        <v>520</v>
      </c>
      <c r="E483" s="9" t="n">
        <v>1</v>
      </c>
      <c r="F483" s="9" t="n">
        <v>0</v>
      </c>
      <c r="G483" s="9" t="n">
        <v>2010</v>
      </c>
      <c r="H483" s="10" t="n">
        <v>73142150</v>
      </c>
      <c r="I483" s="11" t="s">
        <v>98</v>
      </c>
      <c r="J483" s="11" t="s">
        <v>99</v>
      </c>
      <c r="K483" s="10"/>
      <c r="L483" s="12"/>
      <c r="M483" s="9"/>
      <c r="N483" s="11"/>
      <c r="O483" s="11"/>
      <c r="P483" s="11"/>
      <c r="Q483" s="10" t="n">
        <v>167344</v>
      </c>
      <c r="R483" s="12" t="n">
        <f aca="false">IF(OR($H483="",Q483=""),"",Q483/$H483)</f>
        <v>0.00228792836961998</v>
      </c>
      <c r="S483" s="9" t="s">
        <v>151</v>
      </c>
      <c r="T483" s="11" t="s">
        <v>152</v>
      </c>
      <c r="U483" s="11" t="s">
        <v>521</v>
      </c>
      <c r="V483" s="11" t="s">
        <v>522</v>
      </c>
      <c r="W483" s="10"/>
      <c r="X483" s="12"/>
      <c r="Y483" s="9"/>
      <c r="Z483" s="11"/>
      <c r="AA483" s="11"/>
      <c r="AB483" s="11"/>
      <c r="AC483" s="9"/>
      <c r="AD483" s="10"/>
      <c r="AE483" s="9"/>
      <c r="AF483" s="11"/>
      <c r="AG483" s="11"/>
      <c r="AH483" s="11"/>
      <c r="AI483" s="10" t="n">
        <v>32667</v>
      </c>
      <c r="AJ483" s="9" t="s">
        <v>126</v>
      </c>
      <c r="AK483" s="11" t="s">
        <v>523</v>
      </c>
      <c r="AL483" s="11" t="s">
        <v>524</v>
      </c>
      <c r="AM483" s="11" t="s">
        <v>525</v>
      </c>
    </row>
    <row r="484" customFormat="false" ht="15" hidden="false" customHeight="false" outlineLevel="0" collapsed="false">
      <c r="A484" s="9" t="s">
        <v>517</v>
      </c>
      <c r="B484" s="9" t="s">
        <v>518</v>
      </c>
      <c r="C484" s="9" t="s">
        <v>519</v>
      </c>
      <c r="D484" s="9" t="s">
        <v>520</v>
      </c>
      <c r="E484" s="9" t="n">
        <v>1</v>
      </c>
      <c r="F484" s="9" t="n">
        <v>0</v>
      </c>
      <c r="G484" s="9" t="n">
        <v>2011</v>
      </c>
      <c r="H484" s="10" t="n">
        <v>74223629</v>
      </c>
      <c r="I484" s="11" t="s">
        <v>98</v>
      </c>
      <c r="J484" s="11" t="s">
        <v>99</v>
      </c>
      <c r="K484" s="10"/>
      <c r="L484" s="12"/>
      <c r="M484" s="9"/>
      <c r="N484" s="11"/>
      <c r="O484" s="11"/>
      <c r="P484" s="11"/>
      <c r="Q484" s="10" t="n">
        <v>190531</v>
      </c>
      <c r="R484" s="12" t="n">
        <f aca="false">IF(OR($H484="",Q484=""),"",Q484/$H484)</f>
        <v>0.00256698577753454</v>
      </c>
      <c r="S484" s="9" t="s">
        <v>151</v>
      </c>
      <c r="T484" s="11" t="s">
        <v>152</v>
      </c>
      <c r="U484" s="11" t="s">
        <v>521</v>
      </c>
      <c r="V484" s="11" t="s">
        <v>522</v>
      </c>
      <c r="W484" s="10"/>
      <c r="X484" s="12"/>
      <c r="Y484" s="9"/>
      <c r="Z484" s="11"/>
      <c r="AA484" s="11"/>
      <c r="AB484" s="11"/>
      <c r="AC484" s="9"/>
      <c r="AD484" s="10"/>
      <c r="AE484" s="9"/>
      <c r="AF484" s="11"/>
      <c r="AG484" s="11"/>
      <c r="AH484" s="11"/>
      <c r="AI484" s="10"/>
      <c r="AJ484" s="9"/>
      <c r="AK484" s="11"/>
      <c r="AL484" s="11"/>
      <c r="AM484" s="11"/>
    </row>
    <row r="485" customFormat="false" ht="15" hidden="false" customHeight="false" outlineLevel="0" collapsed="false">
      <c r="A485" s="9" t="s">
        <v>517</v>
      </c>
      <c r="B485" s="9" t="s">
        <v>518</v>
      </c>
      <c r="C485" s="9" t="s">
        <v>519</v>
      </c>
      <c r="D485" s="9" t="s">
        <v>520</v>
      </c>
      <c r="E485" s="9" t="n">
        <v>1</v>
      </c>
      <c r="F485" s="9" t="n">
        <v>0</v>
      </c>
      <c r="G485" s="9" t="n">
        <v>2012</v>
      </c>
      <c r="H485" s="10" t="n">
        <v>75175827</v>
      </c>
      <c r="I485" s="11" t="s">
        <v>98</v>
      </c>
      <c r="J485" s="11" t="s">
        <v>99</v>
      </c>
      <c r="K485" s="10"/>
      <c r="L485" s="12"/>
      <c r="M485" s="9"/>
      <c r="N485" s="11"/>
      <c r="O485" s="11"/>
      <c r="P485" s="11"/>
      <c r="Q485" s="10" t="n">
        <v>242128</v>
      </c>
      <c r="R485" s="12" t="n">
        <f aca="false">IF(OR($H485="",Q485=""),"",Q485/$H485)</f>
        <v>0.00322082256574311</v>
      </c>
      <c r="S485" s="9" t="s">
        <v>151</v>
      </c>
      <c r="T485" s="11" t="s">
        <v>152</v>
      </c>
      <c r="U485" s="11" t="s">
        <v>521</v>
      </c>
      <c r="V485" s="11" t="s">
        <v>522</v>
      </c>
      <c r="W485" s="10"/>
      <c r="X485" s="12"/>
      <c r="Y485" s="9"/>
      <c r="Z485" s="11"/>
      <c r="AA485" s="11"/>
      <c r="AB485" s="11"/>
      <c r="AC485" s="9"/>
      <c r="AD485" s="10"/>
      <c r="AE485" s="9"/>
      <c r="AF485" s="11"/>
      <c r="AG485" s="11"/>
      <c r="AH485" s="11"/>
      <c r="AI485" s="10"/>
      <c r="AJ485" s="9"/>
      <c r="AK485" s="11"/>
      <c r="AL485" s="11"/>
      <c r="AM485" s="11"/>
    </row>
    <row r="486" customFormat="false" ht="15" hidden="false" customHeight="false" outlineLevel="0" collapsed="false">
      <c r="A486" s="9" t="s">
        <v>517</v>
      </c>
      <c r="B486" s="9" t="s">
        <v>518</v>
      </c>
      <c r="C486" s="9" t="s">
        <v>519</v>
      </c>
      <c r="D486" s="9" t="s">
        <v>520</v>
      </c>
      <c r="E486" s="9" t="n">
        <v>1</v>
      </c>
      <c r="F486" s="9" t="n">
        <v>0</v>
      </c>
      <c r="G486" s="9" t="n">
        <v>2013</v>
      </c>
      <c r="H486" s="10" t="n">
        <v>76147624</v>
      </c>
      <c r="I486" s="11" t="s">
        <v>98</v>
      </c>
      <c r="J486" s="11" t="s">
        <v>99</v>
      </c>
      <c r="K486" s="10"/>
      <c r="L486" s="12"/>
      <c r="M486" s="9"/>
      <c r="N486" s="11"/>
      <c r="O486" s="11"/>
      <c r="P486" s="11"/>
      <c r="Q486" s="10" t="n">
        <v>278664</v>
      </c>
      <c r="R486" s="12" t="n">
        <f aca="false">IF(OR($H486="",Q486=""),"",Q486/$H486)</f>
        <v>0.00365952324395571</v>
      </c>
      <c r="S486" s="9" t="s">
        <v>151</v>
      </c>
      <c r="T486" s="11" t="s">
        <v>152</v>
      </c>
      <c r="U486" s="11" t="s">
        <v>521</v>
      </c>
      <c r="V486" s="11" t="s">
        <v>522</v>
      </c>
      <c r="W486" s="10"/>
      <c r="X486" s="12"/>
      <c r="Y486" s="9"/>
      <c r="Z486" s="11"/>
      <c r="AA486" s="11"/>
      <c r="AB486" s="11"/>
      <c r="AC486" s="9"/>
      <c r="AD486" s="10"/>
      <c r="AE486" s="9"/>
      <c r="AF486" s="11"/>
      <c r="AG486" s="11"/>
      <c r="AH486" s="11"/>
      <c r="AI486" s="10"/>
      <c r="AJ486" s="9"/>
      <c r="AK486" s="11"/>
      <c r="AL486" s="11"/>
      <c r="AM486" s="11"/>
    </row>
    <row r="487" customFormat="false" ht="15" hidden="false" customHeight="false" outlineLevel="0" collapsed="false">
      <c r="A487" s="9" t="s">
        <v>517</v>
      </c>
      <c r="B487" s="9" t="s">
        <v>518</v>
      </c>
      <c r="C487" s="9" t="s">
        <v>519</v>
      </c>
      <c r="D487" s="9" t="s">
        <v>520</v>
      </c>
      <c r="E487" s="9" t="n">
        <v>1</v>
      </c>
      <c r="F487" s="9" t="n">
        <v>0</v>
      </c>
      <c r="G487" s="9" t="n">
        <v>2014</v>
      </c>
      <c r="H487" s="10" t="n">
        <v>77181884</v>
      </c>
      <c r="I487" s="11" t="s">
        <v>98</v>
      </c>
      <c r="J487" s="11" t="s">
        <v>99</v>
      </c>
      <c r="K487" s="10" t="n">
        <v>1459775</v>
      </c>
      <c r="L487" s="12" t="n">
        <f aca="false">IF(OR($H487="",K487=""),"",K487/$H487)</f>
        <v>0.0189134408794686</v>
      </c>
      <c r="M487" s="9" t="s">
        <v>126</v>
      </c>
      <c r="N487" s="11" t="s">
        <v>101</v>
      </c>
      <c r="O487" s="11" t="s">
        <v>526</v>
      </c>
      <c r="P487" s="11" t="s">
        <v>527</v>
      </c>
      <c r="Q487" s="10" t="n">
        <v>456506</v>
      </c>
      <c r="R487" s="12" t="n">
        <f aca="false">IF(OR($H487="",Q487=""),"",Q487/$H487)</f>
        <v>0.00591467811280689</v>
      </c>
      <c r="S487" s="9" t="s">
        <v>151</v>
      </c>
      <c r="T487" s="11" t="s">
        <v>152</v>
      </c>
      <c r="U487" s="11" t="s">
        <v>521</v>
      </c>
      <c r="V487" s="11" t="s">
        <v>522</v>
      </c>
      <c r="W487" s="10"/>
      <c r="X487" s="12"/>
      <c r="Y487" s="9"/>
      <c r="Z487" s="11"/>
      <c r="AA487" s="11"/>
      <c r="AB487" s="11"/>
      <c r="AC487" s="9"/>
      <c r="AD487" s="10"/>
      <c r="AE487" s="9"/>
      <c r="AF487" s="11"/>
      <c r="AG487" s="11"/>
      <c r="AH487" s="11"/>
      <c r="AI487" s="10" t="n">
        <v>58647</v>
      </c>
      <c r="AJ487" s="9" t="s">
        <v>126</v>
      </c>
      <c r="AK487" s="11" t="s">
        <v>523</v>
      </c>
      <c r="AL487" s="11" t="s">
        <v>524</v>
      </c>
      <c r="AM487" s="11" t="s">
        <v>528</v>
      </c>
    </row>
    <row r="488" customFormat="false" ht="15" hidden="false" customHeight="false" outlineLevel="0" collapsed="false">
      <c r="A488" s="9" t="s">
        <v>517</v>
      </c>
      <c r="B488" s="9" t="s">
        <v>518</v>
      </c>
      <c r="C488" s="9" t="s">
        <v>519</v>
      </c>
      <c r="D488" s="9" t="s">
        <v>520</v>
      </c>
      <c r="E488" s="9" t="n">
        <v>1</v>
      </c>
      <c r="F488" s="9" t="n">
        <v>0</v>
      </c>
      <c r="G488" s="9" t="n">
        <v>2015</v>
      </c>
      <c r="H488" s="10" t="n">
        <v>78218479</v>
      </c>
      <c r="I488" s="11" t="s">
        <v>98</v>
      </c>
      <c r="J488" s="11" t="s">
        <v>99</v>
      </c>
      <c r="K488" s="10" t="n">
        <v>1592437</v>
      </c>
      <c r="L488" s="12" t="n">
        <f aca="false">IF(OR($H488="",K488=""),"",K488/$H488)</f>
        <v>0.0203588336203776</v>
      </c>
      <c r="M488" s="9" t="s">
        <v>126</v>
      </c>
      <c r="N488" s="11" t="s">
        <v>101</v>
      </c>
      <c r="O488" s="11" t="s">
        <v>526</v>
      </c>
      <c r="P488" s="11" t="s">
        <v>527</v>
      </c>
      <c r="Q488" s="10" t="n">
        <v>518279</v>
      </c>
      <c r="R488" s="12" t="n">
        <f aca="false">IF(OR($H488="",Q488=""),"",Q488/$H488)</f>
        <v>0.00662604293289825</v>
      </c>
      <c r="S488" s="9" t="s">
        <v>151</v>
      </c>
      <c r="T488" s="11" t="s">
        <v>152</v>
      </c>
      <c r="U488" s="11" t="s">
        <v>521</v>
      </c>
      <c r="V488" s="11" t="s">
        <v>522</v>
      </c>
      <c r="W488" s="10"/>
      <c r="X488" s="12"/>
      <c r="Y488" s="9"/>
      <c r="Z488" s="11"/>
      <c r="AA488" s="11"/>
      <c r="AB488" s="11"/>
      <c r="AC488" s="9"/>
      <c r="AD488" s="10"/>
      <c r="AE488" s="9"/>
      <c r="AF488" s="11"/>
      <c r="AG488" s="11"/>
      <c r="AH488" s="11"/>
      <c r="AI488" s="10" t="n">
        <v>146485</v>
      </c>
      <c r="AJ488" s="9" t="s">
        <v>126</v>
      </c>
      <c r="AK488" s="11" t="s">
        <v>523</v>
      </c>
      <c r="AL488" s="11" t="s">
        <v>524</v>
      </c>
      <c r="AM488" s="11" t="s">
        <v>529</v>
      </c>
    </row>
    <row r="489" customFormat="false" ht="15" hidden="false" customHeight="false" outlineLevel="0" collapsed="false">
      <c r="A489" s="9" t="s">
        <v>517</v>
      </c>
      <c r="B489" s="9" t="s">
        <v>518</v>
      </c>
      <c r="C489" s="9" t="s">
        <v>519</v>
      </c>
      <c r="D489" s="9" t="s">
        <v>520</v>
      </c>
      <c r="E489" s="9" t="n">
        <v>1</v>
      </c>
      <c r="F489" s="9" t="n">
        <v>0</v>
      </c>
      <c r="G489" s="9" t="n">
        <v>2016</v>
      </c>
      <c r="H489" s="10" t="n">
        <v>79277962</v>
      </c>
      <c r="I489" s="11" t="s">
        <v>98</v>
      </c>
      <c r="J489" s="11" t="s">
        <v>99</v>
      </c>
      <c r="K489" s="10" t="n">
        <v>1777290</v>
      </c>
      <c r="L489" s="12" t="n">
        <f aca="false">IF(OR($H489="",K489=""),"",K489/$H489)</f>
        <v>0.0224184622707632</v>
      </c>
      <c r="M489" s="9" t="s">
        <v>126</v>
      </c>
      <c r="N489" s="11" t="s">
        <v>101</v>
      </c>
      <c r="O489" s="11" t="s">
        <v>526</v>
      </c>
      <c r="P489" s="11" t="s">
        <v>527</v>
      </c>
      <c r="Q489" s="10" t="n">
        <v>650308</v>
      </c>
      <c r="R489" s="12" t="n">
        <f aca="false">IF(OR($H489="",Q489=""),"",Q489/$H489)</f>
        <v>0.00820288493288967</v>
      </c>
      <c r="S489" s="9" t="s">
        <v>151</v>
      </c>
      <c r="T489" s="11" t="s">
        <v>152</v>
      </c>
      <c r="U489" s="11" t="s">
        <v>521</v>
      </c>
      <c r="V489" s="11" t="s">
        <v>522</v>
      </c>
      <c r="W489" s="10"/>
      <c r="X489" s="12"/>
      <c r="Y489" s="9"/>
      <c r="Z489" s="11"/>
      <c r="AA489" s="11"/>
      <c r="AB489" s="11"/>
      <c r="AC489" s="9"/>
      <c r="AD489" s="10"/>
      <c r="AE489" s="9"/>
      <c r="AF489" s="11"/>
      <c r="AG489" s="11"/>
      <c r="AH489" s="11"/>
      <c r="AI489" s="10"/>
      <c r="AJ489" s="9"/>
      <c r="AK489" s="11"/>
      <c r="AL489" s="11"/>
      <c r="AM489" s="11"/>
    </row>
    <row r="490" customFormat="false" ht="15" hidden="false" customHeight="false" outlineLevel="0" collapsed="false">
      <c r="A490" s="9" t="s">
        <v>517</v>
      </c>
      <c r="B490" s="9" t="s">
        <v>518</v>
      </c>
      <c r="C490" s="9" t="s">
        <v>519</v>
      </c>
      <c r="D490" s="9" t="s">
        <v>520</v>
      </c>
      <c r="E490" s="9" t="n">
        <v>1</v>
      </c>
      <c r="F490" s="9" t="n">
        <v>0</v>
      </c>
      <c r="G490" s="9" t="n">
        <v>2017</v>
      </c>
      <c r="H490" s="10" t="n">
        <v>80312698</v>
      </c>
      <c r="I490" s="11" t="s">
        <v>98</v>
      </c>
      <c r="J490" s="11" t="s">
        <v>99</v>
      </c>
      <c r="K490" s="10" t="n">
        <v>1923894</v>
      </c>
      <c r="L490" s="12" t="n">
        <f aca="false">IF(OR($H490="",K490=""),"",K490/$H490)</f>
        <v>0.0239550413310732</v>
      </c>
      <c r="M490" s="9" t="s">
        <v>126</v>
      </c>
      <c r="N490" s="11" t="s">
        <v>101</v>
      </c>
      <c r="O490" s="11" t="s">
        <v>526</v>
      </c>
      <c r="P490" s="11" t="s">
        <v>527</v>
      </c>
      <c r="Q490" s="10" t="n">
        <v>816410</v>
      </c>
      <c r="R490" s="12" t="n">
        <f aca="false">IF(OR($H490="",Q490=""),"",Q490/$H490)</f>
        <v>0.0101653912809653</v>
      </c>
      <c r="S490" s="9" t="s">
        <v>151</v>
      </c>
      <c r="T490" s="11" t="s">
        <v>152</v>
      </c>
      <c r="U490" s="11" t="s">
        <v>521</v>
      </c>
      <c r="V490" s="11" t="s">
        <v>522</v>
      </c>
      <c r="W490" s="10"/>
      <c r="X490" s="12"/>
      <c r="Y490" s="9"/>
      <c r="Z490" s="11"/>
      <c r="AA490" s="11"/>
      <c r="AB490" s="11"/>
      <c r="AC490" s="9"/>
      <c r="AD490" s="10"/>
      <c r="AE490" s="9"/>
      <c r="AF490" s="11"/>
      <c r="AG490" s="11"/>
      <c r="AH490" s="11"/>
      <c r="AI490" s="10"/>
      <c r="AJ490" s="9"/>
      <c r="AK490" s="11"/>
      <c r="AL490" s="11"/>
      <c r="AM490" s="11"/>
    </row>
    <row r="491" customFormat="false" ht="15" hidden="false" customHeight="false" outlineLevel="0" collapsed="false">
      <c r="A491" s="9" t="s">
        <v>517</v>
      </c>
      <c r="B491" s="9" t="s">
        <v>518</v>
      </c>
      <c r="C491" s="9" t="s">
        <v>519</v>
      </c>
      <c r="D491" s="9" t="s">
        <v>520</v>
      </c>
      <c r="E491" s="9" t="n">
        <v>1</v>
      </c>
      <c r="F491" s="9" t="n">
        <v>0</v>
      </c>
      <c r="G491" s="9" t="n">
        <v>2018</v>
      </c>
      <c r="H491" s="10" t="n">
        <v>81407204</v>
      </c>
      <c r="I491" s="11" t="s">
        <v>98</v>
      </c>
      <c r="J491" s="11" t="s">
        <v>99</v>
      </c>
      <c r="K491" s="10" t="n">
        <v>2278490</v>
      </c>
      <c r="L491" s="12" t="n">
        <f aca="false">IF(OR($H491="",K491=""),"",K491/$H491)</f>
        <v>0.0279888005980404</v>
      </c>
      <c r="M491" s="9" t="s">
        <v>126</v>
      </c>
      <c r="N491" s="11" t="s">
        <v>101</v>
      </c>
      <c r="O491" s="11" t="s">
        <v>526</v>
      </c>
      <c r="P491" s="11" t="s">
        <v>527</v>
      </c>
      <c r="Q491" s="10" t="n">
        <v>919061</v>
      </c>
      <c r="R491" s="12" t="n">
        <f aca="false">IF(OR($H491="",Q491=""),"",Q491/$H491)</f>
        <v>0.0112896765254338</v>
      </c>
      <c r="S491" s="9" t="s">
        <v>151</v>
      </c>
      <c r="T491" s="11" t="s">
        <v>152</v>
      </c>
      <c r="U491" s="11" t="s">
        <v>521</v>
      </c>
      <c r="V491" s="11" t="s">
        <v>522</v>
      </c>
      <c r="W491" s="10"/>
      <c r="X491" s="12"/>
      <c r="Y491" s="9"/>
      <c r="Z491" s="11"/>
      <c r="AA491" s="11"/>
      <c r="AB491" s="11"/>
      <c r="AC491" s="9"/>
      <c r="AD491" s="10"/>
      <c r="AE491" s="9"/>
      <c r="AF491" s="11"/>
      <c r="AG491" s="11"/>
      <c r="AH491" s="11"/>
      <c r="AI491" s="10" t="n">
        <v>268003</v>
      </c>
      <c r="AJ491" s="9" t="s">
        <v>126</v>
      </c>
      <c r="AK491" s="11" t="s">
        <v>523</v>
      </c>
      <c r="AL491" s="11" t="s">
        <v>524</v>
      </c>
      <c r="AM491" s="11" t="s">
        <v>530</v>
      </c>
    </row>
    <row r="492" customFormat="false" ht="15" hidden="false" customHeight="false" outlineLevel="0" collapsed="false">
      <c r="A492" s="9" t="s">
        <v>517</v>
      </c>
      <c r="B492" s="9" t="s">
        <v>518</v>
      </c>
      <c r="C492" s="9" t="s">
        <v>519</v>
      </c>
      <c r="D492" s="9" t="s">
        <v>520</v>
      </c>
      <c r="E492" s="9" t="n">
        <v>1</v>
      </c>
      <c r="F492" s="9" t="n">
        <v>0</v>
      </c>
      <c r="G492" s="9" t="n">
        <v>2019</v>
      </c>
      <c r="H492" s="10" t="n">
        <v>82579440</v>
      </c>
      <c r="I492" s="11" t="s">
        <v>98</v>
      </c>
      <c r="J492" s="11" t="s">
        <v>99</v>
      </c>
      <c r="K492" s="10" t="n">
        <v>2668594</v>
      </c>
      <c r="L492" s="12" t="n">
        <f aca="false">IF(OR($H492="",K492=""),"",K492/$H492)</f>
        <v>0.0323154770727435</v>
      </c>
      <c r="M492" s="9" t="s">
        <v>126</v>
      </c>
      <c r="N492" s="11" t="s">
        <v>101</v>
      </c>
      <c r="O492" s="11" t="s">
        <v>526</v>
      </c>
      <c r="P492" s="11" t="s">
        <v>527</v>
      </c>
      <c r="Q492" s="10" t="n">
        <v>1211034</v>
      </c>
      <c r="R492" s="12" t="n">
        <f aca="false">IF(OR($H492="",Q492=""),"",Q492/$H492)</f>
        <v>0.0146650788622446</v>
      </c>
      <c r="S492" s="9" t="s">
        <v>151</v>
      </c>
      <c r="T492" s="11" t="s">
        <v>152</v>
      </c>
      <c r="U492" s="11" t="s">
        <v>521</v>
      </c>
      <c r="V492" s="11" t="s">
        <v>522</v>
      </c>
      <c r="W492" s="10"/>
      <c r="X492" s="12"/>
      <c r="Y492" s="9"/>
      <c r="Z492" s="11"/>
      <c r="AA492" s="11"/>
      <c r="AB492" s="11"/>
      <c r="AC492" s="9"/>
      <c r="AD492" s="10"/>
      <c r="AE492" s="9"/>
      <c r="AF492" s="11"/>
      <c r="AG492" s="11"/>
      <c r="AH492" s="11"/>
      <c r="AI492" s="10" t="n">
        <v>454662</v>
      </c>
      <c r="AJ492" s="9" t="s">
        <v>126</v>
      </c>
      <c r="AK492" s="11" t="s">
        <v>523</v>
      </c>
      <c r="AL492" s="11" t="s">
        <v>524</v>
      </c>
      <c r="AM492" s="11" t="s">
        <v>531</v>
      </c>
    </row>
    <row r="493" customFormat="false" ht="15" hidden="false" customHeight="false" outlineLevel="0" collapsed="false">
      <c r="A493" s="9" t="s">
        <v>517</v>
      </c>
      <c r="B493" s="9" t="s">
        <v>518</v>
      </c>
      <c r="C493" s="9" t="s">
        <v>519</v>
      </c>
      <c r="D493" s="9" t="s">
        <v>520</v>
      </c>
      <c r="E493" s="9" t="n">
        <v>1</v>
      </c>
      <c r="F493" s="9" t="n">
        <v>0</v>
      </c>
      <c r="G493" s="9" t="n">
        <v>2020</v>
      </c>
      <c r="H493" s="10" t="n">
        <v>83384680</v>
      </c>
      <c r="I493" s="11" t="s">
        <v>98</v>
      </c>
      <c r="J493" s="11" t="s">
        <v>99</v>
      </c>
      <c r="K493" s="10" t="n">
        <v>2609982</v>
      </c>
      <c r="L493" s="12" t="n">
        <f aca="false">IF(OR($H493="",K493=""),"",K493/$H493)</f>
        <v>0.031300497885223</v>
      </c>
      <c r="M493" s="9" t="s">
        <v>126</v>
      </c>
      <c r="N493" s="11" t="s">
        <v>101</v>
      </c>
      <c r="O493" s="11" t="s">
        <v>526</v>
      </c>
      <c r="P493" s="11" t="s">
        <v>527</v>
      </c>
      <c r="Q493" s="10" t="n">
        <v>1531180</v>
      </c>
      <c r="R493" s="12" t="n">
        <f aca="false">IF(OR($H493="",Q493=""),"",Q493/$H493)</f>
        <v>0.0183628455490865</v>
      </c>
      <c r="S493" s="9" t="s">
        <v>151</v>
      </c>
      <c r="T493" s="11" t="s">
        <v>152</v>
      </c>
      <c r="U493" s="11" t="s">
        <v>521</v>
      </c>
      <c r="V493" s="11" t="s">
        <v>522</v>
      </c>
      <c r="W493" s="10"/>
      <c r="X493" s="12"/>
      <c r="Y493" s="9"/>
      <c r="Z493" s="11"/>
      <c r="AA493" s="11"/>
      <c r="AB493" s="11"/>
      <c r="AC493" s="9"/>
      <c r="AD493" s="10"/>
      <c r="AE493" s="9"/>
      <c r="AF493" s="11"/>
      <c r="AG493" s="11"/>
      <c r="AH493" s="11"/>
      <c r="AI493" s="10" t="n">
        <v>122302</v>
      </c>
      <c r="AJ493" s="9" t="s">
        <v>126</v>
      </c>
      <c r="AK493" s="11" t="s">
        <v>523</v>
      </c>
      <c r="AL493" s="11" t="s">
        <v>524</v>
      </c>
      <c r="AM493" s="11" t="s">
        <v>532</v>
      </c>
    </row>
    <row r="494" customFormat="false" ht="15" hidden="false" customHeight="false" outlineLevel="0" collapsed="false">
      <c r="A494" s="9" t="s">
        <v>517</v>
      </c>
      <c r="B494" s="9" t="s">
        <v>518</v>
      </c>
      <c r="C494" s="9" t="s">
        <v>519</v>
      </c>
      <c r="D494" s="9" t="s">
        <v>520</v>
      </c>
      <c r="E494" s="9" t="n">
        <v>1</v>
      </c>
      <c r="F494" s="9" t="n">
        <v>0</v>
      </c>
      <c r="G494" s="9" t="n">
        <v>2021</v>
      </c>
      <c r="H494" s="10" t="n">
        <v>84147318</v>
      </c>
      <c r="I494" s="11" t="s">
        <v>98</v>
      </c>
      <c r="J494" s="11" t="s">
        <v>99</v>
      </c>
      <c r="K494" s="10" t="n">
        <v>3141351</v>
      </c>
      <c r="L494" s="12" t="n">
        <f aca="false">IF(OR($H494="",K494=""),"",K494/$H494)</f>
        <v>0.0373315641503868</v>
      </c>
      <c r="M494" s="9" t="s">
        <v>126</v>
      </c>
      <c r="N494" s="11" t="s">
        <v>101</v>
      </c>
      <c r="O494" s="11" t="s">
        <v>526</v>
      </c>
      <c r="P494" s="11" t="s">
        <v>527</v>
      </c>
      <c r="Q494" s="10" t="n">
        <v>1792036</v>
      </c>
      <c r="R494" s="12" t="n">
        <f aca="false">IF(OR($H494="",Q494=""),"",Q494/$H494)</f>
        <v>0.0212964125606475</v>
      </c>
      <c r="S494" s="9" t="s">
        <v>151</v>
      </c>
      <c r="T494" s="11" t="s">
        <v>152</v>
      </c>
      <c r="U494" s="11" t="s">
        <v>521</v>
      </c>
      <c r="V494" s="11" t="s">
        <v>522</v>
      </c>
      <c r="W494" s="10"/>
      <c r="X494" s="12"/>
      <c r="Y494" s="9"/>
      <c r="Z494" s="11"/>
      <c r="AA494" s="11"/>
      <c r="AB494" s="11"/>
      <c r="AC494" s="9"/>
      <c r="AD494" s="10"/>
      <c r="AE494" s="9"/>
      <c r="AF494" s="11"/>
      <c r="AG494" s="11"/>
      <c r="AH494" s="11"/>
      <c r="AI494" s="10" t="n">
        <v>162996</v>
      </c>
      <c r="AJ494" s="9" t="s">
        <v>126</v>
      </c>
      <c r="AK494" s="11" t="s">
        <v>533</v>
      </c>
      <c r="AL494" s="11" t="s">
        <v>534</v>
      </c>
      <c r="AM494" s="11" t="s">
        <v>535</v>
      </c>
    </row>
    <row r="495" customFormat="false" ht="15" hidden="false" customHeight="false" outlineLevel="0" collapsed="false">
      <c r="A495" s="9" t="s">
        <v>517</v>
      </c>
      <c r="B495" s="9" t="s">
        <v>518</v>
      </c>
      <c r="C495" s="9" t="s">
        <v>519</v>
      </c>
      <c r="D495" s="9" t="s">
        <v>520</v>
      </c>
      <c r="E495" s="9" t="n">
        <v>1</v>
      </c>
      <c r="F495" s="9" t="n">
        <v>0</v>
      </c>
      <c r="G495" s="9" t="n">
        <v>2022</v>
      </c>
      <c r="H495" s="10" t="n">
        <v>84979913</v>
      </c>
      <c r="I495" s="11" t="s">
        <v>98</v>
      </c>
      <c r="J495" s="11" t="s">
        <v>99</v>
      </c>
      <c r="K495" s="10" t="n">
        <v>3242683</v>
      </c>
      <c r="L495" s="12" t="n">
        <f aca="false">IF(OR($H495="",K495=""),"",K495/$H495)</f>
        <v>0.0381582292276529</v>
      </c>
      <c r="M495" s="9" t="s">
        <v>126</v>
      </c>
      <c r="N495" s="11" t="s">
        <v>101</v>
      </c>
      <c r="O495" s="11" t="s">
        <v>526</v>
      </c>
      <c r="P495" s="11" t="s">
        <v>527</v>
      </c>
      <c r="Q495" s="10" t="n">
        <v>1823836</v>
      </c>
      <c r="R495" s="12" t="n">
        <f aca="false">IF(OR($H495="",Q495=""),"",Q495/$H495)</f>
        <v>0.0214619659589437</v>
      </c>
      <c r="S495" s="9" t="s">
        <v>151</v>
      </c>
      <c r="T495" s="11" t="s">
        <v>152</v>
      </c>
      <c r="U495" s="11" t="s">
        <v>521</v>
      </c>
      <c r="V495" s="11" t="s">
        <v>522</v>
      </c>
      <c r="W495" s="10"/>
      <c r="X495" s="12"/>
      <c r="Y495" s="9"/>
      <c r="Z495" s="11"/>
      <c r="AA495" s="11"/>
      <c r="AB495" s="11"/>
      <c r="AC495" s="9"/>
      <c r="AD495" s="10"/>
      <c r="AE495" s="9"/>
      <c r="AF495" s="11"/>
      <c r="AG495" s="11"/>
      <c r="AH495" s="11"/>
      <c r="AI495" s="10" t="n">
        <v>285027</v>
      </c>
      <c r="AJ495" s="9" t="s">
        <v>126</v>
      </c>
      <c r="AK495" s="11" t="s">
        <v>523</v>
      </c>
      <c r="AL495" s="11" t="s">
        <v>524</v>
      </c>
      <c r="AM495" s="11" t="s">
        <v>536</v>
      </c>
    </row>
    <row r="496" customFormat="false" ht="15" hidden="false" customHeight="false" outlineLevel="0" collapsed="false">
      <c r="A496" s="9" t="s">
        <v>537</v>
      </c>
      <c r="B496" s="9" t="s">
        <v>538</v>
      </c>
      <c r="C496" s="9" t="s">
        <v>539</v>
      </c>
      <c r="D496" s="9" t="s">
        <v>540</v>
      </c>
      <c r="E496" s="9" t="n">
        <v>1</v>
      </c>
      <c r="F496" s="9" t="n">
        <v>0</v>
      </c>
      <c r="G496" s="9" t="n">
        <v>2010</v>
      </c>
      <c r="H496" s="10" t="n">
        <v>62766365</v>
      </c>
      <c r="I496" s="11" t="s">
        <v>98</v>
      </c>
      <c r="J496" s="11" t="s">
        <v>99</v>
      </c>
      <c r="K496" s="10" t="n">
        <v>7119664</v>
      </c>
      <c r="L496" s="12" t="n">
        <f aca="false">IF(OR($H496="",K496=""),"",K496/$H496)</f>
        <v>0.11343119838149</v>
      </c>
      <c r="M496" s="9" t="s">
        <v>115</v>
      </c>
      <c r="N496" s="11" t="s">
        <v>116</v>
      </c>
      <c r="O496" s="11" t="s">
        <v>541</v>
      </c>
      <c r="P496" s="11" t="s">
        <v>542</v>
      </c>
      <c r="Q496" s="10" t="n">
        <v>4435587</v>
      </c>
      <c r="R496" s="12" t="n">
        <f aca="false">IF(OR($H496="",Q496=""),"",Q496/$H496)</f>
        <v>0.0706682153729948</v>
      </c>
      <c r="S496" s="9" t="s">
        <v>115</v>
      </c>
      <c r="T496" s="11" t="s">
        <v>119</v>
      </c>
      <c r="U496" s="11" t="s">
        <v>543</v>
      </c>
      <c r="V496" s="11" t="s">
        <v>544</v>
      </c>
      <c r="W496" s="10"/>
      <c r="X496" s="12"/>
      <c r="Y496" s="9"/>
      <c r="Z496" s="11"/>
      <c r="AA496" s="11"/>
      <c r="AB496" s="11"/>
      <c r="AC496" s="9"/>
      <c r="AD496" s="10"/>
      <c r="AE496" s="9"/>
      <c r="AF496" s="11"/>
      <c r="AG496" s="11"/>
      <c r="AH496" s="11"/>
      <c r="AI496" s="10" t="n">
        <v>53700</v>
      </c>
      <c r="AJ496" s="9" t="s">
        <v>122</v>
      </c>
      <c r="AK496" s="11" t="s">
        <v>123</v>
      </c>
      <c r="AL496" s="11" t="s">
        <v>124</v>
      </c>
      <c r="AM496" s="11" t="s">
        <v>545</v>
      </c>
    </row>
    <row r="497" customFormat="false" ht="15" hidden="false" customHeight="false" outlineLevel="0" collapsed="false">
      <c r="A497" s="9" t="s">
        <v>537</v>
      </c>
      <c r="B497" s="9" t="s">
        <v>538</v>
      </c>
      <c r="C497" s="9" t="s">
        <v>539</v>
      </c>
      <c r="D497" s="9" t="s">
        <v>540</v>
      </c>
      <c r="E497" s="9" t="n">
        <v>1</v>
      </c>
      <c r="F497" s="9" t="n">
        <v>0</v>
      </c>
      <c r="G497" s="9" t="n">
        <v>2011</v>
      </c>
      <c r="H497" s="10" t="n">
        <v>63258810</v>
      </c>
      <c r="I497" s="11" t="s">
        <v>98</v>
      </c>
      <c r="J497" s="11" t="s">
        <v>99</v>
      </c>
      <c r="K497" s="10" t="n">
        <v>7342547</v>
      </c>
      <c r="L497" s="12" t="n">
        <f aca="false">IF(OR($H497="",K497=""),"",K497/$H497)</f>
        <v>0.116071532170776</v>
      </c>
      <c r="M497" s="9" t="s">
        <v>115</v>
      </c>
      <c r="N497" s="11" t="s">
        <v>116</v>
      </c>
      <c r="O497" s="11" t="s">
        <v>541</v>
      </c>
      <c r="P497" s="11" t="s">
        <v>542</v>
      </c>
      <c r="Q497" s="10" t="n">
        <v>4546862</v>
      </c>
      <c r="R497" s="12" t="n">
        <f aca="false">IF(OR($H497="",Q497=""),"",Q497/$H497)</f>
        <v>0.0718771345840998</v>
      </c>
      <c r="S497" s="9" t="s">
        <v>115</v>
      </c>
      <c r="T497" s="11" t="s">
        <v>119</v>
      </c>
      <c r="U497" s="11" t="s">
        <v>543</v>
      </c>
      <c r="V497" s="11" t="s">
        <v>544</v>
      </c>
      <c r="W497" s="10"/>
      <c r="X497" s="12"/>
      <c r="Y497" s="9"/>
      <c r="Z497" s="11"/>
      <c r="AA497" s="11"/>
      <c r="AB497" s="11"/>
      <c r="AC497" s="9"/>
      <c r="AD497" s="10"/>
      <c r="AE497" s="9"/>
      <c r="AF497" s="11"/>
      <c r="AG497" s="11"/>
      <c r="AH497" s="11"/>
      <c r="AI497" s="10" t="n">
        <v>54150</v>
      </c>
      <c r="AJ497" s="9" t="s">
        <v>122</v>
      </c>
      <c r="AK497" s="11" t="s">
        <v>123</v>
      </c>
      <c r="AL497" s="11" t="s">
        <v>124</v>
      </c>
      <c r="AM497" s="11" t="s">
        <v>545</v>
      </c>
    </row>
    <row r="498" customFormat="false" ht="15" hidden="false" customHeight="false" outlineLevel="0" collapsed="false">
      <c r="A498" s="9" t="s">
        <v>537</v>
      </c>
      <c r="B498" s="9" t="s">
        <v>538</v>
      </c>
      <c r="C498" s="9" t="s">
        <v>539</v>
      </c>
      <c r="D498" s="9" t="s">
        <v>540</v>
      </c>
      <c r="E498" s="9" t="n">
        <v>1</v>
      </c>
      <c r="F498" s="9" t="n">
        <v>0</v>
      </c>
      <c r="G498" s="9" t="n">
        <v>2012</v>
      </c>
      <c r="H498" s="10" t="n">
        <v>63711000</v>
      </c>
      <c r="I498" s="11" t="s">
        <v>98</v>
      </c>
      <c r="J498" s="11" t="s">
        <v>99</v>
      </c>
      <c r="K498" s="10" t="n">
        <v>7762334</v>
      </c>
      <c r="L498" s="12" t="n">
        <f aca="false">IF(OR($H498="",K498=""),"",K498/$H498)</f>
        <v>0.121836637315377</v>
      </c>
      <c r="M498" s="9" t="s">
        <v>115</v>
      </c>
      <c r="N498" s="11" t="s">
        <v>116</v>
      </c>
      <c r="O498" s="11" t="s">
        <v>541</v>
      </c>
      <c r="P498" s="11" t="s">
        <v>542</v>
      </c>
      <c r="Q498" s="10" t="n">
        <v>4884405</v>
      </c>
      <c r="R498" s="12" t="n">
        <f aca="false">IF(OR($H498="",Q498=""),"",Q498/$H498)</f>
        <v>0.0766650185996139</v>
      </c>
      <c r="S498" s="9" t="s">
        <v>115</v>
      </c>
      <c r="T498" s="11" t="s">
        <v>119</v>
      </c>
      <c r="U498" s="11" t="s">
        <v>543</v>
      </c>
      <c r="V498" s="11" t="s">
        <v>544</v>
      </c>
      <c r="W498" s="10"/>
      <c r="X498" s="12"/>
      <c r="Y498" s="9"/>
      <c r="Z498" s="11"/>
      <c r="AA498" s="11"/>
      <c r="AB498" s="11"/>
      <c r="AC498" s="9"/>
      <c r="AD498" s="10"/>
      <c r="AE498" s="9"/>
      <c r="AF498" s="11"/>
      <c r="AG498" s="11"/>
      <c r="AH498" s="11"/>
      <c r="AI498" s="10" t="n">
        <v>49365</v>
      </c>
      <c r="AJ498" s="9" t="s">
        <v>122</v>
      </c>
      <c r="AK498" s="11" t="s">
        <v>123</v>
      </c>
      <c r="AL498" s="11" t="s">
        <v>124</v>
      </c>
      <c r="AM498" s="11" t="s">
        <v>545</v>
      </c>
    </row>
    <row r="499" customFormat="false" ht="15" hidden="false" customHeight="false" outlineLevel="0" collapsed="false">
      <c r="A499" s="9" t="s">
        <v>537</v>
      </c>
      <c r="B499" s="9" t="s">
        <v>538</v>
      </c>
      <c r="C499" s="9" t="s">
        <v>539</v>
      </c>
      <c r="D499" s="9" t="s">
        <v>540</v>
      </c>
      <c r="E499" s="9" t="n">
        <v>1</v>
      </c>
      <c r="F499" s="9" t="n">
        <v>0</v>
      </c>
      <c r="G499" s="9" t="n">
        <v>2013</v>
      </c>
      <c r="H499" s="10" t="n">
        <v>64138000</v>
      </c>
      <c r="I499" s="11" t="s">
        <v>98</v>
      </c>
      <c r="J499" s="11" t="s">
        <v>99</v>
      </c>
      <c r="K499" s="10" t="n">
        <v>7923428</v>
      </c>
      <c r="L499" s="12" t="n">
        <f aca="false">IF(OR($H499="",K499=""),"",K499/$H499)</f>
        <v>0.123537185443887</v>
      </c>
      <c r="M499" s="9" t="s">
        <v>115</v>
      </c>
      <c r="N499" s="11" t="s">
        <v>116</v>
      </c>
      <c r="O499" s="11" t="s">
        <v>541</v>
      </c>
      <c r="P499" s="11" t="s">
        <v>542</v>
      </c>
      <c r="Q499" s="10" t="n">
        <v>4978600</v>
      </c>
      <c r="R499" s="12" t="n">
        <f aca="false">IF(OR($H499="",Q499=""),"",Q499/$H499)</f>
        <v>0.0776232498674733</v>
      </c>
      <c r="S499" s="9" t="s">
        <v>115</v>
      </c>
      <c r="T499" s="11" t="s">
        <v>119</v>
      </c>
      <c r="U499" s="11" t="s">
        <v>543</v>
      </c>
      <c r="V499" s="11" t="s">
        <v>544</v>
      </c>
      <c r="W499" s="10"/>
      <c r="X499" s="12"/>
      <c r="Y499" s="9"/>
      <c r="Z499" s="11"/>
      <c r="AA499" s="11"/>
      <c r="AB499" s="11"/>
      <c r="AC499" s="9"/>
      <c r="AD499" s="10"/>
      <c r="AE499" s="9"/>
      <c r="AF499" s="11"/>
      <c r="AG499" s="11"/>
      <c r="AH499" s="11"/>
      <c r="AI499" s="10" t="n">
        <v>57415</v>
      </c>
      <c r="AJ499" s="9" t="s">
        <v>122</v>
      </c>
      <c r="AK499" s="11" t="s">
        <v>123</v>
      </c>
      <c r="AL499" s="11" t="s">
        <v>124</v>
      </c>
      <c r="AM499" s="11" t="s">
        <v>545</v>
      </c>
    </row>
    <row r="500" customFormat="false" ht="15" hidden="false" customHeight="false" outlineLevel="0" collapsed="false">
      <c r="A500" s="9" t="s">
        <v>537</v>
      </c>
      <c r="B500" s="9" t="s">
        <v>538</v>
      </c>
      <c r="C500" s="9" t="s">
        <v>539</v>
      </c>
      <c r="D500" s="9" t="s">
        <v>540</v>
      </c>
      <c r="E500" s="9" t="n">
        <v>1</v>
      </c>
      <c r="F500" s="9" t="n">
        <v>0</v>
      </c>
      <c r="G500" s="9" t="n">
        <v>2014</v>
      </c>
      <c r="H500" s="10" t="n">
        <v>64619000</v>
      </c>
      <c r="I500" s="11" t="s">
        <v>98</v>
      </c>
      <c r="J500" s="11" t="s">
        <v>99</v>
      </c>
      <c r="K500" s="10" t="n">
        <v>8039324</v>
      </c>
      <c r="L500" s="12" t="n">
        <f aca="false">IF(OR($H500="",K500=""),"",K500/$H500)</f>
        <v>0.124411148423838</v>
      </c>
      <c r="M500" s="9" t="s">
        <v>115</v>
      </c>
      <c r="N500" s="11" t="s">
        <v>116</v>
      </c>
      <c r="O500" s="11" t="s">
        <v>541</v>
      </c>
      <c r="P500" s="11" t="s">
        <v>542</v>
      </c>
      <c r="Q500" s="10" t="n">
        <v>5049401</v>
      </c>
      <c r="R500" s="12" t="n">
        <f aca="false">IF(OR($H500="",Q500=""),"",Q500/$H500)</f>
        <v>0.0781411194849812</v>
      </c>
      <c r="S500" s="9" t="s">
        <v>115</v>
      </c>
      <c r="T500" s="11" t="s">
        <v>119</v>
      </c>
      <c r="U500" s="11" t="s">
        <v>543</v>
      </c>
      <c r="V500" s="11" t="s">
        <v>544</v>
      </c>
      <c r="W500" s="10"/>
      <c r="X500" s="12"/>
      <c r="Y500" s="9"/>
      <c r="Z500" s="11"/>
      <c r="AA500" s="11"/>
      <c r="AB500" s="11"/>
      <c r="AC500" s="9"/>
      <c r="AD500" s="10"/>
      <c r="AE500" s="9"/>
      <c r="AF500" s="11"/>
      <c r="AG500" s="11"/>
      <c r="AH500" s="11"/>
      <c r="AI500" s="10" t="n">
        <v>65365</v>
      </c>
      <c r="AJ500" s="9" t="s">
        <v>122</v>
      </c>
      <c r="AK500" s="11" t="s">
        <v>123</v>
      </c>
      <c r="AL500" s="11" t="s">
        <v>124</v>
      </c>
      <c r="AM500" s="11" t="s">
        <v>545</v>
      </c>
    </row>
    <row r="501" customFormat="false" ht="15" hidden="false" customHeight="false" outlineLevel="0" collapsed="false">
      <c r="A501" s="9" t="s">
        <v>537</v>
      </c>
      <c r="B501" s="9" t="s">
        <v>538</v>
      </c>
      <c r="C501" s="9" t="s">
        <v>539</v>
      </c>
      <c r="D501" s="9" t="s">
        <v>540</v>
      </c>
      <c r="E501" s="9" t="n">
        <v>1</v>
      </c>
      <c r="F501" s="9" t="n">
        <v>0</v>
      </c>
      <c r="G501" s="9" t="n">
        <v>2015</v>
      </c>
      <c r="H501" s="10" t="n">
        <v>65087000</v>
      </c>
      <c r="I501" s="11" t="s">
        <v>98</v>
      </c>
      <c r="J501" s="11" t="s">
        <v>99</v>
      </c>
      <c r="K501" s="10" t="n">
        <v>8406996</v>
      </c>
      <c r="L501" s="12" t="n">
        <f aca="false">IF(OR($H501="",K501=""),"",K501/$H501)</f>
        <v>0.129165516923502</v>
      </c>
      <c r="M501" s="9" t="s">
        <v>115</v>
      </c>
      <c r="N501" s="11" t="s">
        <v>116</v>
      </c>
      <c r="O501" s="11" t="s">
        <v>541</v>
      </c>
      <c r="P501" s="11" t="s">
        <v>542</v>
      </c>
      <c r="Q501" s="10" t="n">
        <v>5419192</v>
      </c>
      <c r="R501" s="12" t="n">
        <f aca="false">IF(OR($H501="",Q501=""),"",Q501/$H501)</f>
        <v>0.0832607433127967</v>
      </c>
      <c r="S501" s="9" t="s">
        <v>115</v>
      </c>
      <c r="T501" s="11" t="s">
        <v>119</v>
      </c>
      <c r="U501" s="11" t="s">
        <v>543</v>
      </c>
      <c r="V501" s="11" t="s">
        <v>544</v>
      </c>
      <c r="W501" s="10"/>
      <c r="X501" s="12"/>
      <c r="Y501" s="9"/>
      <c r="Z501" s="11"/>
      <c r="AA501" s="11"/>
      <c r="AB501" s="11"/>
      <c r="AC501" s="9"/>
      <c r="AD501" s="10"/>
      <c r="AE501" s="9"/>
      <c r="AF501" s="11"/>
      <c r="AG501" s="11"/>
      <c r="AH501" s="11"/>
      <c r="AI501" s="10" t="n">
        <v>70020</v>
      </c>
      <c r="AJ501" s="9" t="s">
        <v>122</v>
      </c>
      <c r="AK501" s="11" t="s">
        <v>123</v>
      </c>
      <c r="AL501" s="11" t="s">
        <v>124</v>
      </c>
      <c r="AM501" s="11" t="s">
        <v>545</v>
      </c>
    </row>
    <row r="502" customFormat="false" ht="15" hidden="false" customHeight="false" outlineLevel="0" collapsed="false">
      <c r="A502" s="9" t="s">
        <v>537</v>
      </c>
      <c r="B502" s="9" t="s">
        <v>538</v>
      </c>
      <c r="C502" s="9" t="s">
        <v>539</v>
      </c>
      <c r="D502" s="9" t="s">
        <v>540</v>
      </c>
      <c r="E502" s="9" t="n">
        <v>1</v>
      </c>
      <c r="F502" s="9" t="n">
        <v>0</v>
      </c>
      <c r="G502" s="9" t="n">
        <v>2016</v>
      </c>
      <c r="H502" s="10" t="n">
        <v>65606000</v>
      </c>
      <c r="I502" s="11" t="s">
        <v>98</v>
      </c>
      <c r="J502" s="11" t="s">
        <v>99</v>
      </c>
      <c r="K502" s="10" t="n">
        <v>8696511</v>
      </c>
      <c r="L502" s="12" t="n">
        <f aca="false">IF(OR($H502="",K502=""),"",K502/$H502)</f>
        <v>0.132556641160869</v>
      </c>
      <c r="M502" s="9" t="s">
        <v>115</v>
      </c>
      <c r="N502" s="11" t="s">
        <v>116</v>
      </c>
      <c r="O502" s="11" t="s">
        <v>541</v>
      </c>
      <c r="P502" s="11" t="s">
        <v>542</v>
      </c>
      <c r="Q502" s="10" t="n">
        <v>5639712</v>
      </c>
      <c r="R502" s="12" t="n">
        <f aca="false">IF(OR($H502="",Q502=""),"",Q502/$H502)</f>
        <v>0.0859633570100296</v>
      </c>
      <c r="S502" s="9" t="s">
        <v>115</v>
      </c>
      <c r="T502" s="11" t="s">
        <v>119</v>
      </c>
      <c r="U502" s="11" t="s">
        <v>543</v>
      </c>
      <c r="V502" s="11" t="s">
        <v>544</v>
      </c>
      <c r="W502" s="10"/>
      <c r="X502" s="12"/>
      <c r="Y502" s="9"/>
      <c r="Z502" s="11"/>
      <c r="AA502" s="11"/>
      <c r="AB502" s="11"/>
      <c r="AC502" s="9"/>
      <c r="AD502" s="10"/>
      <c r="AE502" s="9"/>
      <c r="AF502" s="11"/>
      <c r="AG502" s="11"/>
      <c r="AH502" s="11"/>
      <c r="AI502" s="10" t="n">
        <v>59895</v>
      </c>
      <c r="AJ502" s="9" t="s">
        <v>122</v>
      </c>
      <c r="AK502" s="11" t="s">
        <v>123</v>
      </c>
      <c r="AL502" s="11" t="s">
        <v>124</v>
      </c>
      <c r="AM502" s="11" t="s">
        <v>545</v>
      </c>
    </row>
    <row r="503" customFormat="false" ht="15" hidden="false" customHeight="false" outlineLevel="0" collapsed="false">
      <c r="A503" s="9" t="s">
        <v>537</v>
      </c>
      <c r="B503" s="9" t="s">
        <v>538</v>
      </c>
      <c r="C503" s="9" t="s">
        <v>539</v>
      </c>
      <c r="D503" s="9" t="s">
        <v>540</v>
      </c>
      <c r="E503" s="9" t="n">
        <v>1</v>
      </c>
      <c r="F503" s="9" t="n">
        <v>0</v>
      </c>
      <c r="G503" s="9" t="n">
        <v>2017</v>
      </c>
      <c r="H503" s="10" t="n">
        <v>65964000</v>
      </c>
      <c r="I503" s="11" t="s">
        <v>98</v>
      </c>
      <c r="J503" s="11" t="s">
        <v>99</v>
      </c>
      <c r="K503" s="10" t="n">
        <v>9298018</v>
      </c>
      <c r="L503" s="12" t="n">
        <f aca="false">IF(OR($H503="",K503=""),"",K503/$H503)</f>
        <v>0.140955945667334</v>
      </c>
      <c r="M503" s="9" t="s">
        <v>115</v>
      </c>
      <c r="N503" s="11" t="s">
        <v>116</v>
      </c>
      <c r="O503" s="11" t="s">
        <v>541</v>
      </c>
      <c r="P503" s="11" t="s">
        <v>542</v>
      </c>
      <c r="Q503" s="10" t="n">
        <v>6073524</v>
      </c>
      <c r="R503" s="12" t="n">
        <f aca="false">IF(OR($H503="",Q503=""),"",Q503/$H503)</f>
        <v>0.0920733127160269</v>
      </c>
      <c r="S503" s="9" t="s">
        <v>115</v>
      </c>
      <c r="T503" s="11" t="s">
        <v>119</v>
      </c>
      <c r="U503" s="11" t="s">
        <v>543</v>
      </c>
      <c r="V503" s="11" t="s">
        <v>544</v>
      </c>
      <c r="W503" s="10" t="n">
        <v>800000</v>
      </c>
      <c r="X503" s="12" t="n">
        <f aca="false">IF(OR($H503="",W503=""),"",W503/$H503)</f>
        <v>0.0121278272997393</v>
      </c>
      <c r="Y503" s="9" t="s">
        <v>126</v>
      </c>
      <c r="Z503" s="11" t="s">
        <v>546</v>
      </c>
      <c r="AA503" s="11" t="s">
        <v>547</v>
      </c>
      <c r="AB503" s="11" t="s">
        <v>548</v>
      </c>
      <c r="AC503" s="9" t="n">
        <v>1</v>
      </c>
      <c r="AD503" s="10"/>
      <c r="AE503" s="9"/>
      <c r="AF503" s="11"/>
      <c r="AG503" s="11"/>
      <c r="AH503" s="11"/>
      <c r="AI503" s="10" t="n">
        <v>54910</v>
      </c>
      <c r="AJ503" s="9" t="s">
        <v>122</v>
      </c>
      <c r="AK503" s="11" t="s">
        <v>123</v>
      </c>
      <c r="AL503" s="11" t="s">
        <v>124</v>
      </c>
      <c r="AM503" s="11" t="s">
        <v>545</v>
      </c>
    </row>
    <row r="504" customFormat="false" ht="15" hidden="false" customHeight="false" outlineLevel="0" collapsed="false">
      <c r="A504" s="9" t="s">
        <v>537</v>
      </c>
      <c r="B504" s="9" t="s">
        <v>538</v>
      </c>
      <c r="C504" s="9" t="s">
        <v>539</v>
      </c>
      <c r="D504" s="9" t="s">
        <v>540</v>
      </c>
      <c r="E504" s="9" t="n">
        <v>1</v>
      </c>
      <c r="F504" s="9" t="n">
        <v>0</v>
      </c>
      <c r="G504" s="9" t="n">
        <v>2018</v>
      </c>
      <c r="H504" s="10" t="n">
        <v>66287000</v>
      </c>
      <c r="I504" s="11" t="s">
        <v>98</v>
      </c>
      <c r="J504" s="11" t="s">
        <v>99</v>
      </c>
      <c r="K504" s="10" t="n">
        <v>9512464</v>
      </c>
      <c r="L504" s="12" t="n">
        <f aca="false">IF(OR($H504="",K504=""),"",K504/$H504)</f>
        <v>0.143504216513042</v>
      </c>
      <c r="M504" s="9" t="s">
        <v>115</v>
      </c>
      <c r="N504" s="11" t="s">
        <v>116</v>
      </c>
      <c r="O504" s="11" t="s">
        <v>541</v>
      </c>
      <c r="P504" s="11" t="s">
        <v>542</v>
      </c>
      <c r="Q504" s="10" t="n">
        <v>6285974</v>
      </c>
      <c r="R504" s="12" t="n">
        <f aca="false">IF(OR($H504="",Q504=""),"",Q504/$H504)</f>
        <v>0.0948296649418438</v>
      </c>
      <c r="S504" s="9" t="s">
        <v>115</v>
      </c>
      <c r="T504" s="11" t="s">
        <v>119</v>
      </c>
      <c r="U504" s="11" t="s">
        <v>543</v>
      </c>
      <c r="V504" s="11" t="s">
        <v>544</v>
      </c>
      <c r="W504" s="10"/>
      <c r="X504" s="12"/>
      <c r="Y504" s="9"/>
      <c r="Z504" s="11"/>
      <c r="AA504" s="11"/>
      <c r="AB504" s="11"/>
      <c r="AC504" s="9"/>
      <c r="AD504" s="10"/>
      <c r="AE504" s="9"/>
      <c r="AF504" s="11"/>
      <c r="AG504" s="11"/>
      <c r="AH504" s="11"/>
      <c r="AI504" s="10" t="n">
        <v>27830</v>
      </c>
      <c r="AJ504" s="9" t="s">
        <v>122</v>
      </c>
      <c r="AK504" s="11" t="s">
        <v>123</v>
      </c>
      <c r="AL504" s="11" t="s">
        <v>124</v>
      </c>
      <c r="AM504" s="11" t="s">
        <v>545</v>
      </c>
    </row>
    <row r="505" customFormat="false" ht="15" hidden="false" customHeight="false" outlineLevel="0" collapsed="false">
      <c r="A505" s="9" t="s">
        <v>537</v>
      </c>
      <c r="B505" s="9" t="s">
        <v>538</v>
      </c>
      <c r="C505" s="9" t="s">
        <v>539</v>
      </c>
      <c r="D505" s="9" t="s">
        <v>540</v>
      </c>
      <c r="E505" s="9" t="n">
        <v>1</v>
      </c>
      <c r="F505" s="9" t="n">
        <v>0</v>
      </c>
      <c r="G505" s="9" t="n">
        <v>2019</v>
      </c>
      <c r="H505" s="10" t="n">
        <v>66628000</v>
      </c>
      <c r="I505" s="11" t="s">
        <v>98</v>
      </c>
      <c r="J505" s="11" t="s">
        <v>99</v>
      </c>
      <c r="K505" s="10" t="n">
        <v>9469015</v>
      </c>
      <c r="L505" s="12" t="n">
        <f aca="false">IF(OR($H505="",K505=""),"",K505/$H505)</f>
        <v>0.142117653238879</v>
      </c>
      <c r="M505" s="9" t="s">
        <v>115</v>
      </c>
      <c r="N505" s="11" t="s">
        <v>116</v>
      </c>
      <c r="O505" s="11" t="s">
        <v>541</v>
      </c>
      <c r="P505" s="11" t="s">
        <v>542</v>
      </c>
      <c r="Q505" s="10" t="n">
        <v>6171948</v>
      </c>
      <c r="R505" s="12" t="n">
        <f aca="false">IF(OR($H505="",Q505=""),"",Q505/$H505)</f>
        <v>0.0926329471093234</v>
      </c>
      <c r="S505" s="9" t="s">
        <v>115</v>
      </c>
      <c r="T505" s="11" t="s">
        <v>119</v>
      </c>
      <c r="U505" s="11" t="s">
        <v>543</v>
      </c>
      <c r="V505" s="11" t="s">
        <v>544</v>
      </c>
      <c r="W505" s="10"/>
      <c r="X505" s="12"/>
      <c r="Y505" s="9"/>
      <c r="Z505" s="11"/>
      <c r="AA505" s="11"/>
      <c r="AB505" s="11"/>
      <c r="AC505" s="9"/>
      <c r="AD505" s="10"/>
      <c r="AE505" s="9"/>
      <c r="AF505" s="11"/>
      <c r="AG505" s="11"/>
      <c r="AH505" s="11"/>
      <c r="AI505" s="10" t="n">
        <v>22275</v>
      </c>
      <c r="AJ505" s="9" t="s">
        <v>122</v>
      </c>
      <c r="AK505" s="11" t="s">
        <v>123</v>
      </c>
      <c r="AL505" s="11" t="s">
        <v>124</v>
      </c>
      <c r="AM505" s="11" t="s">
        <v>545</v>
      </c>
    </row>
    <row r="506" customFormat="false" ht="15" hidden="false" customHeight="false" outlineLevel="0" collapsed="false">
      <c r="A506" s="9" t="s">
        <v>537</v>
      </c>
      <c r="B506" s="9" t="s">
        <v>538</v>
      </c>
      <c r="C506" s="9" t="s">
        <v>539</v>
      </c>
      <c r="D506" s="9" t="s">
        <v>540</v>
      </c>
      <c r="E506" s="9" t="n">
        <v>1</v>
      </c>
      <c r="F506" s="9" t="n">
        <v>0</v>
      </c>
      <c r="G506" s="9" t="n">
        <v>2020</v>
      </c>
      <c r="H506" s="10" t="n">
        <v>66740000</v>
      </c>
      <c r="I506" s="11" t="s">
        <v>98</v>
      </c>
      <c r="J506" s="11" t="s">
        <v>99</v>
      </c>
      <c r="K506" s="10" t="n">
        <v>9200000</v>
      </c>
      <c r="L506" s="12" t="n">
        <f aca="false">IF(OR($H506="",K506=""),"",K506/$H506)</f>
        <v>0.137848366796524</v>
      </c>
      <c r="M506" s="9" t="s">
        <v>549</v>
      </c>
      <c r="N506" s="11" t="s">
        <v>550</v>
      </c>
      <c r="O506" s="11" t="s">
        <v>551</v>
      </c>
      <c r="P506" s="11" t="s">
        <v>552</v>
      </c>
      <c r="Q506" s="10" t="n">
        <v>6000000</v>
      </c>
      <c r="R506" s="12" t="n">
        <f aca="false">IF(OR($H506="",Q506=""),"",Q506/$H506)</f>
        <v>0.0899011087803416</v>
      </c>
      <c r="S506" s="9" t="s">
        <v>549</v>
      </c>
      <c r="T506" s="11" t="s">
        <v>550</v>
      </c>
      <c r="U506" s="11" t="s">
        <v>551</v>
      </c>
      <c r="V506" s="11" t="s">
        <v>553</v>
      </c>
      <c r="W506" s="10"/>
      <c r="X506" s="12"/>
      <c r="Y506" s="9"/>
      <c r="Z506" s="11"/>
      <c r="AA506" s="11"/>
      <c r="AB506" s="11"/>
      <c r="AC506" s="9"/>
      <c r="AD506" s="10"/>
      <c r="AE506" s="9"/>
      <c r="AF506" s="11"/>
      <c r="AG506" s="11"/>
      <c r="AH506" s="11"/>
      <c r="AI506" s="10"/>
      <c r="AJ506" s="9"/>
      <c r="AK506" s="11"/>
      <c r="AL506" s="11"/>
      <c r="AM506" s="11"/>
    </row>
    <row r="507" customFormat="false" ht="15" hidden="false" customHeight="false" outlineLevel="0" collapsed="false">
      <c r="A507" s="9" t="s">
        <v>537</v>
      </c>
      <c r="B507" s="9" t="s">
        <v>538</v>
      </c>
      <c r="C507" s="9" t="s">
        <v>539</v>
      </c>
      <c r="D507" s="9" t="s">
        <v>540</v>
      </c>
      <c r="E507" s="9" t="n">
        <v>1</v>
      </c>
      <c r="F507" s="9" t="n">
        <v>0</v>
      </c>
      <c r="G507" s="9" t="n">
        <v>2021</v>
      </c>
      <c r="H507" s="10" t="n">
        <v>66978000</v>
      </c>
      <c r="I507" s="11" t="s">
        <v>98</v>
      </c>
      <c r="J507" s="11" t="s">
        <v>99</v>
      </c>
      <c r="K507" s="10" t="n">
        <v>9600000</v>
      </c>
      <c r="L507" s="12" t="n">
        <f aca="false">IF(OR($H507="",K507=""),"",K507/$H507)</f>
        <v>0.143330645883723</v>
      </c>
      <c r="M507" s="9" t="s">
        <v>549</v>
      </c>
      <c r="N507" s="11" t="s">
        <v>550</v>
      </c>
      <c r="O507" s="11" t="s">
        <v>554</v>
      </c>
      <c r="P507" s="11" t="s">
        <v>555</v>
      </c>
      <c r="Q507" s="10" t="n">
        <v>6000000</v>
      </c>
      <c r="R507" s="12" t="n">
        <f aca="false">IF(OR($H507="",Q507=""),"",Q507/$H507)</f>
        <v>0.0895816536773269</v>
      </c>
      <c r="S507" s="9" t="s">
        <v>549</v>
      </c>
      <c r="T507" s="11" t="s">
        <v>550</v>
      </c>
      <c r="U507" s="11" t="s">
        <v>554</v>
      </c>
      <c r="V507" s="11" t="s">
        <v>556</v>
      </c>
      <c r="W507" s="10"/>
      <c r="X507" s="12"/>
      <c r="Y507" s="9"/>
      <c r="Z507" s="11"/>
      <c r="AA507" s="11"/>
      <c r="AB507" s="11"/>
      <c r="AC507" s="9"/>
      <c r="AD507" s="10"/>
      <c r="AE507" s="9"/>
      <c r="AF507" s="11"/>
      <c r="AG507" s="11"/>
      <c r="AH507" s="11"/>
      <c r="AI507" s="10"/>
      <c r="AJ507" s="9"/>
      <c r="AK507" s="11"/>
      <c r="AL507" s="11"/>
      <c r="AM507" s="11"/>
    </row>
    <row r="508" customFormat="false" ht="15" hidden="false" customHeight="false" outlineLevel="0" collapsed="false">
      <c r="A508" s="9" t="s">
        <v>537</v>
      </c>
      <c r="B508" s="9" t="s">
        <v>538</v>
      </c>
      <c r="C508" s="9" t="s">
        <v>539</v>
      </c>
      <c r="D508" s="9" t="s">
        <v>540</v>
      </c>
      <c r="E508" s="9" t="n">
        <v>1</v>
      </c>
      <c r="F508" s="9" t="n">
        <v>0</v>
      </c>
      <c r="G508" s="9" t="n">
        <v>2022</v>
      </c>
      <c r="H508" s="10" t="n">
        <v>67636000</v>
      </c>
      <c r="I508" s="11" t="s">
        <v>98</v>
      </c>
      <c r="J508" s="11" t="s">
        <v>99</v>
      </c>
      <c r="K508" s="10"/>
      <c r="L508" s="12"/>
      <c r="M508" s="9"/>
      <c r="N508" s="11"/>
      <c r="O508" s="11"/>
      <c r="P508" s="11"/>
      <c r="Q508" s="10"/>
      <c r="R508" s="12"/>
      <c r="S508" s="9"/>
      <c r="T508" s="11"/>
      <c r="U508" s="11"/>
      <c r="V508" s="11"/>
      <c r="W508" s="10"/>
      <c r="X508" s="12"/>
      <c r="Y508" s="9"/>
      <c r="Z508" s="11"/>
      <c r="AA508" s="11"/>
      <c r="AB508" s="11"/>
      <c r="AC508" s="9"/>
      <c r="AD508" s="10"/>
      <c r="AE508" s="9"/>
      <c r="AF508" s="11"/>
      <c r="AG508" s="11"/>
      <c r="AH508" s="11"/>
      <c r="AI508" s="10"/>
      <c r="AJ508" s="9"/>
      <c r="AK508" s="11"/>
      <c r="AL508" s="11"/>
      <c r="AM508" s="11"/>
    </row>
    <row r="509" customFormat="false" ht="15" hidden="false" customHeight="false" outlineLevel="0" collapsed="false">
      <c r="A509" s="9" t="s">
        <v>557</v>
      </c>
      <c r="B509" s="9" t="s">
        <v>558</v>
      </c>
      <c r="C509" s="9" t="s">
        <v>559</v>
      </c>
      <c r="D509" s="9" t="s">
        <v>560</v>
      </c>
      <c r="E509" s="9" t="n">
        <v>1</v>
      </c>
      <c r="F509" s="9" t="n">
        <v>1</v>
      </c>
      <c r="G509" s="9" t="n">
        <v>2010</v>
      </c>
      <c r="H509" s="10" t="n">
        <v>309378227</v>
      </c>
      <c r="I509" s="11" t="s">
        <v>98</v>
      </c>
      <c r="J509" s="11" t="s">
        <v>99</v>
      </c>
      <c r="K509" s="10" t="n">
        <v>39916875</v>
      </c>
      <c r="L509" s="12" t="n">
        <f aca="false">IF(OR($H509="",K509=""),"",K509/$H509)</f>
        <v>0.129022896624202</v>
      </c>
      <c r="M509" s="9" t="s">
        <v>170</v>
      </c>
      <c r="N509" s="11" t="s">
        <v>101</v>
      </c>
      <c r="O509" s="11" t="s">
        <v>561</v>
      </c>
      <c r="P509" s="11" t="s">
        <v>562</v>
      </c>
      <c r="Q509" s="10" t="n">
        <v>21640993</v>
      </c>
      <c r="R509" s="12" t="n">
        <f aca="false">IF(OR($H509="",Q509=""),"",Q509/$H509)</f>
        <v>0.0699499548169561</v>
      </c>
      <c r="S509" s="9" t="s">
        <v>170</v>
      </c>
      <c r="T509" s="11" t="s">
        <v>152</v>
      </c>
      <c r="U509" s="11" t="s">
        <v>563</v>
      </c>
      <c r="V509" s="11" t="s">
        <v>564</v>
      </c>
      <c r="W509" s="10" t="n">
        <v>11590000</v>
      </c>
      <c r="X509" s="12" t="n">
        <f aca="false">IF(OR($H509="",W509=""),"",W509/$H509)</f>
        <v>0.0374622355050215</v>
      </c>
      <c r="Y509" s="9" t="s">
        <v>115</v>
      </c>
      <c r="Z509" s="11" t="s">
        <v>565</v>
      </c>
      <c r="AA509" s="11" t="s">
        <v>566</v>
      </c>
      <c r="AB509" s="11" t="s">
        <v>567</v>
      </c>
      <c r="AC509" s="9" t="n">
        <v>3</v>
      </c>
      <c r="AD509" s="10"/>
      <c r="AE509" s="9"/>
      <c r="AF509" s="11"/>
      <c r="AG509" s="11"/>
      <c r="AH509" s="11"/>
      <c r="AI509" s="10"/>
      <c r="AJ509" s="9"/>
      <c r="AK509" s="11"/>
      <c r="AL509" s="11"/>
      <c r="AM509" s="11"/>
    </row>
    <row r="510" customFormat="false" ht="15" hidden="false" customHeight="false" outlineLevel="0" collapsed="false">
      <c r="A510" s="9" t="s">
        <v>557</v>
      </c>
      <c r="B510" s="9" t="s">
        <v>558</v>
      </c>
      <c r="C510" s="9" t="s">
        <v>559</v>
      </c>
      <c r="D510" s="9" t="s">
        <v>560</v>
      </c>
      <c r="E510" s="9" t="n">
        <v>1</v>
      </c>
      <c r="F510" s="9" t="n">
        <v>1</v>
      </c>
      <c r="G510" s="9" t="n">
        <v>2011</v>
      </c>
      <c r="H510" s="10" t="n">
        <v>311839461</v>
      </c>
      <c r="I510" s="11" t="s">
        <v>98</v>
      </c>
      <c r="J510" s="11" t="s">
        <v>99</v>
      </c>
      <c r="K510" s="10" t="n">
        <v>40381570</v>
      </c>
      <c r="L510" s="12" t="n">
        <f aca="false">IF(OR($H510="",K510=""),"",K510/$H510)</f>
        <v>0.129494740243923</v>
      </c>
      <c r="M510" s="9" t="s">
        <v>170</v>
      </c>
      <c r="N510" s="11" t="s">
        <v>101</v>
      </c>
      <c r="O510" s="11" t="s">
        <v>561</v>
      </c>
      <c r="P510" s="11" t="s">
        <v>562</v>
      </c>
      <c r="Q510" s="10" t="n">
        <v>22225536</v>
      </c>
      <c r="R510" s="12" t="n">
        <f aca="false">IF(OR($H510="",Q510=""),"",Q510/$H510)</f>
        <v>0.0712723653662293</v>
      </c>
      <c r="S510" s="9" t="s">
        <v>170</v>
      </c>
      <c r="T510" s="11" t="s">
        <v>152</v>
      </c>
      <c r="U510" s="11" t="s">
        <v>563</v>
      </c>
      <c r="V510" s="11" t="s">
        <v>564</v>
      </c>
      <c r="W510" s="10" t="n">
        <v>11510000</v>
      </c>
      <c r="X510" s="12" t="n">
        <f aca="false">IF(OR($H510="",W510=""),"",W510/$H510)</f>
        <v>0.036910017619611</v>
      </c>
      <c r="Y510" s="9" t="s">
        <v>115</v>
      </c>
      <c r="Z510" s="11" t="s">
        <v>565</v>
      </c>
      <c r="AA510" s="11" t="s">
        <v>566</v>
      </c>
      <c r="AB510" s="11" t="s">
        <v>568</v>
      </c>
      <c r="AC510" s="9" t="n">
        <v>2</v>
      </c>
      <c r="AD510" s="10"/>
      <c r="AE510" s="9"/>
      <c r="AF510" s="11"/>
      <c r="AG510" s="11"/>
      <c r="AH510" s="11"/>
      <c r="AI510" s="10"/>
      <c r="AJ510" s="9"/>
      <c r="AK510" s="11"/>
      <c r="AL510" s="11"/>
      <c r="AM510" s="11"/>
    </row>
    <row r="511" customFormat="false" ht="15" hidden="false" customHeight="false" outlineLevel="0" collapsed="false">
      <c r="A511" s="9" t="s">
        <v>557</v>
      </c>
      <c r="B511" s="9" t="s">
        <v>558</v>
      </c>
      <c r="C511" s="9" t="s">
        <v>559</v>
      </c>
      <c r="D511" s="9" t="s">
        <v>560</v>
      </c>
      <c r="E511" s="9" t="n">
        <v>1</v>
      </c>
      <c r="F511" s="9" t="n">
        <v>1</v>
      </c>
      <c r="G511" s="9" t="n">
        <v>2012</v>
      </c>
      <c r="H511" s="10" t="n">
        <v>314339099</v>
      </c>
      <c r="I511" s="11" t="s">
        <v>98</v>
      </c>
      <c r="J511" s="11" t="s">
        <v>99</v>
      </c>
      <c r="K511" s="10" t="n">
        <v>40738224</v>
      </c>
      <c r="L511" s="12" t="n">
        <f aca="false">IF(OR($H511="",K511=""),"",K511/$H511)</f>
        <v>0.129599607969863</v>
      </c>
      <c r="M511" s="9" t="s">
        <v>170</v>
      </c>
      <c r="N511" s="11" t="s">
        <v>101</v>
      </c>
      <c r="O511" s="11" t="s">
        <v>561</v>
      </c>
      <c r="P511" s="11" t="s">
        <v>562</v>
      </c>
      <c r="Q511" s="10" t="n">
        <v>22114981</v>
      </c>
      <c r="R511" s="12" t="n">
        <f aca="false">IF(OR($H511="",Q511=""),"",Q511/$H511)</f>
        <v>0.0703538982912209</v>
      </c>
      <c r="S511" s="9" t="s">
        <v>170</v>
      </c>
      <c r="T511" s="11" t="s">
        <v>152</v>
      </c>
      <c r="U511" s="11" t="s">
        <v>563</v>
      </c>
      <c r="V511" s="11" t="s">
        <v>564</v>
      </c>
      <c r="W511" s="10" t="n">
        <v>11430000</v>
      </c>
      <c r="X511" s="12" t="n">
        <f aca="false">IF(OR($H511="",W511=""),"",W511/$H511)</f>
        <v>0.0363620053514246</v>
      </c>
      <c r="Y511" s="9" t="s">
        <v>115</v>
      </c>
      <c r="Z511" s="11" t="s">
        <v>565</v>
      </c>
      <c r="AA511" s="11" t="s">
        <v>566</v>
      </c>
      <c r="AB511" s="11" t="s">
        <v>569</v>
      </c>
      <c r="AC511" s="9" t="n">
        <v>1</v>
      </c>
      <c r="AD511" s="10"/>
      <c r="AE511" s="9"/>
      <c r="AF511" s="11"/>
      <c r="AG511" s="11"/>
      <c r="AH511" s="11"/>
      <c r="AI511" s="10"/>
      <c r="AJ511" s="9"/>
      <c r="AK511" s="11"/>
      <c r="AL511" s="11"/>
      <c r="AM511" s="11"/>
    </row>
    <row r="512" customFormat="false" ht="15" hidden="false" customHeight="false" outlineLevel="0" collapsed="false">
      <c r="A512" s="9" t="s">
        <v>557</v>
      </c>
      <c r="B512" s="9" t="s">
        <v>558</v>
      </c>
      <c r="C512" s="9" t="s">
        <v>559</v>
      </c>
      <c r="D512" s="9" t="s">
        <v>560</v>
      </c>
      <c r="E512" s="9" t="n">
        <v>1</v>
      </c>
      <c r="F512" s="9" t="n">
        <v>1</v>
      </c>
      <c r="G512" s="9" t="n">
        <v>2013</v>
      </c>
      <c r="H512" s="10" t="n">
        <v>316726282</v>
      </c>
      <c r="I512" s="11" t="s">
        <v>98</v>
      </c>
      <c r="J512" s="11" t="s">
        <v>99</v>
      </c>
      <c r="K512" s="10" t="n">
        <v>41344354</v>
      </c>
      <c r="L512" s="12" t="n">
        <f aca="false">IF(OR($H512="",K512=""),"",K512/$H512)</f>
        <v>0.130536543222517</v>
      </c>
      <c r="M512" s="9" t="s">
        <v>170</v>
      </c>
      <c r="N512" s="11" t="s">
        <v>101</v>
      </c>
      <c r="O512" s="11" t="s">
        <v>561</v>
      </c>
      <c r="P512" s="11" t="s">
        <v>562</v>
      </c>
      <c r="Q512" s="10" t="n">
        <v>22016426</v>
      </c>
      <c r="R512" s="12" t="n">
        <f aca="false">IF(OR($H512="",Q512=""),"",Q512/$H512)</f>
        <v>0.069512469445147</v>
      </c>
      <c r="S512" s="9" t="s">
        <v>170</v>
      </c>
      <c r="T512" s="11" t="s">
        <v>152</v>
      </c>
      <c r="U512" s="11" t="s">
        <v>563</v>
      </c>
      <c r="V512" s="11" t="s">
        <v>564</v>
      </c>
      <c r="W512" s="10" t="n">
        <v>11210000</v>
      </c>
      <c r="X512" s="12" t="n">
        <f aca="false">IF(OR($H512="",W512=""),"",W512/$H512)</f>
        <v>0.0353933368876537</v>
      </c>
      <c r="Y512" s="9" t="s">
        <v>115</v>
      </c>
      <c r="Z512" s="11" t="s">
        <v>565</v>
      </c>
      <c r="AA512" s="11" t="s">
        <v>566</v>
      </c>
      <c r="AB512" s="11" t="s">
        <v>570</v>
      </c>
      <c r="AC512" s="9" t="n">
        <v>1</v>
      </c>
      <c r="AD512" s="10"/>
      <c r="AE512" s="9"/>
      <c r="AF512" s="11"/>
      <c r="AG512" s="11"/>
      <c r="AH512" s="11"/>
      <c r="AI512" s="10"/>
      <c r="AJ512" s="9"/>
      <c r="AK512" s="11"/>
      <c r="AL512" s="11"/>
      <c r="AM512" s="11"/>
    </row>
    <row r="513" customFormat="false" ht="15" hidden="false" customHeight="false" outlineLevel="0" collapsed="false">
      <c r="A513" s="9" t="s">
        <v>557</v>
      </c>
      <c r="B513" s="9" t="s">
        <v>558</v>
      </c>
      <c r="C513" s="9" t="s">
        <v>559</v>
      </c>
      <c r="D513" s="9" t="s">
        <v>560</v>
      </c>
      <c r="E513" s="9" t="n">
        <v>1</v>
      </c>
      <c r="F513" s="9" t="n">
        <v>1</v>
      </c>
      <c r="G513" s="9" t="n">
        <v>2014</v>
      </c>
      <c r="H513" s="10" t="n">
        <v>319257560</v>
      </c>
      <c r="I513" s="11" t="s">
        <v>98</v>
      </c>
      <c r="J513" s="11" t="s">
        <v>99</v>
      </c>
      <c r="K513" s="10" t="n">
        <v>42390705</v>
      </c>
      <c r="L513" s="12" t="n">
        <f aca="false">IF(OR($H513="",K513=""),"",K513/$H513)</f>
        <v>0.132779017041914</v>
      </c>
      <c r="M513" s="9" t="s">
        <v>170</v>
      </c>
      <c r="N513" s="11" t="s">
        <v>101</v>
      </c>
      <c r="O513" s="11" t="s">
        <v>561</v>
      </c>
      <c r="P513" s="11" t="s">
        <v>562</v>
      </c>
      <c r="Q513" s="10" t="n">
        <v>21325130</v>
      </c>
      <c r="R513" s="12" t="n">
        <f aca="false">IF(OR($H513="",Q513=""),"",Q513/$H513)</f>
        <v>0.0667960063341961</v>
      </c>
      <c r="S513" s="9" t="s">
        <v>170</v>
      </c>
      <c r="T513" s="11" t="s">
        <v>152</v>
      </c>
      <c r="U513" s="11" t="s">
        <v>563</v>
      </c>
      <c r="V513" s="11" t="s">
        <v>564</v>
      </c>
      <c r="W513" s="10" t="n">
        <v>11460000</v>
      </c>
      <c r="X513" s="12" t="n">
        <f aca="false">IF(OR($H513="",W513=""),"",W513/$H513)</f>
        <v>0.0358957827028434</v>
      </c>
      <c r="Y513" s="9" t="s">
        <v>115</v>
      </c>
      <c r="Z513" s="11" t="s">
        <v>565</v>
      </c>
      <c r="AA513" s="11" t="s">
        <v>566</v>
      </c>
      <c r="AB513" s="11" t="s">
        <v>571</v>
      </c>
      <c r="AC513" s="9" t="n">
        <v>1</v>
      </c>
      <c r="AD513" s="10"/>
      <c r="AE513" s="9"/>
      <c r="AF513" s="11"/>
      <c r="AG513" s="11"/>
      <c r="AH513" s="11"/>
      <c r="AI513" s="10"/>
      <c r="AJ513" s="9"/>
      <c r="AK513" s="11"/>
      <c r="AL513" s="11"/>
      <c r="AM513" s="11"/>
    </row>
    <row r="514" customFormat="false" ht="15" hidden="false" customHeight="false" outlineLevel="0" collapsed="false">
      <c r="A514" s="9" t="s">
        <v>557</v>
      </c>
      <c r="B514" s="9" t="s">
        <v>558</v>
      </c>
      <c r="C514" s="9" t="s">
        <v>559</v>
      </c>
      <c r="D514" s="9" t="s">
        <v>560</v>
      </c>
      <c r="E514" s="9" t="n">
        <v>1</v>
      </c>
      <c r="F514" s="9" t="n">
        <v>1</v>
      </c>
      <c r="G514" s="9" t="n">
        <v>2015</v>
      </c>
      <c r="H514" s="10" t="n">
        <v>321815121</v>
      </c>
      <c r="I514" s="11" t="s">
        <v>98</v>
      </c>
      <c r="J514" s="11" t="s">
        <v>99</v>
      </c>
      <c r="K514" s="10" t="n">
        <v>43289646</v>
      </c>
      <c r="L514" s="12" t="n">
        <f aca="false">IF(OR($H514="",K514=""),"",K514/$H514)</f>
        <v>0.134517128547232</v>
      </c>
      <c r="M514" s="9" t="s">
        <v>170</v>
      </c>
      <c r="N514" s="11" t="s">
        <v>101</v>
      </c>
      <c r="O514" s="11" t="s">
        <v>561</v>
      </c>
      <c r="P514" s="11" t="s">
        <v>562</v>
      </c>
      <c r="Q514" s="10" t="n">
        <v>22236160</v>
      </c>
      <c r="R514" s="12" t="n">
        <f aca="false">IF(OR($H514="",Q514=""),"",Q514/$H514)</f>
        <v>0.0690960696032677</v>
      </c>
      <c r="S514" s="9" t="s">
        <v>170</v>
      </c>
      <c r="T514" s="11" t="s">
        <v>152</v>
      </c>
      <c r="U514" s="11" t="s">
        <v>563</v>
      </c>
      <c r="V514" s="11" t="s">
        <v>564</v>
      </c>
      <c r="W514" s="10" t="n">
        <v>11440000</v>
      </c>
      <c r="X514" s="12" t="n">
        <f aca="false">IF(OR($H514="",W514=""),"",W514/$H514)</f>
        <v>0.0355483606999312</v>
      </c>
      <c r="Y514" s="9" t="s">
        <v>115</v>
      </c>
      <c r="Z514" s="11" t="s">
        <v>565</v>
      </c>
      <c r="AA514" s="11" t="s">
        <v>566</v>
      </c>
      <c r="AB514" s="11" t="s">
        <v>572</v>
      </c>
      <c r="AC514" s="9" t="n">
        <v>2</v>
      </c>
      <c r="AD514" s="10"/>
      <c r="AE514" s="9"/>
      <c r="AF514" s="11"/>
      <c r="AG514" s="11"/>
      <c r="AH514" s="11"/>
      <c r="AI514" s="10"/>
      <c r="AJ514" s="9"/>
      <c r="AK514" s="11"/>
      <c r="AL514" s="11"/>
      <c r="AM514" s="11"/>
    </row>
    <row r="515" customFormat="false" ht="15" hidden="false" customHeight="false" outlineLevel="0" collapsed="false">
      <c r="A515" s="9" t="s">
        <v>557</v>
      </c>
      <c r="B515" s="9" t="s">
        <v>558</v>
      </c>
      <c r="C515" s="9" t="s">
        <v>559</v>
      </c>
      <c r="D515" s="9" t="s">
        <v>560</v>
      </c>
      <c r="E515" s="9" t="n">
        <v>1</v>
      </c>
      <c r="F515" s="9" t="n">
        <v>1</v>
      </c>
      <c r="G515" s="9" t="n">
        <v>2016</v>
      </c>
      <c r="H515" s="10" t="n">
        <v>324353340</v>
      </c>
      <c r="I515" s="11" t="s">
        <v>98</v>
      </c>
      <c r="J515" s="11" t="s">
        <v>99</v>
      </c>
      <c r="K515" s="10" t="n">
        <v>43738901</v>
      </c>
      <c r="L515" s="12" t="n">
        <f aca="false">IF(OR($H515="",K515=""),"",K515/$H515)</f>
        <v>0.134849547101935</v>
      </c>
      <c r="M515" s="9" t="s">
        <v>170</v>
      </c>
      <c r="N515" s="11" t="s">
        <v>101</v>
      </c>
      <c r="O515" s="11" t="s">
        <v>561</v>
      </c>
      <c r="P515" s="11" t="s">
        <v>562</v>
      </c>
      <c r="Q515" s="10" t="n">
        <v>22824242</v>
      </c>
      <c r="R515" s="12" t="n">
        <f aca="false">IF(OR($H515="",Q515=""),"",Q515/$H515)</f>
        <v>0.070368450653229</v>
      </c>
      <c r="S515" s="9" t="s">
        <v>170</v>
      </c>
      <c r="T515" s="11" t="s">
        <v>152</v>
      </c>
      <c r="U515" s="11" t="s">
        <v>563</v>
      </c>
      <c r="V515" s="11" t="s">
        <v>564</v>
      </c>
      <c r="W515" s="10" t="n">
        <v>11750000</v>
      </c>
      <c r="X515" s="12" t="n">
        <f aca="false">IF(OR($H515="",W515=""),"",W515/$H515)</f>
        <v>0.0362259257142226</v>
      </c>
      <c r="Y515" s="9" t="s">
        <v>115</v>
      </c>
      <c r="Z515" s="11" t="s">
        <v>565</v>
      </c>
      <c r="AA515" s="11" t="s">
        <v>566</v>
      </c>
      <c r="AB515" s="11" t="s">
        <v>573</v>
      </c>
      <c r="AC515" s="9" t="n">
        <v>1</v>
      </c>
      <c r="AD515" s="10"/>
      <c r="AE515" s="9"/>
      <c r="AF515" s="11"/>
      <c r="AG515" s="11"/>
      <c r="AH515" s="11"/>
      <c r="AI515" s="10"/>
      <c r="AJ515" s="9"/>
      <c r="AK515" s="11"/>
      <c r="AL515" s="11"/>
      <c r="AM515" s="11"/>
    </row>
    <row r="516" customFormat="false" ht="15" hidden="false" customHeight="false" outlineLevel="0" collapsed="false">
      <c r="A516" s="9" t="s">
        <v>557</v>
      </c>
      <c r="B516" s="9" t="s">
        <v>558</v>
      </c>
      <c r="C516" s="9" t="s">
        <v>559</v>
      </c>
      <c r="D516" s="9" t="s">
        <v>560</v>
      </c>
      <c r="E516" s="9" t="n">
        <v>1</v>
      </c>
      <c r="F516" s="9" t="n">
        <v>1</v>
      </c>
      <c r="G516" s="9" t="n">
        <v>2017</v>
      </c>
      <c r="H516" s="10" t="n">
        <v>326608609</v>
      </c>
      <c r="I516" s="11" t="s">
        <v>98</v>
      </c>
      <c r="J516" s="11" t="s">
        <v>99</v>
      </c>
      <c r="K516" s="10" t="n">
        <v>44525458</v>
      </c>
      <c r="L516" s="12" t="n">
        <f aca="false">IF(OR($H516="",K516=""),"",K516/$H516)</f>
        <v>0.136326651450881</v>
      </c>
      <c r="M516" s="9" t="s">
        <v>170</v>
      </c>
      <c r="N516" s="11" t="s">
        <v>101</v>
      </c>
      <c r="O516" s="11" t="s">
        <v>561</v>
      </c>
      <c r="P516" s="11" t="s">
        <v>562</v>
      </c>
      <c r="Q516" s="10" t="n">
        <v>22758740</v>
      </c>
      <c r="R516" s="12" t="n">
        <f aca="false">IF(OR($H516="",Q516=""),"",Q516/$H516)</f>
        <v>0.0696819966555138</v>
      </c>
      <c r="S516" s="9" t="s">
        <v>170</v>
      </c>
      <c r="T516" s="11" t="s">
        <v>152</v>
      </c>
      <c r="U516" s="11" t="s">
        <v>563</v>
      </c>
      <c r="V516" s="11" t="s">
        <v>564</v>
      </c>
      <c r="W516" s="10" t="n">
        <v>11410000</v>
      </c>
      <c r="X516" s="12" t="n">
        <f aca="false">IF(OR($H516="",W516=""),"",W516/$H516)</f>
        <v>0.0349347803015199</v>
      </c>
      <c r="Y516" s="9" t="s">
        <v>115</v>
      </c>
      <c r="Z516" s="11" t="s">
        <v>565</v>
      </c>
      <c r="AA516" s="11" t="s">
        <v>566</v>
      </c>
      <c r="AB516" s="11" t="s">
        <v>574</v>
      </c>
      <c r="AC516" s="9" t="n">
        <v>2</v>
      </c>
      <c r="AD516" s="10"/>
      <c r="AE516" s="9"/>
      <c r="AF516" s="11"/>
      <c r="AG516" s="11"/>
      <c r="AH516" s="11"/>
      <c r="AI516" s="10"/>
      <c r="AJ516" s="9"/>
      <c r="AK516" s="11"/>
      <c r="AL516" s="11"/>
      <c r="AM516" s="11"/>
    </row>
    <row r="517" customFormat="false" ht="15" hidden="false" customHeight="false" outlineLevel="0" collapsed="false">
      <c r="A517" s="9" t="s">
        <v>557</v>
      </c>
      <c r="B517" s="9" t="s">
        <v>558</v>
      </c>
      <c r="C517" s="9" t="s">
        <v>559</v>
      </c>
      <c r="D517" s="9" t="s">
        <v>560</v>
      </c>
      <c r="E517" s="9" t="n">
        <v>1</v>
      </c>
      <c r="F517" s="9" t="n">
        <v>1</v>
      </c>
      <c r="G517" s="9" t="n">
        <v>2018</v>
      </c>
      <c r="H517" s="10" t="n">
        <v>328529577</v>
      </c>
      <c r="I517" s="11" t="s">
        <v>98</v>
      </c>
      <c r="J517" s="11" t="s">
        <v>99</v>
      </c>
      <c r="K517" s="10" t="n">
        <v>44728502</v>
      </c>
      <c r="L517" s="12" t="n">
        <f aca="false">IF(OR($H517="",K517=""),"",K517/$H517)</f>
        <v>0.136147565185585</v>
      </c>
      <c r="M517" s="9" t="s">
        <v>170</v>
      </c>
      <c r="N517" s="11" t="s">
        <v>101</v>
      </c>
      <c r="O517" s="11" t="s">
        <v>561</v>
      </c>
      <c r="P517" s="11" t="s">
        <v>562</v>
      </c>
      <c r="Q517" s="10" t="n">
        <v>22941910</v>
      </c>
      <c r="R517" s="12" t="n">
        <f aca="false">IF(OR($H517="",Q517=""),"",Q517/$H517)</f>
        <v>0.0698320991659147</v>
      </c>
      <c r="S517" s="9" t="s">
        <v>170</v>
      </c>
      <c r="T517" s="11" t="s">
        <v>152</v>
      </c>
      <c r="U517" s="11" t="s">
        <v>563</v>
      </c>
      <c r="V517" s="11" t="s">
        <v>564</v>
      </c>
      <c r="W517" s="10" t="n">
        <v>11390000</v>
      </c>
      <c r="X517" s="12" t="n">
        <f aca="false">IF(OR($H517="",W517=""),"",W517/$H517)</f>
        <v>0.0346696334132497</v>
      </c>
      <c r="Y517" s="9" t="s">
        <v>115</v>
      </c>
      <c r="Z517" s="11" t="s">
        <v>565</v>
      </c>
      <c r="AA517" s="11" t="s">
        <v>566</v>
      </c>
      <c r="AB517" s="11" t="s">
        <v>575</v>
      </c>
      <c r="AC517" s="9" t="n">
        <v>2</v>
      </c>
      <c r="AD517" s="10"/>
      <c r="AE517" s="9"/>
      <c r="AF517" s="11"/>
      <c r="AG517" s="11"/>
      <c r="AH517" s="11"/>
      <c r="AI517" s="10"/>
      <c r="AJ517" s="9"/>
      <c r="AK517" s="11"/>
      <c r="AL517" s="11"/>
      <c r="AM517" s="11"/>
    </row>
    <row r="518" customFormat="false" ht="15" hidden="false" customHeight="false" outlineLevel="0" collapsed="false">
      <c r="A518" s="9" t="s">
        <v>557</v>
      </c>
      <c r="B518" s="9" t="s">
        <v>558</v>
      </c>
      <c r="C518" s="9" t="s">
        <v>559</v>
      </c>
      <c r="D518" s="9" t="s">
        <v>560</v>
      </c>
      <c r="E518" s="9" t="n">
        <v>1</v>
      </c>
      <c r="F518" s="9" t="n">
        <v>1</v>
      </c>
      <c r="G518" s="9" t="n">
        <v>2019</v>
      </c>
      <c r="H518" s="10" t="n">
        <v>330226227</v>
      </c>
      <c r="I518" s="11" t="s">
        <v>98</v>
      </c>
      <c r="J518" s="11" t="s">
        <v>99</v>
      </c>
      <c r="K518" s="10" t="n">
        <v>44932799</v>
      </c>
      <c r="L518" s="12" t="n">
        <f aca="false">IF(OR($H518="",K518=""),"",K518/$H518)</f>
        <v>0.136066718286431</v>
      </c>
      <c r="M518" s="9" t="s">
        <v>170</v>
      </c>
      <c r="N518" s="11" t="s">
        <v>101</v>
      </c>
      <c r="O518" s="11" t="s">
        <v>561</v>
      </c>
      <c r="P518" s="11" t="s">
        <v>562</v>
      </c>
      <c r="Q518" s="10" t="n">
        <v>22518810</v>
      </c>
      <c r="R518" s="12" t="n">
        <f aca="false">IF(OR($H518="",Q518=""),"",Q518/$H518)</f>
        <v>0.0681920700380954</v>
      </c>
      <c r="S518" s="9" t="s">
        <v>170</v>
      </c>
      <c r="T518" s="11" t="s">
        <v>152</v>
      </c>
      <c r="U518" s="11" t="s">
        <v>563</v>
      </c>
      <c r="V518" s="11" t="s">
        <v>564</v>
      </c>
      <c r="W518" s="10" t="n">
        <v>11110000</v>
      </c>
      <c r="X518" s="12" t="n">
        <f aca="false">IF(OR($H518="",W518=""),"",W518/$H518)</f>
        <v>0.0336436027535754</v>
      </c>
      <c r="Y518" s="9" t="s">
        <v>115</v>
      </c>
      <c r="Z518" s="11" t="s">
        <v>576</v>
      </c>
      <c r="AA518" s="11" t="s">
        <v>577</v>
      </c>
      <c r="AB518" s="11" t="s">
        <v>578</v>
      </c>
      <c r="AC518" s="9" t="n">
        <v>3</v>
      </c>
      <c r="AD518" s="10"/>
      <c r="AE518" s="9"/>
      <c r="AF518" s="11"/>
      <c r="AG518" s="11"/>
      <c r="AH518" s="11"/>
      <c r="AI518" s="10"/>
      <c r="AJ518" s="9"/>
      <c r="AK518" s="11"/>
      <c r="AL518" s="11"/>
      <c r="AM518" s="11"/>
    </row>
    <row r="519" customFormat="false" ht="15" hidden="false" customHeight="false" outlineLevel="0" collapsed="false">
      <c r="A519" s="9" t="s">
        <v>557</v>
      </c>
      <c r="B519" s="9" t="s">
        <v>558</v>
      </c>
      <c r="C519" s="9" t="s">
        <v>559</v>
      </c>
      <c r="D519" s="9" t="s">
        <v>560</v>
      </c>
      <c r="E519" s="9" t="n">
        <v>1</v>
      </c>
      <c r="F519" s="9" t="n">
        <v>1</v>
      </c>
      <c r="G519" s="9" t="n">
        <v>2020</v>
      </c>
      <c r="H519" s="10" t="n">
        <v>331578104</v>
      </c>
      <c r="I519" s="11" t="s">
        <v>98</v>
      </c>
      <c r="J519" s="11" t="s">
        <v>99</v>
      </c>
      <c r="K519" s="10" t="n">
        <v>44258250</v>
      </c>
      <c r="L519" s="12" t="n">
        <f aca="false">IF(OR($H519="",K519=""),"",K519/$H519)</f>
        <v>0.133477601403982</v>
      </c>
      <c r="M519" s="9" t="s">
        <v>170</v>
      </c>
      <c r="N519" s="11" t="s">
        <v>101</v>
      </c>
      <c r="O519" s="11" t="s">
        <v>561</v>
      </c>
      <c r="P519" s="11" t="s">
        <v>562</v>
      </c>
      <c r="Q519" s="10" t="n">
        <v>21433675</v>
      </c>
      <c r="R519" s="12" t="n">
        <f aca="false">IF(OR($H519="",Q519=""),"",Q519/$H519)</f>
        <v>0.0646414064783964</v>
      </c>
      <c r="S519" s="9" t="s">
        <v>170</v>
      </c>
      <c r="T519" s="11" t="s">
        <v>152</v>
      </c>
      <c r="U519" s="11" t="s">
        <v>563</v>
      </c>
      <c r="V519" s="11" t="s">
        <v>564</v>
      </c>
      <c r="W519" s="10" t="n">
        <v>10510000</v>
      </c>
      <c r="X519" s="12" t="n">
        <f aca="false">IF(OR($H519="",W519=""),"",W519/$H519)</f>
        <v>0.0316969060176543</v>
      </c>
      <c r="Y519" s="9" t="s">
        <v>115</v>
      </c>
      <c r="Z519" s="11" t="s">
        <v>576</v>
      </c>
      <c r="AA519" s="11" t="s">
        <v>577</v>
      </c>
      <c r="AB519" s="11" t="s">
        <v>579</v>
      </c>
      <c r="AC519" s="9" t="n">
        <v>3</v>
      </c>
      <c r="AD519" s="10"/>
      <c r="AE519" s="9"/>
      <c r="AF519" s="11"/>
      <c r="AG519" s="11"/>
      <c r="AH519" s="11"/>
      <c r="AI519" s="10"/>
      <c r="AJ519" s="9"/>
      <c r="AK519" s="11"/>
      <c r="AL519" s="11"/>
      <c r="AM519" s="11"/>
    </row>
    <row r="520" customFormat="false" ht="15" hidden="false" customHeight="false" outlineLevel="0" collapsed="false">
      <c r="A520" s="9" t="s">
        <v>557</v>
      </c>
      <c r="B520" s="9" t="s">
        <v>558</v>
      </c>
      <c r="C520" s="9" t="s">
        <v>559</v>
      </c>
      <c r="D520" s="9" t="s">
        <v>560</v>
      </c>
      <c r="E520" s="9" t="n">
        <v>1</v>
      </c>
      <c r="F520" s="9" t="n">
        <v>1</v>
      </c>
      <c r="G520" s="9" t="n">
        <v>2021</v>
      </c>
      <c r="H520" s="10" t="n">
        <v>332100166</v>
      </c>
      <c r="I520" s="11" t="s">
        <v>98</v>
      </c>
      <c r="J520" s="11" t="s">
        <v>99</v>
      </c>
      <c r="K520" s="10" t="n">
        <v>45272945</v>
      </c>
      <c r="L520" s="12" t="n">
        <f aca="false">IF(OR($H520="",K520=""),"",K520/$H520)</f>
        <v>0.136323162813475</v>
      </c>
      <c r="M520" s="9" t="s">
        <v>170</v>
      </c>
      <c r="N520" s="11" t="s">
        <v>101</v>
      </c>
      <c r="O520" s="11" t="s">
        <v>561</v>
      </c>
      <c r="P520" s="11" t="s">
        <v>562</v>
      </c>
      <c r="Q520" s="10" t="n">
        <v>22164662</v>
      </c>
      <c r="R520" s="12" t="n">
        <f aca="false">IF(OR($H520="",Q520=""),"",Q520/$H520)</f>
        <v>0.0667408940710978</v>
      </c>
      <c r="S520" s="9" t="s">
        <v>170</v>
      </c>
      <c r="T520" s="11" t="s">
        <v>152</v>
      </c>
      <c r="U520" s="11" t="s">
        <v>563</v>
      </c>
      <c r="V520" s="11" t="s">
        <v>564</v>
      </c>
      <c r="W520" s="10" t="n">
        <v>10500000</v>
      </c>
      <c r="X520" s="12" t="n">
        <f aca="false">IF(OR($H520="",W520=""),"",W520/$H520)</f>
        <v>0.0316169670327717</v>
      </c>
      <c r="Y520" s="9" t="s">
        <v>126</v>
      </c>
      <c r="Z520" s="11" t="s">
        <v>580</v>
      </c>
      <c r="AA520" s="11" t="s">
        <v>581</v>
      </c>
      <c r="AB520" s="11" t="s">
        <v>582</v>
      </c>
      <c r="AC520" s="9" t="n">
        <v>4</v>
      </c>
      <c r="AD520" s="10"/>
      <c r="AE520" s="9"/>
      <c r="AF520" s="11"/>
      <c r="AG520" s="11"/>
      <c r="AH520" s="11"/>
      <c r="AI520" s="10"/>
      <c r="AJ520" s="9"/>
      <c r="AK520" s="11"/>
      <c r="AL520" s="11"/>
      <c r="AM520" s="11"/>
    </row>
    <row r="521" customFormat="false" ht="15" hidden="false" customHeight="false" outlineLevel="0" collapsed="false">
      <c r="A521" s="9" t="s">
        <v>557</v>
      </c>
      <c r="B521" s="9" t="s">
        <v>558</v>
      </c>
      <c r="C521" s="9" t="s">
        <v>559</v>
      </c>
      <c r="D521" s="9" t="s">
        <v>560</v>
      </c>
      <c r="E521" s="9" t="n">
        <v>1</v>
      </c>
      <c r="F521" s="9" t="n">
        <v>1</v>
      </c>
      <c r="G521" s="9" t="n">
        <v>2022</v>
      </c>
      <c r="H521" s="10" t="n">
        <v>333996304</v>
      </c>
      <c r="I521" s="11" t="s">
        <v>98</v>
      </c>
      <c r="J521" s="11" t="s">
        <v>99</v>
      </c>
      <c r="K521" s="10" t="n">
        <v>47331480</v>
      </c>
      <c r="L521" s="12" t="n">
        <f aca="false">IF(OR($H521="",K521=""),"",K521/$H521)</f>
        <v>0.141712586136881</v>
      </c>
      <c r="M521" s="9" t="s">
        <v>170</v>
      </c>
      <c r="N521" s="11" t="s">
        <v>101</v>
      </c>
      <c r="O521" s="11" t="s">
        <v>561</v>
      </c>
      <c r="P521" s="11" t="s">
        <v>562</v>
      </c>
      <c r="Q521" s="10" t="n">
        <v>23825209</v>
      </c>
      <c r="R521" s="12" t="n">
        <f aca="false">IF(OR($H521="",Q521=""),"",Q521/$H521)</f>
        <v>0.0713337504477295</v>
      </c>
      <c r="S521" s="9" t="s">
        <v>170</v>
      </c>
      <c r="T521" s="11" t="s">
        <v>152</v>
      </c>
      <c r="U521" s="11" t="s">
        <v>563</v>
      </c>
      <c r="V521" s="11" t="s">
        <v>564</v>
      </c>
      <c r="W521" s="10" t="n">
        <v>10990000</v>
      </c>
      <c r="X521" s="12" t="n">
        <f aca="false">IF(OR($H521="",W521=""),"",W521/$H521)</f>
        <v>0.0329045557342455</v>
      </c>
      <c r="Y521" s="9" t="s">
        <v>115</v>
      </c>
      <c r="Z521" s="11" t="s">
        <v>576</v>
      </c>
      <c r="AA521" s="11" t="s">
        <v>577</v>
      </c>
      <c r="AB521" s="11" t="s">
        <v>583</v>
      </c>
      <c r="AC521" s="9" t="n">
        <v>5</v>
      </c>
      <c r="AD521" s="10"/>
      <c r="AE521" s="9"/>
      <c r="AF521" s="11"/>
      <c r="AG521" s="11"/>
      <c r="AH521" s="11"/>
      <c r="AI521" s="10"/>
      <c r="AJ521" s="9"/>
      <c r="AK521" s="11"/>
      <c r="AL521" s="11"/>
      <c r="AM521" s="11"/>
    </row>
  </sheetData>
  <autoFilter ref="A1:AM5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7"/>
    <col collapsed="false" customWidth="true" hidden="false" outlineLevel="0" max="4" min="4" style="0" width="26"/>
    <col collapsed="false" customWidth="true" hidden="false" outlineLevel="0" max="5" min="5" style="0" width="14"/>
    <col collapsed="false" customWidth="true" hidden="false" outlineLevel="0" max="6" min="6" style="0" width="12"/>
    <col collapsed="false" customWidth="true" hidden="false" outlineLevel="0" max="7" min="7" style="0" width="10"/>
    <col collapsed="false" customWidth="true" hidden="false" outlineLevel="0" max="8" min="8" style="0" width="60"/>
    <col collapsed="false" customWidth="true" hidden="false" outlineLevel="0" max="9" min="9" style="0" width="46"/>
    <col collapsed="false" customWidth="true" hidden="false" outlineLevel="0" max="10" min="10" style="0" width="80"/>
  </cols>
  <sheetData>
    <row r="1" customFormat="false" ht="15" hidden="false" customHeight="false" outlineLevel="0" collapsed="false">
      <c r="A1" s="6" t="s">
        <v>61</v>
      </c>
      <c r="B1" s="6" t="s">
        <v>62</v>
      </c>
      <c r="C1" s="6" t="s">
        <v>67</v>
      </c>
      <c r="D1" s="6" t="s">
        <v>584</v>
      </c>
      <c r="E1" s="6" t="s">
        <v>585</v>
      </c>
      <c r="F1" s="6" t="s">
        <v>586</v>
      </c>
      <c r="G1" s="6" t="s">
        <v>587</v>
      </c>
      <c r="H1" s="6" t="s">
        <v>588</v>
      </c>
      <c r="I1" s="6" t="s">
        <v>589</v>
      </c>
      <c r="J1" s="6" t="s">
        <v>590</v>
      </c>
    </row>
    <row r="2" customFormat="false" ht="15" hidden="false" customHeight="false" outlineLevel="0" collapsed="false">
      <c r="A2" s="14" t="s">
        <v>94</v>
      </c>
      <c r="B2" s="14" t="s">
        <v>95</v>
      </c>
      <c r="C2" s="14" t="n">
        <v>2010</v>
      </c>
      <c r="D2" s="14" t="s">
        <v>34</v>
      </c>
      <c r="E2" s="15" t="n">
        <v>53900</v>
      </c>
      <c r="F2" s="16" t="n">
        <v>0.00244646929998752</v>
      </c>
      <c r="G2" s="14" t="s">
        <v>591</v>
      </c>
      <c r="H2" s="14" t="s">
        <v>104</v>
      </c>
      <c r="I2" s="14" t="s">
        <v>105</v>
      </c>
      <c r="J2" s="14" t="s">
        <v>106</v>
      </c>
    </row>
    <row r="3" customFormat="false" ht="15" hidden="false" customHeight="false" outlineLevel="0" collapsed="false">
      <c r="A3" s="14" t="s">
        <v>94</v>
      </c>
      <c r="B3" s="14" t="s">
        <v>95</v>
      </c>
      <c r="C3" s="14" t="n">
        <v>2011</v>
      </c>
      <c r="D3" s="14" t="s">
        <v>34</v>
      </c>
      <c r="E3" s="15" t="n">
        <v>58400</v>
      </c>
      <c r="F3" s="16" t="n">
        <v>0.00261414222294479</v>
      </c>
      <c r="G3" s="14" t="s">
        <v>591</v>
      </c>
      <c r="H3" s="14" t="s">
        <v>104</v>
      </c>
      <c r="I3" s="14" t="s">
        <v>105</v>
      </c>
      <c r="J3" s="14" t="s">
        <v>107</v>
      </c>
    </row>
    <row r="4" customFormat="false" ht="15" hidden="false" customHeight="false" outlineLevel="0" collapsed="false">
      <c r="A4" s="14" t="s">
        <v>94</v>
      </c>
      <c r="B4" s="14" t="s">
        <v>95</v>
      </c>
      <c r="C4" s="14" t="n">
        <v>2016</v>
      </c>
      <c r="D4" s="14" t="s">
        <v>34</v>
      </c>
      <c r="E4" s="15" t="n">
        <v>64600</v>
      </c>
      <c r="F4" s="16" t="n">
        <v>0.00267042488320095</v>
      </c>
      <c r="G4" s="14" t="s">
        <v>591</v>
      </c>
      <c r="H4" s="14" t="s">
        <v>108</v>
      </c>
      <c r="I4" s="14" t="s">
        <v>109</v>
      </c>
      <c r="J4" s="14" t="s">
        <v>110</v>
      </c>
    </row>
    <row r="5" customFormat="false" ht="15" hidden="false" customHeight="false" outlineLevel="0" collapsed="false">
      <c r="A5" s="14" t="s">
        <v>111</v>
      </c>
      <c r="B5" s="14" t="s">
        <v>112</v>
      </c>
      <c r="C5" s="14" t="n">
        <v>2010</v>
      </c>
      <c r="D5" s="14" t="s">
        <v>38</v>
      </c>
      <c r="E5" s="15" t="n">
        <v>15220</v>
      </c>
      <c r="F5" s="16" t="n">
        <v>0.00181983316840846</v>
      </c>
      <c r="G5" s="14" t="s">
        <v>591</v>
      </c>
      <c r="H5" s="14" t="s">
        <v>123</v>
      </c>
      <c r="I5" s="14" t="s">
        <v>124</v>
      </c>
      <c r="J5" s="14" t="s">
        <v>125</v>
      </c>
    </row>
    <row r="6" customFormat="false" ht="15" hidden="false" customHeight="false" outlineLevel="0" collapsed="false">
      <c r="A6" s="14" t="s">
        <v>111</v>
      </c>
      <c r="B6" s="14" t="s">
        <v>112</v>
      </c>
      <c r="C6" s="14" t="n">
        <v>2011</v>
      </c>
      <c r="D6" s="14" t="s">
        <v>38</v>
      </c>
      <c r="E6" s="15" t="n">
        <v>20080</v>
      </c>
      <c r="F6" s="16" t="n">
        <v>0.00239285679812642</v>
      </c>
      <c r="G6" s="14" t="s">
        <v>591</v>
      </c>
      <c r="H6" s="14" t="s">
        <v>123</v>
      </c>
      <c r="I6" s="14" t="s">
        <v>124</v>
      </c>
      <c r="J6" s="14" t="s">
        <v>125</v>
      </c>
    </row>
    <row r="7" customFormat="false" ht="15" hidden="false" customHeight="false" outlineLevel="0" collapsed="false">
      <c r="A7" s="14" t="s">
        <v>111</v>
      </c>
      <c r="B7" s="14" t="s">
        <v>112</v>
      </c>
      <c r="C7" s="14" t="n">
        <v>2012</v>
      </c>
      <c r="D7" s="14" t="s">
        <v>38</v>
      </c>
      <c r="E7" s="15" t="n">
        <v>23135</v>
      </c>
      <c r="F7" s="16" t="n">
        <v>0.00274436829173365</v>
      </c>
      <c r="G7" s="14" t="s">
        <v>591</v>
      </c>
      <c r="H7" s="14" t="s">
        <v>123</v>
      </c>
      <c r="I7" s="14" t="s">
        <v>124</v>
      </c>
      <c r="J7" s="14" t="s">
        <v>125</v>
      </c>
    </row>
    <row r="8" customFormat="false" ht="15" hidden="false" customHeight="false" outlineLevel="0" collapsed="false">
      <c r="A8" s="14" t="s">
        <v>111</v>
      </c>
      <c r="B8" s="14" t="s">
        <v>112</v>
      </c>
      <c r="C8" s="14" t="n">
        <v>2013</v>
      </c>
      <c r="D8" s="14" t="s">
        <v>38</v>
      </c>
      <c r="E8" s="15" t="n">
        <v>25960</v>
      </c>
      <c r="F8" s="16" t="n">
        <v>0.00306138465390138</v>
      </c>
      <c r="G8" s="14" t="s">
        <v>591</v>
      </c>
      <c r="H8" s="14" t="s">
        <v>123</v>
      </c>
      <c r="I8" s="14" t="s">
        <v>124</v>
      </c>
      <c r="J8" s="14" t="s">
        <v>125</v>
      </c>
    </row>
    <row r="9" customFormat="false" ht="15" hidden="false" customHeight="false" outlineLevel="0" collapsed="false">
      <c r="A9" s="14" t="s">
        <v>111</v>
      </c>
      <c r="B9" s="14" t="s">
        <v>112</v>
      </c>
      <c r="C9" s="14" t="n">
        <v>2014</v>
      </c>
      <c r="D9" s="14" t="s">
        <v>38</v>
      </c>
      <c r="E9" s="15" t="n">
        <v>33055</v>
      </c>
      <c r="F9" s="16" t="n">
        <v>0.00386773029347245</v>
      </c>
      <c r="G9" s="14" t="s">
        <v>591</v>
      </c>
      <c r="H9" s="14" t="s">
        <v>123</v>
      </c>
      <c r="I9" s="14" t="s">
        <v>124</v>
      </c>
      <c r="J9" s="14" t="s">
        <v>125</v>
      </c>
    </row>
    <row r="10" customFormat="false" ht="15" hidden="false" customHeight="false" outlineLevel="0" collapsed="false">
      <c r="A10" s="14" t="s">
        <v>111</v>
      </c>
      <c r="B10" s="14" t="s">
        <v>112</v>
      </c>
      <c r="C10" s="14" t="n">
        <v>2015</v>
      </c>
      <c r="D10" s="14" t="s">
        <v>38</v>
      </c>
      <c r="E10" s="15" t="n">
        <v>86220</v>
      </c>
      <c r="F10" s="16" t="n">
        <v>0.00997605030558162</v>
      </c>
      <c r="G10" s="14" t="s">
        <v>591</v>
      </c>
      <c r="H10" s="14" t="s">
        <v>123</v>
      </c>
      <c r="I10" s="14" t="s">
        <v>124</v>
      </c>
      <c r="J10" s="14" t="s">
        <v>125</v>
      </c>
    </row>
    <row r="11" customFormat="false" ht="15" hidden="false" customHeight="false" outlineLevel="0" collapsed="false">
      <c r="A11" s="14" t="s">
        <v>111</v>
      </c>
      <c r="B11" s="14" t="s">
        <v>112</v>
      </c>
      <c r="C11" s="14" t="n">
        <v>2016</v>
      </c>
      <c r="D11" s="14" t="s">
        <v>38</v>
      </c>
      <c r="E11" s="15" t="n">
        <v>49810</v>
      </c>
      <c r="F11" s="16" t="n">
        <v>0.00570125819133793</v>
      </c>
      <c r="G11" s="14" t="s">
        <v>591</v>
      </c>
      <c r="H11" s="14" t="s">
        <v>123</v>
      </c>
      <c r="I11" s="14" t="s">
        <v>124</v>
      </c>
      <c r="J11" s="14" t="s">
        <v>125</v>
      </c>
    </row>
    <row r="12" customFormat="false" ht="15" hidden="false" customHeight="false" outlineLevel="0" collapsed="false">
      <c r="A12" s="14" t="s">
        <v>111</v>
      </c>
      <c r="B12" s="14" t="s">
        <v>112</v>
      </c>
      <c r="C12" s="14" t="n">
        <v>2017</v>
      </c>
      <c r="D12" s="14" t="s">
        <v>38</v>
      </c>
      <c r="E12" s="15" t="n">
        <v>26660</v>
      </c>
      <c r="F12" s="16" t="n">
        <v>0.00303038363110888</v>
      </c>
      <c r="G12" s="14" t="s">
        <v>591</v>
      </c>
      <c r="H12" s="14" t="s">
        <v>123</v>
      </c>
      <c r="I12" s="14" t="s">
        <v>124</v>
      </c>
      <c r="J12" s="14" t="s">
        <v>125</v>
      </c>
    </row>
    <row r="13" customFormat="false" ht="15" hidden="false" customHeight="false" outlineLevel="0" collapsed="false">
      <c r="A13" s="14" t="s">
        <v>111</v>
      </c>
      <c r="B13" s="14" t="s">
        <v>112</v>
      </c>
      <c r="C13" s="14" t="n">
        <v>2018</v>
      </c>
      <c r="D13" s="14" t="s">
        <v>38</v>
      </c>
      <c r="E13" s="15" t="n">
        <v>18840</v>
      </c>
      <c r="F13" s="16" t="n">
        <v>0.00213109611978751</v>
      </c>
      <c r="G13" s="14" t="s">
        <v>591</v>
      </c>
      <c r="H13" s="14" t="s">
        <v>123</v>
      </c>
      <c r="I13" s="14" t="s">
        <v>124</v>
      </c>
      <c r="J13" s="14" t="s">
        <v>125</v>
      </c>
    </row>
    <row r="14" customFormat="false" ht="15" hidden="false" customHeight="false" outlineLevel="0" collapsed="false">
      <c r="A14" s="14" t="s">
        <v>111</v>
      </c>
      <c r="B14" s="14" t="s">
        <v>112</v>
      </c>
      <c r="C14" s="14" t="n">
        <v>2019</v>
      </c>
      <c r="D14" s="14" t="s">
        <v>38</v>
      </c>
      <c r="E14" s="15" t="n">
        <v>16090</v>
      </c>
      <c r="F14" s="16" t="n">
        <v>0.00181195326084019</v>
      </c>
      <c r="G14" s="14" t="s">
        <v>591</v>
      </c>
      <c r="H14" s="14" t="s">
        <v>123</v>
      </c>
      <c r="I14" s="14" t="s">
        <v>124</v>
      </c>
      <c r="J14" s="14" t="s">
        <v>125</v>
      </c>
    </row>
    <row r="15" customFormat="false" ht="15" hidden="false" customHeight="false" outlineLevel="0" collapsed="false">
      <c r="A15" s="14" t="s">
        <v>111</v>
      </c>
      <c r="B15" s="14" t="s">
        <v>112</v>
      </c>
      <c r="C15" s="14" t="n">
        <v>2020</v>
      </c>
      <c r="D15" s="14" t="s">
        <v>38</v>
      </c>
      <c r="E15" s="15" t="n">
        <v>18715</v>
      </c>
      <c r="F15" s="16" t="n">
        <v>0.00209883205575413</v>
      </c>
      <c r="G15" s="14" t="s">
        <v>591</v>
      </c>
      <c r="H15" s="14" t="s">
        <v>123</v>
      </c>
      <c r="I15" s="14" t="s">
        <v>124</v>
      </c>
      <c r="J15" s="14" t="s">
        <v>125</v>
      </c>
    </row>
    <row r="16" customFormat="false" ht="15" hidden="false" customHeight="false" outlineLevel="0" collapsed="false">
      <c r="A16" s="14" t="s">
        <v>111</v>
      </c>
      <c r="B16" s="14" t="s">
        <v>112</v>
      </c>
      <c r="C16" s="14" t="n">
        <v>2021</v>
      </c>
      <c r="D16" s="14" t="s">
        <v>38</v>
      </c>
      <c r="E16" s="15" t="n">
        <v>38410</v>
      </c>
      <c r="F16" s="16" t="n">
        <v>0.00428884218791471</v>
      </c>
      <c r="G16" s="14" t="s">
        <v>591</v>
      </c>
      <c r="H16" s="14" t="s">
        <v>123</v>
      </c>
      <c r="I16" s="14" t="s">
        <v>124</v>
      </c>
      <c r="J16" s="14" t="s">
        <v>125</v>
      </c>
    </row>
    <row r="17" customFormat="false" ht="15" hidden="false" customHeight="false" outlineLevel="0" collapsed="false">
      <c r="A17" s="14" t="s">
        <v>111</v>
      </c>
      <c r="B17" s="14" t="s">
        <v>112</v>
      </c>
      <c r="C17" s="14" t="n">
        <v>2022</v>
      </c>
      <c r="D17" s="14" t="s">
        <v>38</v>
      </c>
      <c r="E17" s="15" t="n">
        <v>105545</v>
      </c>
      <c r="F17" s="16" t="n">
        <v>0.0116729417461093</v>
      </c>
      <c r="G17" s="14" t="s">
        <v>591</v>
      </c>
      <c r="H17" s="14" t="s">
        <v>123</v>
      </c>
      <c r="I17" s="14" t="s">
        <v>124</v>
      </c>
      <c r="J17" s="14" t="s">
        <v>125</v>
      </c>
    </row>
    <row r="18" customFormat="false" ht="15" hidden="false" customHeight="false" outlineLevel="0" collapsed="false">
      <c r="A18" s="14" t="s">
        <v>111</v>
      </c>
      <c r="B18" s="14" t="s">
        <v>112</v>
      </c>
      <c r="C18" s="14" t="n">
        <v>2017</v>
      </c>
      <c r="D18" s="14" t="s">
        <v>30</v>
      </c>
      <c r="E18" s="15" t="n">
        <v>150000</v>
      </c>
      <c r="F18" s="16" t="n">
        <v>0.0170501704676043</v>
      </c>
      <c r="G18" s="14" t="s">
        <v>591</v>
      </c>
      <c r="H18" s="14" t="s">
        <v>127</v>
      </c>
      <c r="I18" s="14" t="s">
        <v>128</v>
      </c>
      <c r="J18" s="14" t="s">
        <v>129</v>
      </c>
    </row>
    <row r="19" customFormat="false" ht="15" hidden="false" customHeight="false" outlineLevel="0" collapsed="false">
      <c r="A19" s="14" t="s">
        <v>130</v>
      </c>
      <c r="B19" s="14" t="s">
        <v>131</v>
      </c>
      <c r="C19" s="14" t="n">
        <v>2010</v>
      </c>
      <c r="D19" s="14" t="s">
        <v>38</v>
      </c>
      <c r="E19" s="15" t="n">
        <v>12115</v>
      </c>
      <c r="F19" s="16" t="n">
        <v>0.00111191816575997</v>
      </c>
      <c r="G19" s="14" t="s">
        <v>591</v>
      </c>
      <c r="H19" s="14" t="s">
        <v>123</v>
      </c>
      <c r="I19" s="14" t="s">
        <v>124</v>
      </c>
      <c r="J19" s="14" t="s">
        <v>125</v>
      </c>
    </row>
    <row r="20" customFormat="false" ht="15" hidden="false" customHeight="false" outlineLevel="0" collapsed="false">
      <c r="A20" s="14" t="s">
        <v>130</v>
      </c>
      <c r="B20" s="14" t="s">
        <v>131</v>
      </c>
      <c r="C20" s="14" t="n">
        <v>2011</v>
      </c>
      <c r="D20" s="14" t="s">
        <v>38</v>
      </c>
      <c r="E20" s="15" t="n">
        <v>13550</v>
      </c>
      <c r="F20" s="16" t="n">
        <v>0.00122754809995485</v>
      </c>
      <c r="G20" s="14" t="s">
        <v>591</v>
      </c>
      <c r="H20" s="14" t="s">
        <v>123</v>
      </c>
      <c r="I20" s="14" t="s">
        <v>124</v>
      </c>
      <c r="J20" s="14" t="s">
        <v>125</v>
      </c>
    </row>
    <row r="21" customFormat="false" ht="15" hidden="false" customHeight="false" outlineLevel="0" collapsed="false">
      <c r="A21" s="14" t="s">
        <v>130</v>
      </c>
      <c r="B21" s="14" t="s">
        <v>131</v>
      </c>
      <c r="C21" s="14" t="n">
        <v>2012</v>
      </c>
      <c r="D21" s="14" t="s">
        <v>38</v>
      </c>
      <c r="E21" s="15" t="n">
        <v>15085</v>
      </c>
      <c r="F21" s="16" t="n">
        <v>0.00135816083145193</v>
      </c>
      <c r="G21" s="14" t="s">
        <v>591</v>
      </c>
      <c r="H21" s="14" t="s">
        <v>123</v>
      </c>
      <c r="I21" s="14" t="s">
        <v>124</v>
      </c>
      <c r="J21" s="14" t="s">
        <v>125</v>
      </c>
    </row>
    <row r="22" customFormat="false" ht="15" hidden="false" customHeight="false" outlineLevel="0" collapsed="false">
      <c r="A22" s="14" t="s">
        <v>130</v>
      </c>
      <c r="B22" s="14" t="s">
        <v>131</v>
      </c>
      <c r="C22" s="14" t="n">
        <v>2013</v>
      </c>
      <c r="D22" s="14" t="s">
        <v>38</v>
      </c>
      <c r="E22" s="15" t="n">
        <v>15075</v>
      </c>
      <c r="F22" s="16" t="n">
        <v>0.00135087823214979</v>
      </c>
      <c r="G22" s="14" t="s">
        <v>591</v>
      </c>
      <c r="H22" s="14" t="s">
        <v>123</v>
      </c>
      <c r="I22" s="14" t="s">
        <v>124</v>
      </c>
      <c r="J22" s="14" t="s">
        <v>125</v>
      </c>
    </row>
    <row r="23" customFormat="false" ht="15" hidden="false" customHeight="false" outlineLevel="0" collapsed="false">
      <c r="A23" s="14" t="s">
        <v>130</v>
      </c>
      <c r="B23" s="14" t="s">
        <v>131</v>
      </c>
      <c r="C23" s="14" t="n">
        <v>2014</v>
      </c>
      <c r="D23" s="14" t="s">
        <v>38</v>
      </c>
      <c r="E23" s="15" t="n">
        <v>15540</v>
      </c>
      <c r="F23" s="16" t="n">
        <v>0.00138637888985666</v>
      </c>
      <c r="G23" s="14" t="s">
        <v>591</v>
      </c>
      <c r="H23" s="14" t="s">
        <v>123</v>
      </c>
      <c r="I23" s="14" t="s">
        <v>124</v>
      </c>
      <c r="J23" s="14" t="s">
        <v>125</v>
      </c>
    </row>
    <row r="24" customFormat="false" ht="15" hidden="false" customHeight="false" outlineLevel="0" collapsed="false">
      <c r="A24" s="14" t="s">
        <v>130</v>
      </c>
      <c r="B24" s="14" t="s">
        <v>131</v>
      </c>
      <c r="C24" s="14" t="n">
        <v>2015</v>
      </c>
      <c r="D24" s="14" t="s">
        <v>38</v>
      </c>
      <c r="E24" s="15" t="n">
        <v>16275</v>
      </c>
      <c r="F24" s="16" t="n">
        <v>0.00144356191785206</v>
      </c>
      <c r="G24" s="14" t="s">
        <v>591</v>
      </c>
      <c r="H24" s="14" t="s">
        <v>123</v>
      </c>
      <c r="I24" s="14" t="s">
        <v>124</v>
      </c>
      <c r="J24" s="14" t="s">
        <v>125</v>
      </c>
    </row>
    <row r="25" customFormat="false" ht="15" hidden="false" customHeight="false" outlineLevel="0" collapsed="false">
      <c r="A25" s="14" t="s">
        <v>130</v>
      </c>
      <c r="B25" s="14" t="s">
        <v>131</v>
      </c>
      <c r="C25" s="14" t="n">
        <v>2016</v>
      </c>
      <c r="D25" s="14" t="s">
        <v>38</v>
      </c>
      <c r="E25" s="15" t="n">
        <v>19320</v>
      </c>
      <c r="F25" s="16" t="n">
        <v>0.00170499342447929</v>
      </c>
      <c r="G25" s="14" t="s">
        <v>591</v>
      </c>
      <c r="H25" s="14" t="s">
        <v>123</v>
      </c>
      <c r="I25" s="14" t="s">
        <v>124</v>
      </c>
      <c r="J25" s="14" t="s">
        <v>125</v>
      </c>
    </row>
    <row r="26" customFormat="false" ht="15" hidden="false" customHeight="false" outlineLevel="0" collapsed="false">
      <c r="A26" s="14" t="s">
        <v>130</v>
      </c>
      <c r="B26" s="14" t="s">
        <v>131</v>
      </c>
      <c r="C26" s="14" t="n">
        <v>2017</v>
      </c>
      <c r="D26" s="14" t="s">
        <v>38</v>
      </c>
      <c r="E26" s="15" t="n">
        <v>18285</v>
      </c>
      <c r="F26" s="16" t="n">
        <v>0.00160745019981261</v>
      </c>
      <c r="G26" s="14" t="s">
        <v>591</v>
      </c>
      <c r="H26" s="14" t="s">
        <v>123</v>
      </c>
      <c r="I26" s="14" t="s">
        <v>124</v>
      </c>
      <c r="J26" s="14" t="s">
        <v>125</v>
      </c>
    </row>
    <row r="27" customFormat="false" ht="15" hidden="false" customHeight="false" outlineLevel="0" collapsed="false">
      <c r="A27" s="14" t="s">
        <v>130</v>
      </c>
      <c r="B27" s="14" t="s">
        <v>131</v>
      </c>
      <c r="C27" s="14" t="n">
        <v>2018</v>
      </c>
      <c r="D27" s="14" t="s">
        <v>38</v>
      </c>
      <c r="E27" s="15" t="n">
        <v>19145</v>
      </c>
      <c r="F27" s="16" t="n">
        <v>0.00167540995255645</v>
      </c>
      <c r="G27" s="14" t="s">
        <v>591</v>
      </c>
      <c r="H27" s="14" t="s">
        <v>123</v>
      </c>
      <c r="I27" s="14" t="s">
        <v>124</v>
      </c>
      <c r="J27" s="14" t="s">
        <v>125</v>
      </c>
    </row>
    <row r="28" customFormat="false" ht="15" hidden="false" customHeight="false" outlineLevel="0" collapsed="false">
      <c r="A28" s="14" t="s">
        <v>130</v>
      </c>
      <c r="B28" s="14" t="s">
        <v>131</v>
      </c>
      <c r="C28" s="14" t="n">
        <v>2019</v>
      </c>
      <c r="D28" s="14" t="s">
        <v>38</v>
      </c>
      <c r="E28" s="15" t="n">
        <v>17585</v>
      </c>
      <c r="F28" s="16" t="n">
        <v>0.00153059714613482</v>
      </c>
      <c r="G28" s="14" t="s">
        <v>591</v>
      </c>
      <c r="H28" s="14" t="s">
        <v>123</v>
      </c>
      <c r="I28" s="14" t="s">
        <v>124</v>
      </c>
      <c r="J28" s="14" t="s">
        <v>125</v>
      </c>
    </row>
    <row r="29" customFormat="false" ht="15" hidden="false" customHeight="false" outlineLevel="0" collapsed="false">
      <c r="A29" s="14" t="s">
        <v>130</v>
      </c>
      <c r="B29" s="14" t="s">
        <v>131</v>
      </c>
      <c r="C29" s="14" t="n">
        <v>2020</v>
      </c>
      <c r="D29" s="14" t="s">
        <v>38</v>
      </c>
      <c r="E29" s="15" t="n">
        <v>11495</v>
      </c>
      <c r="F29" s="16" t="n">
        <v>0.000996221033324309</v>
      </c>
      <c r="G29" s="14" t="s">
        <v>591</v>
      </c>
      <c r="H29" s="14" t="s">
        <v>123</v>
      </c>
      <c r="I29" s="14" t="s">
        <v>124</v>
      </c>
      <c r="J29" s="14" t="s">
        <v>125</v>
      </c>
    </row>
    <row r="30" customFormat="false" ht="15" hidden="false" customHeight="false" outlineLevel="0" collapsed="false">
      <c r="A30" s="14" t="s">
        <v>130</v>
      </c>
      <c r="B30" s="14" t="s">
        <v>131</v>
      </c>
      <c r="C30" s="14" t="n">
        <v>2021</v>
      </c>
      <c r="D30" s="14" t="s">
        <v>38</v>
      </c>
      <c r="E30" s="15" t="n">
        <v>10885</v>
      </c>
      <c r="F30" s="16" t="n">
        <v>0.000939480131311444</v>
      </c>
      <c r="G30" s="14" t="s">
        <v>591</v>
      </c>
      <c r="H30" s="14" t="s">
        <v>123</v>
      </c>
      <c r="I30" s="14" t="s">
        <v>124</v>
      </c>
      <c r="J30" s="14" t="s">
        <v>125</v>
      </c>
    </row>
    <row r="31" customFormat="false" ht="15" hidden="false" customHeight="false" outlineLevel="0" collapsed="false">
      <c r="A31" s="14" t="s">
        <v>130</v>
      </c>
      <c r="B31" s="14" t="s">
        <v>131</v>
      </c>
      <c r="C31" s="14" t="n">
        <v>2022</v>
      </c>
      <c r="D31" s="14" t="s">
        <v>38</v>
      </c>
      <c r="E31" s="15" t="n">
        <v>10965</v>
      </c>
      <c r="F31" s="16" t="n">
        <v>0.000938767368052458</v>
      </c>
      <c r="G31" s="14" t="s">
        <v>591</v>
      </c>
      <c r="H31" s="14" t="s">
        <v>123</v>
      </c>
      <c r="I31" s="14" t="s">
        <v>124</v>
      </c>
      <c r="J31" s="14" t="s">
        <v>125</v>
      </c>
    </row>
    <row r="32" customFormat="false" ht="15" hidden="false" customHeight="false" outlineLevel="0" collapsed="false">
      <c r="A32" s="14" t="s">
        <v>136</v>
      </c>
      <c r="B32" s="14" t="s">
        <v>137</v>
      </c>
      <c r="C32" s="14" t="n">
        <v>2010</v>
      </c>
      <c r="D32" s="14" t="s">
        <v>38</v>
      </c>
      <c r="E32" s="15" t="n">
        <v>1705</v>
      </c>
      <c r="F32" s="16" t="n">
        <v>0.000230542515893574</v>
      </c>
      <c r="G32" s="14" t="s">
        <v>591</v>
      </c>
      <c r="H32" s="14" t="s">
        <v>123</v>
      </c>
      <c r="I32" s="14" t="s">
        <v>124</v>
      </c>
      <c r="J32" s="14" t="s">
        <v>125</v>
      </c>
    </row>
    <row r="33" customFormat="false" ht="15" hidden="false" customHeight="false" outlineLevel="0" collapsed="false">
      <c r="A33" s="14" t="s">
        <v>136</v>
      </c>
      <c r="B33" s="14" t="s">
        <v>137</v>
      </c>
      <c r="C33" s="14" t="n">
        <v>2011</v>
      </c>
      <c r="D33" s="14" t="s">
        <v>38</v>
      </c>
      <c r="E33" s="15" t="n">
        <v>1355</v>
      </c>
      <c r="F33" s="16" t="n">
        <v>0.000184395688379724</v>
      </c>
      <c r="G33" s="14" t="s">
        <v>591</v>
      </c>
      <c r="H33" s="14" t="s">
        <v>123</v>
      </c>
      <c r="I33" s="14" t="s">
        <v>124</v>
      </c>
      <c r="J33" s="14" t="s">
        <v>125</v>
      </c>
    </row>
    <row r="34" customFormat="false" ht="15" hidden="false" customHeight="false" outlineLevel="0" collapsed="false">
      <c r="A34" s="14" t="s">
        <v>136</v>
      </c>
      <c r="B34" s="14" t="s">
        <v>137</v>
      </c>
      <c r="C34" s="14" t="n">
        <v>2012</v>
      </c>
      <c r="D34" s="14" t="s">
        <v>38</v>
      </c>
      <c r="E34" s="15" t="n">
        <v>2050</v>
      </c>
      <c r="F34" s="16" t="n">
        <v>0.000280595596319024</v>
      </c>
      <c r="G34" s="14" t="s">
        <v>591</v>
      </c>
      <c r="H34" s="14" t="s">
        <v>123</v>
      </c>
      <c r="I34" s="14" t="s">
        <v>124</v>
      </c>
      <c r="J34" s="14" t="s">
        <v>125</v>
      </c>
    </row>
    <row r="35" customFormat="false" ht="15" hidden="false" customHeight="false" outlineLevel="0" collapsed="false">
      <c r="A35" s="14" t="s">
        <v>136</v>
      </c>
      <c r="B35" s="14" t="s">
        <v>137</v>
      </c>
      <c r="C35" s="14" t="n">
        <v>2013</v>
      </c>
      <c r="D35" s="14" t="s">
        <v>38</v>
      </c>
      <c r="E35" s="15" t="n">
        <v>5260</v>
      </c>
      <c r="F35" s="16" t="n">
        <v>0.000734636358494163</v>
      </c>
      <c r="G35" s="14" t="s">
        <v>591</v>
      </c>
      <c r="H35" s="14" t="s">
        <v>123</v>
      </c>
      <c r="I35" s="14" t="s">
        <v>124</v>
      </c>
      <c r="J35" s="14" t="s">
        <v>125</v>
      </c>
    </row>
    <row r="36" customFormat="false" ht="15" hidden="false" customHeight="false" outlineLevel="0" collapsed="false">
      <c r="A36" s="14" t="s">
        <v>136</v>
      </c>
      <c r="B36" s="14" t="s">
        <v>137</v>
      </c>
      <c r="C36" s="14" t="n">
        <v>2014</v>
      </c>
      <c r="D36" s="14" t="s">
        <v>38</v>
      </c>
      <c r="E36" s="15" t="n">
        <v>12870</v>
      </c>
      <c r="F36" s="16" t="n">
        <v>0.00181944850494206</v>
      </c>
      <c r="G36" s="14" t="s">
        <v>591</v>
      </c>
      <c r="H36" s="14" t="s">
        <v>123</v>
      </c>
      <c r="I36" s="14" t="s">
        <v>124</v>
      </c>
      <c r="J36" s="14" t="s">
        <v>125</v>
      </c>
    </row>
    <row r="37" customFormat="false" ht="15" hidden="false" customHeight="false" outlineLevel="0" collapsed="false">
      <c r="A37" s="14" t="s">
        <v>136</v>
      </c>
      <c r="B37" s="14" t="s">
        <v>137</v>
      </c>
      <c r="C37" s="14" t="n">
        <v>2015</v>
      </c>
      <c r="D37" s="14" t="s">
        <v>38</v>
      </c>
      <c r="E37" s="15" t="n">
        <v>20810</v>
      </c>
      <c r="F37" s="16" t="n">
        <v>0.00297957182078183</v>
      </c>
      <c r="G37" s="14" t="s">
        <v>591</v>
      </c>
      <c r="H37" s="14" t="s">
        <v>123</v>
      </c>
      <c r="I37" s="14" t="s">
        <v>124</v>
      </c>
      <c r="J37" s="14" t="s">
        <v>125</v>
      </c>
    </row>
    <row r="38" customFormat="false" ht="15" hidden="false" customHeight="false" outlineLevel="0" collapsed="false">
      <c r="A38" s="14" t="s">
        <v>136</v>
      </c>
      <c r="B38" s="14" t="s">
        <v>137</v>
      </c>
      <c r="C38" s="14" t="n">
        <v>2016</v>
      </c>
      <c r="D38" s="14" t="s">
        <v>38</v>
      </c>
      <c r="E38" s="15" t="n">
        <v>14125</v>
      </c>
      <c r="F38" s="16" t="n">
        <v>0.00204884177705149</v>
      </c>
      <c r="G38" s="14" t="s">
        <v>591</v>
      </c>
      <c r="H38" s="14" t="s">
        <v>123</v>
      </c>
      <c r="I38" s="14" t="s">
        <v>124</v>
      </c>
      <c r="J38" s="14" t="s">
        <v>125</v>
      </c>
    </row>
    <row r="39" customFormat="false" ht="15" hidden="false" customHeight="false" outlineLevel="0" collapsed="false">
      <c r="A39" s="14" t="s">
        <v>136</v>
      </c>
      <c r="B39" s="14" t="s">
        <v>137</v>
      </c>
      <c r="C39" s="14" t="n">
        <v>2017</v>
      </c>
      <c r="D39" s="14" t="s">
        <v>38</v>
      </c>
      <c r="E39" s="15" t="n">
        <v>2595</v>
      </c>
      <c r="F39" s="16" t="n">
        <v>0.000381423121266977</v>
      </c>
      <c r="G39" s="14" t="s">
        <v>591</v>
      </c>
      <c r="H39" s="14" t="s">
        <v>123</v>
      </c>
      <c r="I39" s="14" t="s">
        <v>124</v>
      </c>
      <c r="J39" s="14" t="s">
        <v>125</v>
      </c>
    </row>
    <row r="40" customFormat="false" ht="15" hidden="false" customHeight="false" outlineLevel="0" collapsed="false">
      <c r="A40" s="14" t="s">
        <v>136</v>
      </c>
      <c r="B40" s="14" t="s">
        <v>137</v>
      </c>
      <c r="C40" s="14" t="n">
        <v>2018</v>
      </c>
      <c r="D40" s="14" t="s">
        <v>38</v>
      </c>
      <c r="E40" s="15" t="n">
        <v>1305</v>
      </c>
      <c r="F40" s="16" t="n">
        <v>0.000194462715164426</v>
      </c>
      <c r="G40" s="14" t="s">
        <v>591</v>
      </c>
      <c r="H40" s="14" t="s">
        <v>123</v>
      </c>
      <c r="I40" s="14" t="s">
        <v>124</v>
      </c>
      <c r="J40" s="14" t="s">
        <v>125</v>
      </c>
    </row>
    <row r="41" customFormat="false" ht="15" hidden="false" customHeight="false" outlineLevel="0" collapsed="false">
      <c r="A41" s="14" t="s">
        <v>136</v>
      </c>
      <c r="B41" s="14" t="s">
        <v>137</v>
      </c>
      <c r="C41" s="14" t="n">
        <v>2019</v>
      </c>
      <c r="D41" s="14" t="s">
        <v>38</v>
      </c>
      <c r="E41" s="15" t="n">
        <v>655</v>
      </c>
      <c r="F41" s="16" t="n">
        <v>9.89915556424733E-005</v>
      </c>
      <c r="G41" s="14" t="s">
        <v>591</v>
      </c>
      <c r="H41" s="14" t="s">
        <v>123</v>
      </c>
      <c r="I41" s="14" t="s">
        <v>124</v>
      </c>
      <c r="J41" s="14" t="s">
        <v>125</v>
      </c>
    </row>
    <row r="42" customFormat="false" ht="15" hidden="false" customHeight="false" outlineLevel="0" collapsed="false">
      <c r="A42" s="14" t="s">
        <v>136</v>
      </c>
      <c r="B42" s="14" t="s">
        <v>137</v>
      </c>
      <c r="C42" s="14" t="n">
        <v>2020</v>
      </c>
      <c r="D42" s="14" t="s">
        <v>38</v>
      </c>
      <c r="E42" s="15" t="n">
        <v>670</v>
      </c>
      <c r="F42" s="16" t="n">
        <v>0.000102279208194061</v>
      </c>
      <c r="G42" s="14" t="s">
        <v>591</v>
      </c>
      <c r="H42" s="14" t="s">
        <v>123</v>
      </c>
      <c r="I42" s="14" t="s">
        <v>124</v>
      </c>
      <c r="J42" s="14" t="s">
        <v>125</v>
      </c>
    </row>
    <row r="43" customFormat="false" ht="15" hidden="false" customHeight="false" outlineLevel="0" collapsed="false">
      <c r="A43" s="14" t="s">
        <v>136</v>
      </c>
      <c r="B43" s="14" t="s">
        <v>137</v>
      </c>
      <c r="C43" s="14" t="n">
        <v>2021</v>
      </c>
      <c r="D43" s="14" t="s">
        <v>38</v>
      </c>
      <c r="E43" s="15" t="n">
        <v>3200</v>
      </c>
      <c r="F43" s="16" t="n">
        <v>0.000491755337581587</v>
      </c>
      <c r="G43" s="14" t="s">
        <v>591</v>
      </c>
      <c r="H43" s="14" t="s">
        <v>123</v>
      </c>
      <c r="I43" s="14" t="s">
        <v>124</v>
      </c>
      <c r="J43" s="14" t="s">
        <v>125</v>
      </c>
    </row>
    <row r="44" customFormat="false" ht="15" hidden="false" customHeight="false" outlineLevel="0" collapsed="false">
      <c r="A44" s="14" t="s">
        <v>136</v>
      </c>
      <c r="B44" s="14" t="s">
        <v>137</v>
      </c>
      <c r="C44" s="14" t="n">
        <v>2022</v>
      </c>
      <c r="D44" s="14" t="s">
        <v>38</v>
      </c>
      <c r="E44" s="15" t="n">
        <v>10135</v>
      </c>
      <c r="F44" s="16" t="n">
        <v>0.00156764855964265</v>
      </c>
      <c r="G44" s="14" t="s">
        <v>591</v>
      </c>
      <c r="H44" s="14" t="s">
        <v>123</v>
      </c>
      <c r="I44" s="14" t="s">
        <v>124</v>
      </c>
      <c r="J44" s="14" t="s">
        <v>125</v>
      </c>
    </row>
    <row r="45" customFormat="false" ht="15" hidden="false" customHeight="false" outlineLevel="0" collapsed="false">
      <c r="A45" s="14" t="s">
        <v>470</v>
      </c>
      <c r="B45" s="14" t="s">
        <v>471</v>
      </c>
      <c r="C45" s="14" t="n">
        <v>2010</v>
      </c>
      <c r="D45" s="14" t="s">
        <v>38</v>
      </c>
      <c r="E45" s="15" t="n">
        <v>12630</v>
      </c>
      <c r="F45" s="16" t="n">
        <v>0.00161407627871455</v>
      </c>
      <c r="G45" s="14" t="s">
        <v>591</v>
      </c>
      <c r="H45" s="14" t="s">
        <v>123</v>
      </c>
      <c r="I45" s="14" t="s">
        <v>124</v>
      </c>
      <c r="J45" s="14" t="s">
        <v>125</v>
      </c>
    </row>
    <row r="46" customFormat="false" ht="15" hidden="false" customHeight="false" outlineLevel="0" collapsed="false">
      <c r="A46" s="14" t="s">
        <v>470</v>
      </c>
      <c r="B46" s="14" t="s">
        <v>471</v>
      </c>
      <c r="C46" s="14" t="n">
        <v>2011</v>
      </c>
      <c r="D46" s="14" t="s">
        <v>38</v>
      </c>
      <c r="E46" s="15" t="n">
        <v>14170</v>
      </c>
      <c r="F46" s="16" t="n">
        <v>0.00179086036875294</v>
      </c>
      <c r="G46" s="14" t="s">
        <v>591</v>
      </c>
      <c r="H46" s="14" t="s">
        <v>123</v>
      </c>
      <c r="I46" s="14" t="s">
        <v>124</v>
      </c>
      <c r="J46" s="14" t="s">
        <v>125</v>
      </c>
    </row>
    <row r="47" customFormat="false" ht="15" hidden="false" customHeight="false" outlineLevel="0" collapsed="false">
      <c r="A47" s="14" t="s">
        <v>470</v>
      </c>
      <c r="B47" s="14" t="s">
        <v>471</v>
      </c>
      <c r="C47" s="14" t="n">
        <v>2012</v>
      </c>
      <c r="D47" s="14" t="s">
        <v>38</v>
      </c>
      <c r="E47" s="15" t="n">
        <v>15045</v>
      </c>
      <c r="F47" s="16" t="n">
        <v>0.00188136319988556</v>
      </c>
      <c r="G47" s="14" t="s">
        <v>591</v>
      </c>
      <c r="H47" s="14" t="s">
        <v>123</v>
      </c>
      <c r="I47" s="14" t="s">
        <v>124</v>
      </c>
      <c r="J47" s="14" t="s">
        <v>125</v>
      </c>
    </row>
    <row r="48" customFormat="false" ht="15" hidden="false" customHeight="false" outlineLevel="0" collapsed="false">
      <c r="A48" s="14" t="s">
        <v>470</v>
      </c>
      <c r="B48" s="14" t="s">
        <v>471</v>
      </c>
      <c r="C48" s="14" t="n">
        <v>2013</v>
      </c>
      <c r="D48" s="14" t="s">
        <v>38</v>
      </c>
      <c r="E48" s="15" t="n">
        <v>13800</v>
      </c>
      <c r="F48" s="16" t="n">
        <v>0.00170594755126063</v>
      </c>
      <c r="G48" s="14" t="s">
        <v>591</v>
      </c>
      <c r="H48" s="14" t="s">
        <v>123</v>
      </c>
      <c r="I48" s="14" t="s">
        <v>124</v>
      </c>
      <c r="J48" s="14" t="s">
        <v>125</v>
      </c>
    </row>
    <row r="49" customFormat="false" ht="15" hidden="false" customHeight="false" outlineLevel="0" collapsed="false">
      <c r="A49" s="14" t="s">
        <v>470</v>
      </c>
      <c r="B49" s="14" t="s">
        <v>471</v>
      </c>
      <c r="C49" s="14" t="n">
        <v>2014</v>
      </c>
      <c r="D49" s="14" t="s">
        <v>38</v>
      </c>
      <c r="E49" s="15" t="n">
        <v>15555</v>
      </c>
      <c r="F49" s="16" t="n">
        <v>0.00189958074891231</v>
      </c>
      <c r="G49" s="14" t="s">
        <v>591</v>
      </c>
      <c r="H49" s="14" t="s">
        <v>123</v>
      </c>
      <c r="I49" s="14" t="s">
        <v>124</v>
      </c>
      <c r="J49" s="14" t="s">
        <v>125</v>
      </c>
    </row>
    <row r="50" customFormat="false" ht="15" hidden="false" customHeight="false" outlineLevel="0" collapsed="false">
      <c r="A50" s="14" t="s">
        <v>470</v>
      </c>
      <c r="B50" s="14" t="s">
        <v>471</v>
      </c>
      <c r="C50" s="14" t="n">
        <v>2015</v>
      </c>
      <c r="D50" s="14" t="s">
        <v>38</v>
      </c>
      <c r="E50" s="15" t="n">
        <v>15765</v>
      </c>
      <c r="F50" s="16" t="n">
        <v>0.00190343470657525</v>
      </c>
      <c r="G50" s="14" t="s">
        <v>591</v>
      </c>
      <c r="H50" s="14" t="s">
        <v>123</v>
      </c>
      <c r="I50" s="14" t="s">
        <v>124</v>
      </c>
      <c r="J50" s="14" t="s">
        <v>125</v>
      </c>
    </row>
    <row r="51" customFormat="false" ht="15" hidden="false" customHeight="false" outlineLevel="0" collapsed="false">
      <c r="A51" s="14" t="s">
        <v>470</v>
      </c>
      <c r="B51" s="14" t="s">
        <v>471</v>
      </c>
      <c r="C51" s="14" t="n">
        <v>2016</v>
      </c>
      <c r="D51" s="14" t="s">
        <v>38</v>
      </c>
      <c r="E51" s="15" t="n">
        <v>13940</v>
      </c>
      <c r="F51" s="16" t="n">
        <v>0.00166480798935861</v>
      </c>
      <c r="G51" s="14" t="s">
        <v>591</v>
      </c>
      <c r="H51" s="14" t="s">
        <v>123</v>
      </c>
      <c r="I51" s="14" t="s">
        <v>124</v>
      </c>
      <c r="J51" s="14" t="s">
        <v>125</v>
      </c>
    </row>
    <row r="52" customFormat="false" ht="15" hidden="false" customHeight="false" outlineLevel="0" collapsed="false">
      <c r="A52" s="14" t="s">
        <v>470</v>
      </c>
      <c r="B52" s="14" t="s">
        <v>471</v>
      </c>
      <c r="C52" s="14" t="n">
        <v>2017</v>
      </c>
      <c r="D52" s="14" t="s">
        <v>38</v>
      </c>
      <c r="E52" s="15" t="n">
        <v>14420</v>
      </c>
      <c r="F52" s="16" t="n">
        <v>0.00170613736180524</v>
      </c>
      <c r="G52" s="14" t="s">
        <v>591</v>
      </c>
      <c r="H52" s="14" t="s">
        <v>123</v>
      </c>
      <c r="I52" s="14" t="s">
        <v>124</v>
      </c>
      <c r="J52" s="14" t="s">
        <v>125</v>
      </c>
    </row>
    <row r="53" customFormat="false" ht="15" hidden="false" customHeight="false" outlineLevel="0" collapsed="false">
      <c r="A53" s="14" t="s">
        <v>470</v>
      </c>
      <c r="B53" s="14" t="s">
        <v>471</v>
      </c>
      <c r="C53" s="14" t="n">
        <v>2018</v>
      </c>
      <c r="D53" s="14" t="s">
        <v>38</v>
      </c>
      <c r="E53" s="15" t="n">
        <v>13885</v>
      </c>
      <c r="F53" s="16" t="n">
        <v>0.0016307802998921</v>
      </c>
      <c r="G53" s="14" t="s">
        <v>591</v>
      </c>
      <c r="H53" s="14" t="s">
        <v>123</v>
      </c>
      <c r="I53" s="14" t="s">
        <v>124</v>
      </c>
      <c r="J53" s="14" t="s">
        <v>125</v>
      </c>
    </row>
    <row r="54" customFormat="false" ht="15" hidden="false" customHeight="false" outlineLevel="0" collapsed="false">
      <c r="A54" s="14" t="s">
        <v>470</v>
      </c>
      <c r="B54" s="14" t="s">
        <v>471</v>
      </c>
      <c r="C54" s="14" t="n">
        <v>2019</v>
      </c>
      <c r="D54" s="14" t="s">
        <v>38</v>
      </c>
      <c r="E54" s="15" t="n">
        <v>11020</v>
      </c>
      <c r="F54" s="16" t="n">
        <v>0.00128508923323787</v>
      </c>
      <c r="G54" s="14" t="s">
        <v>591</v>
      </c>
      <c r="H54" s="14" t="s">
        <v>123</v>
      </c>
      <c r="I54" s="14" t="s">
        <v>124</v>
      </c>
      <c r="J54" s="14" t="s">
        <v>125</v>
      </c>
    </row>
    <row r="55" customFormat="false" ht="15" hidden="false" customHeight="false" outlineLevel="0" collapsed="false">
      <c r="A55" s="14" t="s">
        <v>470</v>
      </c>
      <c r="B55" s="14" t="s">
        <v>471</v>
      </c>
      <c r="C55" s="14" t="n">
        <v>2020</v>
      </c>
      <c r="D55" s="14" t="s">
        <v>38</v>
      </c>
      <c r="E55" s="15" t="n">
        <v>12175</v>
      </c>
      <c r="F55" s="16" t="n">
        <v>0.00140944253566758</v>
      </c>
      <c r="G55" s="14" t="s">
        <v>591</v>
      </c>
      <c r="H55" s="14" t="s">
        <v>123</v>
      </c>
      <c r="I55" s="14" t="s">
        <v>124</v>
      </c>
      <c r="J55" s="14" t="s">
        <v>125</v>
      </c>
    </row>
    <row r="56" customFormat="false" ht="15" hidden="false" customHeight="false" outlineLevel="0" collapsed="false">
      <c r="A56" s="14" t="s">
        <v>470</v>
      </c>
      <c r="B56" s="14" t="s">
        <v>471</v>
      </c>
      <c r="C56" s="14" t="n">
        <v>2021</v>
      </c>
      <c r="D56" s="14" t="s">
        <v>38</v>
      </c>
      <c r="E56" s="15" t="n">
        <v>15130</v>
      </c>
      <c r="F56" s="16" t="n">
        <v>0.00173817221484038</v>
      </c>
      <c r="G56" s="14" t="s">
        <v>591</v>
      </c>
      <c r="H56" s="14" t="s">
        <v>123</v>
      </c>
      <c r="I56" s="14" t="s">
        <v>124</v>
      </c>
      <c r="J56" s="14" t="s">
        <v>125</v>
      </c>
    </row>
    <row r="57" customFormat="false" ht="15" hidden="false" customHeight="false" outlineLevel="0" collapsed="false">
      <c r="A57" s="14" t="s">
        <v>470</v>
      </c>
      <c r="B57" s="14" t="s">
        <v>471</v>
      </c>
      <c r="C57" s="14" t="n">
        <v>2022</v>
      </c>
      <c r="D57" s="14" t="s">
        <v>38</v>
      </c>
      <c r="E57" s="15" t="n">
        <v>19280</v>
      </c>
      <c r="F57" s="16" t="n">
        <v>0.00219662831226029</v>
      </c>
      <c r="G57" s="14" t="s">
        <v>591</v>
      </c>
      <c r="H57" s="14" t="s">
        <v>123</v>
      </c>
      <c r="I57" s="14" t="s">
        <v>124</v>
      </c>
      <c r="J57" s="14" t="s">
        <v>125</v>
      </c>
    </row>
    <row r="58" customFormat="false" ht="15" hidden="false" customHeight="false" outlineLevel="0" collapsed="false">
      <c r="A58" s="14" t="s">
        <v>470</v>
      </c>
      <c r="B58" s="14" t="s">
        <v>471</v>
      </c>
      <c r="C58" s="14" t="n">
        <v>2015</v>
      </c>
      <c r="D58" s="14" t="s">
        <v>30</v>
      </c>
      <c r="E58" s="15" t="n">
        <v>76000</v>
      </c>
      <c r="F58" s="16" t="n">
        <v>0.00917608865840271</v>
      </c>
      <c r="G58" s="14" t="s">
        <v>591</v>
      </c>
      <c r="H58" s="14" t="s">
        <v>477</v>
      </c>
      <c r="I58" s="14" t="s">
        <v>478</v>
      </c>
      <c r="J58" s="14" t="s">
        <v>479</v>
      </c>
    </row>
    <row r="59" customFormat="false" ht="15" hidden="false" customHeight="false" outlineLevel="0" collapsed="false">
      <c r="A59" s="14" t="s">
        <v>470</v>
      </c>
      <c r="B59" s="14" t="s">
        <v>471</v>
      </c>
      <c r="C59" s="14" t="n">
        <v>2017</v>
      </c>
      <c r="D59" s="14" t="s">
        <v>30</v>
      </c>
      <c r="E59" s="15" t="n">
        <v>150000</v>
      </c>
      <c r="F59" s="16" t="n">
        <v>0.0177476147205816</v>
      </c>
      <c r="G59" s="14" t="s">
        <v>591</v>
      </c>
      <c r="H59" s="14" t="s">
        <v>127</v>
      </c>
      <c r="I59" s="14" t="s">
        <v>128</v>
      </c>
      <c r="J59" s="14" t="s">
        <v>129</v>
      </c>
    </row>
    <row r="60" customFormat="false" ht="15" hidden="false" customHeight="false" outlineLevel="0" collapsed="false">
      <c r="A60" s="14" t="s">
        <v>145</v>
      </c>
      <c r="B60" s="14" t="s">
        <v>146</v>
      </c>
      <c r="C60" s="14" t="n">
        <v>2018</v>
      </c>
      <c r="D60" s="14" t="s">
        <v>30</v>
      </c>
      <c r="E60" s="15" t="n">
        <v>59682</v>
      </c>
      <c r="F60" s="16" t="n">
        <v>0.00315891582316613</v>
      </c>
      <c r="G60" s="14" t="s">
        <v>591</v>
      </c>
      <c r="H60" s="14" t="s">
        <v>155</v>
      </c>
      <c r="I60" s="14" t="s">
        <v>156</v>
      </c>
      <c r="J60" s="14" t="s">
        <v>157</v>
      </c>
    </row>
    <row r="61" customFormat="false" ht="15" hidden="false" customHeight="false" outlineLevel="0" collapsed="false">
      <c r="A61" s="11" t="s">
        <v>145</v>
      </c>
      <c r="B61" s="11" t="s">
        <v>146</v>
      </c>
      <c r="C61" s="11" t="n">
        <v>2018</v>
      </c>
      <c r="D61" s="11" t="s">
        <v>30</v>
      </c>
      <c r="E61" s="17" t="n">
        <v>10375</v>
      </c>
      <c r="F61" s="18" t="n">
        <v>0.000549139634485249</v>
      </c>
      <c r="G61" s="11" t="s">
        <v>592</v>
      </c>
      <c r="H61" s="11" t="s">
        <v>160</v>
      </c>
      <c r="I61" s="11" t="s">
        <v>156</v>
      </c>
      <c r="J61" s="11" t="s">
        <v>593</v>
      </c>
    </row>
    <row r="62" customFormat="false" ht="15" hidden="false" customHeight="false" outlineLevel="0" collapsed="false">
      <c r="A62" s="14" t="s">
        <v>145</v>
      </c>
      <c r="B62" s="14" t="s">
        <v>146</v>
      </c>
      <c r="C62" s="14" t="n">
        <v>2019</v>
      </c>
      <c r="D62" s="14" t="s">
        <v>30</v>
      </c>
      <c r="E62" s="15" t="n">
        <v>115059</v>
      </c>
      <c r="F62" s="16" t="n">
        <v>0.00599336046985521</v>
      </c>
      <c r="G62" s="14" t="s">
        <v>591</v>
      </c>
      <c r="H62" s="14" t="s">
        <v>155</v>
      </c>
      <c r="I62" s="14" t="s">
        <v>156</v>
      </c>
      <c r="J62" s="14" t="s">
        <v>158</v>
      </c>
    </row>
    <row r="63" customFormat="false" ht="15" hidden="false" customHeight="false" outlineLevel="0" collapsed="false">
      <c r="A63" s="11" t="s">
        <v>145</v>
      </c>
      <c r="B63" s="11" t="s">
        <v>146</v>
      </c>
      <c r="C63" s="11" t="n">
        <v>2019</v>
      </c>
      <c r="D63" s="11" t="s">
        <v>30</v>
      </c>
      <c r="E63" s="17" t="n">
        <v>21833</v>
      </c>
      <c r="F63" s="18" t="n">
        <v>0.00113726904577955</v>
      </c>
      <c r="G63" s="11" t="s">
        <v>592</v>
      </c>
      <c r="H63" s="11" t="s">
        <v>160</v>
      </c>
      <c r="I63" s="11" t="s">
        <v>156</v>
      </c>
      <c r="J63" s="11" t="s">
        <v>594</v>
      </c>
    </row>
    <row r="64" customFormat="false" ht="15" hidden="false" customHeight="false" outlineLevel="0" collapsed="false">
      <c r="A64" s="14" t="s">
        <v>145</v>
      </c>
      <c r="B64" s="14" t="s">
        <v>146</v>
      </c>
      <c r="C64" s="14" t="n">
        <v>2020</v>
      </c>
      <c r="D64" s="14" t="s">
        <v>30</v>
      </c>
      <c r="E64" s="15" t="n">
        <v>130017</v>
      </c>
      <c r="F64" s="16" t="n">
        <v>0.00671207081403263</v>
      </c>
      <c r="G64" s="14" t="s">
        <v>591</v>
      </c>
      <c r="H64" s="14" t="s">
        <v>155</v>
      </c>
      <c r="I64" s="14" t="s">
        <v>156</v>
      </c>
      <c r="J64" s="14" t="s">
        <v>159</v>
      </c>
    </row>
    <row r="65" customFormat="false" ht="15" hidden="false" customHeight="false" outlineLevel="0" collapsed="false">
      <c r="A65" s="11" t="s">
        <v>145</v>
      </c>
      <c r="B65" s="11" t="s">
        <v>146</v>
      </c>
      <c r="C65" s="11" t="n">
        <v>2020</v>
      </c>
      <c r="D65" s="11" t="s">
        <v>30</v>
      </c>
      <c r="E65" s="17" t="n">
        <v>14818</v>
      </c>
      <c r="F65" s="18" t="n">
        <v>0.00076497277527043</v>
      </c>
      <c r="G65" s="11" t="s">
        <v>592</v>
      </c>
      <c r="H65" s="11" t="s">
        <v>160</v>
      </c>
      <c r="I65" s="11" t="s">
        <v>156</v>
      </c>
      <c r="J65" s="11" t="s">
        <v>595</v>
      </c>
    </row>
    <row r="66" customFormat="false" ht="15" hidden="false" customHeight="false" outlineLevel="0" collapsed="false">
      <c r="A66" s="14" t="s">
        <v>145</v>
      </c>
      <c r="B66" s="14" t="s">
        <v>146</v>
      </c>
      <c r="C66" s="14" t="n">
        <v>2021</v>
      </c>
      <c r="D66" s="14" t="s">
        <v>30</v>
      </c>
      <c r="E66" s="15" t="n">
        <v>53356</v>
      </c>
      <c r="F66" s="16" t="n">
        <v>0.00274234601441361</v>
      </c>
      <c r="G66" s="14" t="s">
        <v>591</v>
      </c>
      <c r="H66" s="14" t="s">
        <v>160</v>
      </c>
      <c r="I66" s="14" t="s">
        <v>156</v>
      </c>
      <c r="J66" s="14" t="s">
        <v>161</v>
      </c>
    </row>
    <row r="67" customFormat="false" ht="15" hidden="false" customHeight="false" outlineLevel="0" collapsed="false">
      <c r="A67" s="14" t="s">
        <v>145</v>
      </c>
      <c r="B67" s="14" t="s">
        <v>146</v>
      </c>
      <c r="C67" s="14" t="n">
        <v>2022</v>
      </c>
      <c r="D67" s="14" t="s">
        <v>30</v>
      </c>
      <c r="E67" s="15" t="n">
        <v>109846</v>
      </c>
      <c r="F67" s="16" t="n">
        <v>0.00561784880874766</v>
      </c>
      <c r="G67" s="14" t="s">
        <v>591</v>
      </c>
      <c r="H67" s="14" t="s">
        <v>160</v>
      </c>
      <c r="I67" s="14" t="s">
        <v>156</v>
      </c>
      <c r="J67" s="14" t="s">
        <v>162</v>
      </c>
    </row>
    <row r="68" customFormat="false" ht="15" hidden="false" customHeight="false" outlineLevel="0" collapsed="false">
      <c r="A68" s="11" t="s">
        <v>145</v>
      </c>
      <c r="B68" s="11" t="s">
        <v>146</v>
      </c>
      <c r="C68" s="11" t="n">
        <v>2022</v>
      </c>
      <c r="D68" s="11" t="s">
        <v>30</v>
      </c>
      <c r="E68" s="17" t="n">
        <v>107223</v>
      </c>
      <c r="F68" s="18" t="n">
        <v>0.00548370084318364</v>
      </c>
      <c r="G68" s="11" t="s">
        <v>592</v>
      </c>
      <c r="H68" s="11" t="s">
        <v>596</v>
      </c>
      <c r="I68" s="11" t="s">
        <v>597</v>
      </c>
      <c r="J68" s="11" t="s">
        <v>598</v>
      </c>
    </row>
    <row r="69" customFormat="false" ht="15" hidden="false" customHeight="false" outlineLevel="0" collapsed="false">
      <c r="A69" s="14" t="s">
        <v>194</v>
      </c>
      <c r="B69" s="14" t="s">
        <v>195</v>
      </c>
      <c r="C69" s="14" t="n">
        <v>2010</v>
      </c>
      <c r="D69" s="14" t="s">
        <v>38</v>
      </c>
      <c r="E69" s="15" t="n">
        <v>2655</v>
      </c>
      <c r="F69" s="16" t="n">
        <v>0.000253474897392789</v>
      </c>
      <c r="G69" s="14" t="s">
        <v>591</v>
      </c>
      <c r="H69" s="14" t="s">
        <v>123</v>
      </c>
      <c r="I69" s="14" t="s">
        <v>124</v>
      </c>
      <c r="J69" s="14" t="s">
        <v>125</v>
      </c>
    </row>
    <row r="70" customFormat="false" ht="15" hidden="false" customHeight="false" outlineLevel="0" collapsed="false">
      <c r="A70" s="14" t="s">
        <v>194</v>
      </c>
      <c r="B70" s="14" t="s">
        <v>195</v>
      </c>
      <c r="C70" s="14" t="n">
        <v>2011</v>
      </c>
      <c r="D70" s="14" t="s">
        <v>38</v>
      </c>
      <c r="E70" s="15" t="n">
        <v>3085</v>
      </c>
      <c r="F70" s="16" t="n">
        <v>0.000293919029642282</v>
      </c>
      <c r="G70" s="14" t="s">
        <v>591</v>
      </c>
      <c r="H70" s="14" t="s">
        <v>123</v>
      </c>
      <c r="I70" s="14" t="s">
        <v>124</v>
      </c>
      <c r="J70" s="14" t="s">
        <v>125</v>
      </c>
    </row>
    <row r="71" customFormat="false" ht="15" hidden="false" customHeight="false" outlineLevel="0" collapsed="false">
      <c r="A71" s="14" t="s">
        <v>194</v>
      </c>
      <c r="B71" s="14" t="s">
        <v>195</v>
      </c>
      <c r="C71" s="14" t="n">
        <v>2012</v>
      </c>
      <c r="D71" s="14" t="s">
        <v>38</v>
      </c>
      <c r="E71" s="15" t="n">
        <v>3315</v>
      </c>
      <c r="F71" s="16" t="n">
        <v>0.0003153903347847</v>
      </c>
      <c r="G71" s="14" t="s">
        <v>591</v>
      </c>
      <c r="H71" s="14" t="s">
        <v>123</v>
      </c>
      <c r="I71" s="14" t="s">
        <v>124</v>
      </c>
      <c r="J71" s="14" t="s">
        <v>125</v>
      </c>
    </row>
    <row r="72" customFormat="false" ht="15" hidden="false" customHeight="false" outlineLevel="0" collapsed="false">
      <c r="A72" s="14" t="s">
        <v>194</v>
      </c>
      <c r="B72" s="14" t="s">
        <v>195</v>
      </c>
      <c r="C72" s="14" t="n">
        <v>2013</v>
      </c>
      <c r="D72" s="14" t="s">
        <v>38</v>
      </c>
      <c r="E72" s="15" t="n">
        <v>3695</v>
      </c>
      <c r="F72" s="16" t="n">
        <v>0.000351427088817942</v>
      </c>
      <c r="G72" s="14" t="s">
        <v>591</v>
      </c>
      <c r="H72" s="14" t="s">
        <v>123</v>
      </c>
      <c r="I72" s="14" t="s">
        <v>124</v>
      </c>
      <c r="J72" s="14" t="s">
        <v>125</v>
      </c>
    </row>
    <row r="73" customFormat="false" ht="15" hidden="false" customHeight="false" outlineLevel="0" collapsed="false">
      <c r="A73" s="14" t="s">
        <v>194</v>
      </c>
      <c r="B73" s="14" t="s">
        <v>195</v>
      </c>
      <c r="C73" s="14" t="n">
        <v>2014</v>
      </c>
      <c r="D73" s="14" t="s">
        <v>38</v>
      </c>
      <c r="E73" s="15" t="n">
        <v>4430</v>
      </c>
      <c r="F73" s="16" t="n">
        <v>0.000420888736494863</v>
      </c>
      <c r="G73" s="14" t="s">
        <v>591</v>
      </c>
      <c r="H73" s="14" t="s">
        <v>123</v>
      </c>
      <c r="I73" s="14" t="s">
        <v>124</v>
      </c>
      <c r="J73" s="14" t="s">
        <v>125</v>
      </c>
    </row>
    <row r="74" customFormat="false" ht="15" hidden="false" customHeight="false" outlineLevel="0" collapsed="false">
      <c r="A74" s="14" t="s">
        <v>194</v>
      </c>
      <c r="B74" s="14" t="s">
        <v>195</v>
      </c>
      <c r="C74" s="14" t="n">
        <v>2015</v>
      </c>
      <c r="D74" s="14" t="s">
        <v>38</v>
      </c>
      <c r="E74" s="15" t="n">
        <v>8165</v>
      </c>
      <c r="F74" s="16" t="n">
        <v>0.000774222863725682</v>
      </c>
      <c r="G74" s="14" t="s">
        <v>591</v>
      </c>
      <c r="H74" s="14" t="s">
        <v>123</v>
      </c>
      <c r="I74" s="14" t="s">
        <v>124</v>
      </c>
      <c r="J74" s="14" t="s">
        <v>125</v>
      </c>
    </row>
    <row r="75" customFormat="false" ht="15" hidden="false" customHeight="false" outlineLevel="0" collapsed="false">
      <c r="A75" s="14" t="s">
        <v>194</v>
      </c>
      <c r="B75" s="14" t="s">
        <v>195</v>
      </c>
      <c r="C75" s="14" t="n">
        <v>2016</v>
      </c>
      <c r="D75" s="14" t="s">
        <v>38</v>
      </c>
      <c r="E75" s="15" t="n">
        <v>4885</v>
      </c>
      <c r="F75" s="16" t="n">
        <v>0.000462317481600995</v>
      </c>
      <c r="G75" s="14" t="s">
        <v>591</v>
      </c>
      <c r="H75" s="14" t="s">
        <v>123</v>
      </c>
      <c r="I75" s="14" t="s">
        <v>124</v>
      </c>
      <c r="J75" s="14" t="s">
        <v>125</v>
      </c>
    </row>
    <row r="76" customFormat="false" ht="15" hidden="false" customHeight="false" outlineLevel="0" collapsed="false">
      <c r="A76" s="14" t="s">
        <v>194</v>
      </c>
      <c r="B76" s="14" t="s">
        <v>195</v>
      </c>
      <c r="C76" s="14" t="n">
        <v>2017</v>
      </c>
      <c r="D76" s="14" t="s">
        <v>38</v>
      </c>
      <c r="E76" s="15" t="n">
        <v>4360</v>
      </c>
      <c r="F76" s="16" t="n">
        <v>0.000411536695009211</v>
      </c>
      <c r="G76" s="14" t="s">
        <v>591</v>
      </c>
      <c r="H76" s="14" t="s">
        <v>123</v>
      </c>
      <c r="I76" s="14" t="s">
        <v>124</v>
      </c>
      <c r="J76" s="14" t="s">
        <v>125</v>
      </c>
    </row>
    <row r="77" customFormat="false" ht="15" hidden="false" customHeight="false" outlineLevel="0" collapsed="false">
      <c r="A77" s="14" t="s">
        <v>194</v>
      </c>
      <c r="B77" s="14" t="s">
        <v>195</v>
      </c>
      <c r="C77" s="14" t="n">
        <v>2018</v>
      </c>
      <c r="D77" s="14" t="s">
        <v>38</v>
      </c>
      <c r="E77" s="15" t="n">
        <v>4505</v>
      </c>
      <c r="F77" s="16" t="n">
        <v>0.000423803434980933</v>
      </c>
      <c r="G77" s="14" t="s">
        <v>591</v>
      </c>
      <c r="H77" s="14" t="s">
        <v>123</v>
      </c>
      <c r="I77" s="14" t="s">
        <v>124</v>
      </c>
      <c r="J77" s="14" t="s">
        <v>125</v>
      </c>
    </row>
    <row r="78" customFormat="false" ht="15" hidden="false" customHeight="false" outlineLevel="0" collapsed="false">
      <c r="A78" s="14" t="s">
        <v>194</v>
      </c>
      <c r="B78" s="14" t="s">
        <v>195</v>
      </c>
      <c r="C78" s="14" t="n">
        <v>2019</v>
      </c>
      <c r="D78" s="14" t="s">
        <v>38</v>
      </c>
      <c r="E78" s="15" t="n">
        <v>4995</v>
      </c>
      <c r="F78" s="16" t="n">
        <v>0.000468052927931094</v>
      </c>
      <c r="G78" s="14" t="s">
        <v>591</v>
      </c>
      <c r="H78" s="14" t="s">
        <v>123</v>
      </c>
      <c r="I78" s="14" t="s">
        <v>124</v>
      </c>
      <c r="J78" s="14" t="s">
        <v>125</v>
      </c>
    </row>
    <row r="79" customFormat="false" ht="15" hidden="false" customHeight="false" outlineLevel="0" collapsed="false">
      <c r="A79" s="14" t="s">
        <v>194</v>
      </c>
      <c r="B79" s="14" t="s">
        <v>195</v>
      </c>
      <c r="C79" s="14" t="n">
        <v>2020</v>
      </c>
      <c r="D79" s="14" t="s">
        <v>38</v>
      </c>
      <c r="E79" s="15" t="n">
        <v>6515</v>
      </c>
      <c r="F79" s="16" t="n">
        <v>0.000609000418588469</v>
      </c>
      <c r="G79" s="14" t="s">
        <v>591</v>
      </c>
      <c r="H79" s="14" t="s">
        <v>123</v>
      </c>
      <c r="I79" s="14" t="s">
        <v>124</v>
      </c>
      <c r="J79" s="14" t="s">
        <v>125</v>
      </c>
    </row>
    <row r="80" customFormat="false" ht="15" hidden="false" customHeight="false" outlineLevel="0" collapsed="false">
      <c r="A80" s="14" t="s">
        <v>194</v>
      </c>
      <c r="B80" s="14" t="s">
        <v>195</v>
      </c>
      <c r="C80" s="14" t="n">
        <v>2021</v>
      </c>
      <c r="D80" s="14" t="s">
        <v>38</v>
      </c>
      <c r="E80" s="15" t="n">
        <v>11040</v>
      </c>
      <c r="F80" s="16" t="n">
        <v>0.00105085090367467</v>
      </c>
      <c r="G80" s="14" t="s">
        <v>591</v>
      </c>
      <c r="H80" s="14" t="s">
        <v>123</v>
      </c>
      <c r="I80" s="14" t="s">
        <v>124</v>
      </c>
      <c r="J80" s="14" t="s">
        <v>125</v>
      </c>
    </row>
    <row r="81" customFormat="false" ht="15" hidden="false" customHeight="false" outlineLevel="0" collapsed="false">
      <c r="A81" s="14" t="s">
        <v>194</v>
      </c>
      <c r="B81" s="14" t="s">
        <v>195</v>
      </c>
      <c r="C81" s="14" t="n">
        <v>2022</v>
      </c>
      <c r="D81" s="14" t="s">
        <v>38</v>
      </c>
      <c r="E81" s="15" t="n">
        <v>29130</v>
      </c>
      <c r="F81" s="16" t="n">
        <v>0.00272954253316914</v>
      </c>
      <c r="G81" s="14" t="s">
        <v>591</v>
      </c>
      <c r="H81" s="14" t="s">
        <v>123</v>
      </c>
      <c r="I81" s="14" t="s">
        <v>124</v>
      </c>
      <c r="J81" s="14" t="s">
        <v>125</v>
      </c>
    </row>
    <row r="82" customFormat="false" ht="15" hidden="false" customHeight="false" outlineLevel="0" collapsed="false">
      <c r="A82" s="14" t="s">
        <v>194</v>
      </c>
      <c r="B82" s="14" t="s">
        <v>195</v>
      </c>
      <c r="C82" s="14" t="n">
        <v>2017</v>
      </c>
      <c r="D82" s="14" t="s">
        <v>30</v>
      </c>
      <c r="E82" s="15" t="n">
        <v>150000</v>
      </c>
      <c r="F82" s="16" t="n">
        <v>0.0141583725347206</v>
      </c>
      <c r="G82" s="14" t="s">
        <v>591</v>
      </c>
      <c r="H82" s="14" t="s">
        <v>127</v>
      </c>
      <c r="I82" s="14" t="s">
        <v>128</v>
      </c>
      <c r="J82" s="14" t="s">
        <v>129</v>
      </c>
    </row>
    <row r="83" customFormat="false" ht="15" hidden="false" customHeight="false" outlineLevel="0" collapsed="false">
      <c r="A83" s="14" t="s">
        <v>221</v>
      </c>
      <c r="B83" s="14" t="s">
        <v>222</v>
      </c>
      <c r="C83" s="14" t="n">
        <v>2010</v>
      </c>
      <c r="D83" s="14" t="s">
        <v>38</v>
      </c>
      <c r="E83" s="15" t="n">
        <v>50250</v>
      </c>
      <c r="F83" s="16" t="n">
        <v>0.000614476478879802</v>
      </c>
      <c r="G83" s="14" t="s">
        <v>591</v>
      </c>
      <c r="H83" s="14" t="s">
        <v>123</v>
      </c>
      <c r="I83" s="14" t="s">
        <v>124</v>
      </c>
      <c r="J83" s="14" t="s">
        <v>125</v>
      </c>
    </row>
    <row r="84" customFormat="false" ht="15" hidden="false" customHeight="false" outlineLevel="0" collapsed="false">
      <c r="A84" s="14" t="s">
        <v>221</v>
      </c>
      <c r="B84" s="14" t="s">
        <v>222</v>
      </c>
      <c r="C84" s="14" t="n">
        <v>2011</v>
      </c>
      <c r="D84" s="14" t="s">
        <v>38</v>
      </c>
      <c r="E84" s="15" t="n">
        <v>56345</v>
      </c>
      <c r="F84" s="16" t="n">
        <v>0.000701899868356247</v>
      </c>
      <c r="G84" s="14" t="s">
        <v>591</v>
      </c>
      <c r="H84" s="14" t="s">
        <v>123</v>
      </c>
      <c r="I84" s="14" t="s">
        <v>124</v>
      </c>
      <c r="J84" s="14" t="s">
        <v>125</v>
      </c>
    </row>
    <row r="85" customFormat="false" ht="15" hidden="false" customHeight="false" outlineLevel="0" collapsed="false">
      <c r="A85" s="14" t="s">
        <v>221</v>
      </c>
      <c r="B85" s="14" t="s">
        <v>222</v>
      </c>
      <c r="C85" s="14" t="n">
        <v>2012</v>
      </c>
      <c r="D85" s="14" t="s">
        <v>38</v>
      </c>
      <c r="E85" s="15" t="n">
        <v>64815</v>
      </c>
      <c r="F85" s="16" t="n">
        <v>0.000805897876854801</v>
      </c>
      <c r="G85" s="14" t="s">
        <v>591</v>
      </c>
      <c r="H85" s="14" t="s">
        <v>123</v>
      </c>
      <c r="I85" s="14" t="s">
        <v>124</v>
      </c>
      <c r="J85" s="14" t="s">
        <v>125</v>
      </c>
    </row>
    <row r="86" customFormat="false" ht="15" hidden="false" customHeight="false" outlineLevel="0" collapsed="false">
      <c r="A86" s="14" t="s">
        <v>221</v>
      </c>
      <c r="B86" s="14" t="s">
        <v>222</v>
      </c>
      <c r="C86" s="14" t="n">
        <v>2013</v>
      </c>
      <c r="D86" s="14" t="s">
        <v>38</v>
      </c>
      <c r="E86" s="15" t="n">
        <v>86305</v>
      </c>
      <c r="F86" s="16" t="n">
        <v>0.00107017611189103</v>
      </c>
      <c r="G86" s="14" t="s">
        <v>591</v>
      </c>
      <c r="H86" s="14" t="s">
        <v>123</v>
      </c>
      <c r="I86" s="14" t="s">
        <v>124</v>
      </c>
      <c r="J86" s="14" t="s">
        <v>125</v>
      </c>
    </row>
    <row r="87" customFormat="false" ht="15" hidden="false" customHeight="false" outlineLevel="0" collapsed="false">
      <c r="A87" s="14" t="s">
        <v>221</v>
      </c>
      <c r="B87" s="14" t="s">
        <v>222</v>
      </c>
      <c r="C87" s="14" t="n">
        <v>2014</v>
      </c>
      <c r="D87" s="14" t="s">
        <v>38</v>
      </c>
      <c r="E87" s="15" t="n">
        <v>128290</v>
      </c>
      <c r="F87" s="16" t="n">
        <v>0.00158416941931899</v>
      </c>
      <c r="G87" s="14" t="s">
        <v>591</v>
      </c>
      <c r="H87" s="14" t="s">
        <v>123</v>
      </c>
      <c r="I87" s="14" t="s">
        <v>124</v>
      </c>
      <c r="J87" s="14" t="s">
        <v>125</v>
      </c>
    </row>
    <row r="88" customFormat="false" ht="15" hidden="false" customHeight="false" outlineLevel="0" collapsed="false">
      <c r="A88" s="14" t="s">
        <v>221</v>
      </c>
      <c r="B88" s="14" t="s">
        <v>222</v>
      </c>
      <c r="C88" s="14" t="n">
        <v>2015</v>
      </c>
      <c r="D88" s="14" t="s">
        <v>38</v>
      </c>
      <c r="E88" s="15" t="n">
        <v>376435</v>
      </c>
      <c r="F88" s="16" t="n">
        <v>0.00460828274538162</v>
      </c>
      <c r="G88" s="14" t="s">
        <v>591</v>
      </c>
      <c r="H88" s="14" t="s">
        <v>123</v>
      </c>
      <c r="I88" s="14" t="s">
        <v>124</v>
      </c>
      <c r="J88" s="14" t="s">
        <v>125</v>
      </c>
    </row>
    <row r="89" customFormat="false" ht="15" hidden="false" customHeight="false" outlineLevel="0" collapsed="false">
      <c r="A89" s="14" t="s">
        <v>221</v>
      </c>
      <c r="B89" s="14" t="s">
        <v>222</v>
      </c>
      <c r="C89" s="14" t="n">
        <v>2016</v>
      </c>
      <c r="D89" s="14" t="s">
        <v>38</v>
      </c>
      <c r="E89" s="15" t="n">
        <v>370555</v>
      </c>
      <c r="F89" s="16" t="n">
        <v>0.00449982986367394</v>
      </c>
      <c r="G89" s="14" t="s">
        <v>591</v>
      </c>
      <c r="H89" s="14" t="s">
        <v>123</v>
      </c>
      <c r="I89" s="14" t="s">
        <v>124</v>
      </c>
      <c r="J89" s="14" t="s">
        <v>125</v>
      </c>
    </row>
    <row r="90" customFormat="false" ht="15" hidden="false" customHeight="false" outlineLevel="0" collapsed="false">
      <c r="A90" s="14" t="s">
        <v>221</v>
      </c>
      <c r="B90" s="14" t="s">
        <v>222</v>
      </c>
      <c r="C90" s="14" t="n">
        <v>2017</v>
      </c>
      <c r="D90" s="14" t="s">
        <v>38</v>
      </c>
      <c r="E90" s="15" t="n">
        <v>156710</v>
      </c>
      <c r="F90" s="16" t="n">
        <v>0.00189590713682067</v>
      </c>
      <c r="G90" s="14" t="s">
        <v>591</v>
      </c>
      <c r="H90" s="14" t="s">
        <v>123</v>
      </c>
      <c r="I90" s="14" t="s">
        <v>124</v>
      </c>
      <c r="J90" s="14" t="s">
        <v>125</v>
      </c>
    </row>
    <row r="91" customFormat="false" ht="15" hidden="false" customHeight="false" outlineLevel="0" collapsed="false">
      <c r="A91" s="14" t="s">
        <v>221</v>
      </c>
      <c r="B91" s="14" t="s">
        <v>222</v>
      </c>
      <c r="C91" s="14" t="n">
        <v>2018</v>
      </c>
      <c r="D91" s="14" t="s">
        <v>38</v>
      </c>
      <c r="E91" s="15" t="n">
        <v>134125</v>
      </c>
      <c r="F91" s="16" t="n">
        <v>0.00161780031216641</v>
      </c>
      <c r="G91" s="14" t="s">
        <v>591</v>
      </c>
      <c r="H91" s="14" t="s">
        <v>123</v>
      </c>
      <c r="I91" s="14" t="s">
        <v>124</v>
      </c>
      <c r="J91" s="14" t="s">
        <v>125</v>
      </c>
    </row>
    <row r="92" customFormat="false" ht="15" hidden="false" customHeight="false" outlineLevel="0" collapsed="false">
      <c r="A92" s="14" t="s">
        <v>221</v>
      </c>
      <c r="B92" s="14" t="s">
        <v>222</v>
      </c>
      <c r="C92" s="14" t="n">
        <v>2019</v>
      </c>
      <c r="D92" s="14" t="s">
        <v>38</v>
      </c>
      <c r="E92" s="15" t="n">
        <v>133525</v>
      </c>
      <c r="F92" s="16" t="n">
        <v>0.00160693513368798</v>
      </c>
      <c r="G92" s="14" t="s">
        <v>591</v>
      </c>
      <c r="H92" s="14" t="s">
        <v>123</v>
      </c>
      <c r="I92" s="14" t="s">
        <v>124</v>
      </c>
      <c r="J92" s="14" t="s">
        <v>125</v>
      </c>
    </row>
    <row r="93" customFormat="false" ht="15" hidden="false" customHeight="false" outlineLevel="0" collapsed="false">
      <c r="A93" s="14" t="s">
        <v>221</v>
      </c>
      <c r="B93" s="14" t="s">
        <v>222</v>
      </c>
      <c r="C93" s="14" t="n">
        <v>2020</v>
      </c>
      <c r="D93" s="14" t="s">
        <v>38</v>
      </c>
      <c r="E93" s="15" t="n">
        <v>117930</v>
      </c>
      <c r="F93" s="16" t="n">
        <v>0.00141809481528879</v>
      </c>
      <c r="G93" s="14" t="s">
        <v>591</v>
      </c>
      <c r="H93" s="14" t="s">
        <v>123</v>
      </c>
      <c r="I93" s="14" t="s">
        <v>124</v>
      </c>
      <c r="J93" s="14" t="s">
        <v>125</v>
      </c>
    </row>
    <row r="94" customFormat="false" ht="15" hidden="false" customHeight="false" outlineLevel="0" collapsed="false">
      <c r="A94" s="14" t="s">
        <v>221</v>
      </c>
      <c r="B94" s="14" t="s">
        <v>222</v>
      </c>
      <c r="C94" s="14" t="n">
        <v>2021</v>
      </c>
      <c r="D94" s="14" t="s">
        <v>38</v>
      </c>
      <c r="E94" s="15" t="n">
        <v>120285</v>
      </c>
      <c r="F94" s="16" t="n">
        <v>0.00144580132731738</v>
      </c>
      <c r="G94" s="14" t="s">
        <v>591</v>
      </c>
      <c r="H94" s="14" t="s">
        <v>123</v>
      </c>
      <c r="I94" s="14" t="s">
        <v>124</v>
      </c>
      <c r="J94" s="14" t="s">
        <v>125</v>
      </c>
    </row>
    <row r="95" customFormat="false" ht="15" hidden="false" customHeight="false" outlineLevel="0" collapsed="false">
      <c r="A95" s="14" t="s">
        <v>221</v>
      </c>
      <c r="B95" s="14" t="s">
        <v>222</v>
      </c>
      <c r="C95" s="14" t="n">
        <v>2022</v>
      </c>
      <c r="D95" s="14" t="s">
        <v>38</v>
      </c>
      <c r="E95" s="15" t="n">
        <v>198310</v>
      </c>
      <c r="F95" s="16" t="n">
        <v>0.00238416944191596</v>
      </c>
      <c r="G95" s="14" t="s">
        <v>591</v>
      </c>
      <c r="H95" s="14" t="s">
        <v>123</v>
      </c>
      <c r="I95" s="14" t="s">
        <v>124</v>
      </c>
      <c r="J95" s="14" t="s">
        <v>125</v>
      </c>
    </row>
    <row r="96" customFormat="false" ht="15" hidden="false" customHeight="false" outlineLevel="0" collapsed="false">
      <c r="A96" s="14" t="s">
        <v>221</v>
      </c>
      <c r="B96" s="14" t="s">
        <v>222</v>
      </c>
      <c r="C96" s="14" t="n">
        <v>2014</v>
      </c>
      <c r="D96" s="14" t="s">
        <v>30</v>
      </c>
      <c r="E96" s="15" t="n">
        <v>550000</v>
      </c>
      <c r="F96" s="16" t="n">
        <v>0.00679159077578489</v>
      </c>
      <c r="G96" s="14" t="s">
        <v>591</v>
      </c>
      <c r="H96" s="14" t="s">
        <v>127</v>
      </c>
      <c r="I96" s="14" t="s">
        <v>128</v>
      </c>
      <c r="J96" s="14" t="s">
        <v>227</v>
      </c>
    </row>
    <row r="97" customFormat="false" ht="15" hidden="false" customHeight="false" outlineLevel="0" collapsed="false">
      <c r="A97" s="11" t="s">
        <v>221</v>
      </c>
      <c r="B97" s="11" t="s">
        <v>222</v>
      </c>
      <c r="C97" s="11" t="n">
        <v>2014</v>
      </c>
      <c r="D97" s="11" t="s">
        <v>30</v>
      </c>
      <c r="E97" s="17" t="n">
        <v>350000</v>
      </c>
      <c r="F97" s="18" t="n">
        <v>0.0043219214027722</v>
      </c>
      <c r="G97" s="11" t="s">
        <v>592</v>
      </c>
      <c r="H97" s="11" t="s">
        <v>599</v>
      </c>
      <c r="I97" s="11" t="s">
        <v>600</v>
      </c>
      <c r="J97" s="11" t="s">
        <v>601</v>
      </c>
    </row>
    <row r="98" customFormat="false" ht="15" hidden="false" customHeight="false" outlineLevel="0" collapsed="false">
      <c r="A98" s="14" t="s">
        <v>221</v>
      </c>
      <c r="B98" s="14" t="s">
        <v>222</v>
      </c>
      <c r="C98" s="14" t="n">
        <v>2015</v>
      </c>
      <c r="D98" s="14" t="s">
        <v>30</v>
      </c>
      <c r="E98" s="15" t="n">
        <v>900000</v>
      </c>
      <c r="F98" s="16" t="n">
        <v>0.0110177174567813</v>
      </c>
      <c r="G98" s="14" t="s">
        <v>591</v>
      </c>
      <c r="H98" s="14" t="s">
        <v>127</v>
      </c>
      <c r="I98" s="14" t="s">
        <v>128</v>
      </c>
      <c r="J98" s="14" t="s">
        <v>228</v>
      </c>
    </row>
    <row r="99" customFormat="false" ht="15" hidden="false" customHeight="false" outlineLevel="0" collapsed="false">
      <c r="A99" s="14" t="s">
        <v>221</v>
      </c>
      <c r="B99" s="14" t="s">
        <v>222</v>
      </c>
      <c r="C99" s="14" t="n">
        <v>2016</v>
      </c>
      <c r="D99" s="14" t="s">
        <v>30</v>
      </c>
      <c r="E99" s="15" t="n">
        <v>1250000</v>
      </c>
      <c r="F99" s="16" t="n">
        <v>0.0151793588794981</v>
      </c>
      <c r="G99" s="14" t="s">
        <v>591</v>
      </c>
      <c r="H99" s="14" t="s">
        <v>127</v>
      </c>
      <c r="I99" s="14" t="s">
        <v>128</v>
      </c>
      <c r="J99" s="14" t="s">
        <v>229</v>
      </c>
    </row>
    <row r="100" customFormat="false" ht="15" hidden="false" customHeight="false" outlineLevel="0" collapsed="false">
      <c r="A100" s="14" t="s">
        <v>221</v>
      </c>
      <c r="B100" s="14" t="s">
        <v>222</v>
      </c>
      <c r="C100" s="14" t="n">
        <v>2017</v>
      </c>
      <c r="D100" s="14" t="s">
        <v>30</v>
      </c>
      <c r="E100" s="15" t="n">
        <v>1100000</v>
      </c>
      <c r="F100" s="16" t="n">
        <v>0.0133080074692281</v>
      </c>
      <c r="G100" s="14" t="s">
        <v>591</v>
      </c>
      <c r="H100" s="14" t="s">
        <v>127</v>
      </c>
      <c r="I100" s="14" t="s">
        <v>128</v>
      </c>
      <c r="J100" s="14" t="s">
        <v>230</v>
      </c>
    </row>
    <row r="101" customFormat="false" ht="15" hidden="false" customHeight="false" outlineLevel="0" collapsed="false">
      <c r="A101" s="14" t="s">
        <v>201</v>
      </c>
      <c r="B101" s="14" t="s">
        <v>202</v>
      </c>
      <c r="C101" s="14" t="n">
        <v>2010</v>
      </c>
      <c r="D101" s="14" t="s">
        <v>38</v>
      </c>
      <c r="E101" s="15" t="n">
        <v>665</v>
      </c>
      <c r="F101" s="16" t="n">
        <v>0.000119869862787762</v>
      </c>
      <c r="G101" s="14" t="s">
        <v>591</v>
      </c>
      <c r="H101" s="14" t="s">
        <v>123</v>
      </c>
      <c r="I101" s="14" t="s">
        <v>124</v>
      </c>
      <c r="J101" s="14" t="s">
        <v>125</v>
      </c>
    </row>
    <row r="102" customFormat="false" ht="15" hidden="false" customHeight="false" outlineLevel="0" collapsed="false">
      <c r="A102" s="14" t="s">
        <v>201</v>
      </c>
      <c r="B102" s="14" t="s">
        <v>202</v>
      </c>
      <c r="C102" s="14" t="n">
        <v>2011</v>
      </c>
      <c r="D102" s="14" t="s">
        <v>38</v>
      </c>
      <c r="E102" s="15" t="n">
        <v>400</v>
      </c>
      <c r="F102" s="16" t="n">
        <v>7.18059114934696E-005</v>
      </c>
      <c r="G102" s="14" t="s">
        <v>591</v>
      </c>
      <c r="H102" s="14" t="s">
        <v>123</v>
      </c>
      <c r="I102" s="14" t="s">
        <v>124</v>
      </c>
      <c r="J102" s="14" t="s">
        <v>125</v>
      </c>
    </row>
    <row r="103" customFormat="false" ht="15" hidden="false" customHeight="false" outlineLevel="0" collapsed="false">
      <c r="A103" s="14" t="s">
        <v>201</v>
      </c>
      <c r="B103" s="14" t="s">
        <v>202</v>
      </c>
      <c r="C103" s="14" t="n">
        <v>2012</v>
      </c>
      <c r="D103" s="14" t="s">
        <v>38</v>
      </c>
      <c r="E103" s="15" t="n">
        <v>630</v>
      </c>
      <c r="F103" s="16" t="n">
        <v>0.000112669567699388</v>
      </c>
      <c r="G103" s="14" t="s">
        <v>591</v>
      </c>
      <c r="H103" s="14" t="s">
        <v>123</v>
      </c>
      <c r="I103" s="14" t="s">
        <v>124</v>
      </c>
      <c r="J103" s="14" t="s">
        <v>125</v>
      </c>
    </row>
    <row r="104" customFormat="false" ht="15" hidden="false" customHeight="false" outlineLevel="0" collapsed="false">
      <c r="A104" s="14" t="s">
        <v>201</v>
      </c>
      <c r="B104" s="14" t="s">
        <v>202</v>
      </c>
      <c r="C104" s="14" t="n">
        <v>2013</v>
      </c>
      <c r="D104" s="14" t="s">
        <v>38</v>
      </c>
      <c r="E104" s="15" t="n">
        <v>395</v>
      </c>
      <c r="F104" s="16" t="n">
        <v>7.03481360059214E-005</v>
      </c>
      <c r="G104" s="14" t="s">
        <v>591</v>
      </c>
      <c r="H104" s="14" t="s">
        <v>123</v>
      </c>
      <c r="I104" s="14" t="s">
        <v>124</v>
      </c>
      <c r="J104" s="14" t="s">
        <v>125</v>
      </c>
    </row>
    <row r="105" customFormat="false" ht="15" hidden="false" customHeight="false" outlineLevel="0" collapsed="false">
      <c r="A105" s="14" t="s">
        <v>201</v>
      </c>
      <c r="B105" s="14" t="s">
        <v>202</v>
      </c>
      <c r="C105" s="14" t="n">
        <v>2014</v>
      </c>
      <c r="D105" s="14" t="s">
        <v>38</v>
      </c>
      <c r="E105" s="15" t="n">
        <v>515</v>
      </c>
      <c r="F105" s="16" t="n">
        <v>9.12558308489007E-005</v>
      </c>
      <c r="G105" s="14" t="s">
        <v>591</v>
      </c>
      <c r="H105" s="14" t="s">
        <v>123</v>
      </c>
      <c r="I105" s="14" t="s">
        <v>124</v>
      </c>
      <c r="J105" s="14" t="s">
        <v>125</v>
      </c>
    </row>
    <row r="106" customFormat="false" ht="15" hidden="false" customHeight="false" outlineLevel="0" collapsed="false">
      <c r="A106" s="14" t="s">
        <v>201</v>
      </c>
      <c r="B106" s="14" t="s">
        <v>202</v>
      </c>
      <c r="C106" s="14" t="n">
        <v>2015</v>
      </c>
      <c r="D106" s="14" t="s">
        <v>38</v>
      </c>
      <c r="E106" s="15" t="n">
        <v>2165</v>
      </c>
      <c r="F106" s="16" t="n">
        <v>0.000380928384935787</v>
      </c>
      <c r="G106" s="14" t="s">
        <v>591</v>
      </c>
      <c r="H106" s="14" t="s">
        <v>123</v>
      </c>
      <c r="I106" s="14" t="s">
        <v>124</v>
      </c>
      <c r="J106" s="14" t="s">
        <v>125</v>
      </c>
    </row>
    <row r="107" customFormat="false" ht="15" hidden="false" customHeight="false" outlineLevel="0" collapsed="false">
      <c r="A107" s="14" t="s">
        <v>201</v>
      </c>
      <c r="B107" s="14" t="s">
        <v>202</v>
      </c>
      <c r="C107" s="14" t="n">
        <v>2016</v>
      </c>
      <c r="D107" s="14" t="s">
        <v>38</v>
      </c>
      <c r="E107" s="15" t="n">
        <v>1390</v>
      </c>
      <c r="F107" s="16" t="n">
        <v>0.00024266717411457</v>
      </c>
      <c r="G107" s="14" t="s">
        <v>591</v>
      </c>
      <c r="H107" s="14" t="s">
        <v>123</v>
      </c>
      <c r="I107" s="14" t="s">
        <v>124</v>
      </c>
      <c r="J107" s="14" t="s">
        <v>125</v>
      </c>
    </row>
    <row r="108" customFormat="false" ht="15" hidden="false" customHeight="false" outlineLevel="0" collapsed="false">
      <c r="A108" s="14" t="s">
        <v>201</v>
      </c>
      <c r="B108" s="14" t="s">
        <v>202</v>
      </c>
      <c r="C108" s="14" t="n">
        <v>2017</v>
      </c>
      <c r="D108" s="14" t="s">
        <v>38</v>
      </c>
      <c r="E108" s="15" t="n">
        <v>1105</v>
      </c>
      <c r="F108" s="16" t="n">
        <v>0.000191674559148514</v>
      </c>
      <c r="G108" s="14" t="s">
        <v>591</v>
      </c>
      <c r="H108" s="14" t="s">
        <v>123</v>
      </c>
      <c r="I108" s="14" t="s">
        <v>124</v>
      </c>
      <c r="J108" s="14" t="s">
        <v>125</v>
      </c>
    </row>
    <row r="109" customFormat="false" ht="15" hidden="false" customHeight="false" outlineLevel="0" collapsed="false">
      <c r="A109" s="14" t="s">
        <v>201</v>
      </c>
      <c r="B109" s="14" t="s">
        <v>202</v>
      </c>
      <c r="C109" s="14" t="n">
        <v>2018</v>
      </c>
      <c r="D109" s="14" t="s">
        <v>38</v>
      </c>
      <c r="E109" s="15" t="n">
        <v>1135</v>
      </c>
      <c r="F109" s="16" t="n">
        <v>0.000195904609816702</v>
      </c>
      <c r="G109" s="14" t="s">
        <v>591</v>
      </c>
      <c r="H109" s="14" t="s">
        <v>123</v>
      </c>
      <c r="I109" s="14" t="s">
        <v>124</v>
      </c>
      <c r="J109" s="14" t="s">
        <v>125</v>
      </c>
    </row>
    <row r="110" customFormat="false" ht="15" hidden="false" customHeight="false" outlineLevel="0" collapsed="false">
      <c r="A110" s="14" t="s">
        <v>201</v>
      </c>
      <c r="B110" s="14" t="s">
        <v>202</v>
      </c>
      <c r="C110" s="14" t="n">
        <v>2019</v>
      </c>
      <c r="D110" s="14" t="s">
        <v>38</v>
      </c>
      <c r="E110" s="15" t="n">
        <v>1195</v>
      </c>
      <c r="F110" s="16" t="n">
        <v>0.000205523438099264</v>
      </c>
      <c r="G110" s="14" t="s">
        <v>591</v>
      </c>
      <c r="H110" s="14" t="s">
        <v>123</v>
      </c>
      <c r="I110" s="14" t="s">
        <v>124</v>
      </c>
      <c r="J110" s="14" t="s">
        <v>125</v>
      </c>
    </row>
    <row r="111" customFormat="false" ht="15" hidden="false" customHeight="false" outlineLevel="0" collapsed="false">
      <c r="A111" s="14" t="s">
        <v>201</v>
      </c>
      <c r="B111" s="14" t="s">
        <v>202</v>
      </c>
      <c r="C111" s="14" t="n">
        <v>2020</v>
      </c>
      <c r="D111" s="14" t="s">
        <v>38</v>
      </c>
      <c r="E111" s="15" t="n">
        <v>490</v>
      </c>
      <c r="F111" s="16" t="n">
        <v>8.40277915918705E-005</v>
      </c>
      <c r="G111" s="14" t="s">
        <v>591</v>
      </c>
      <c r="H111" s="14" t="s">
        <v>123</v>
      </c>
      <c r="I111" s="14" t="s">
        <v>124</v>
      </c>
      <c r="J111" s="14" t="s">
        <v>125</v>
      </c>
    </row>
    <row r="112" customFormat="false" ht="15" hidden="false" customHeight="false" outlineLevel="0" collapsed="false">
      <c r="A112" s="14" t="s">
        <v>201</v>
      </c>
      <c r="B112" s="14" t="s">
        <v>202</v>
      </c>
      <c r="C112" s="14" t="n">
        <v>2021</v>
      </c>
      <c r="D112" s="14" t="s">
        <v>38</v>
      </c>
      <c r="E112" s="15" t="n">
        <v>425</v>
      </c>
      <c r="F112" s="16" t="n">
        <v>7.25660534635948E-005</v>
      </c>
      <c r="G112" s="14" t="s">
        <v>591</v>
      </c>
      <c r="H112" s="14" t="s">
        <v>123</v>
      </c>
      <c r="I112" s="14" t="s">
        <v>124</v>
      </c>
      <c r="J112" s="14" t="s">
        <v>125</v>
      </c>
    </row>
    <row r="113" customFormat="false" ht="15" hidden="false" customHeight="false" outlineLevel="0" collapsed="false">
      <c r="A113" s="14" t="s">
        <v>201</v>
      </c>
      <c r="B113" s="14" t="s">
        <v>202</v>
      </c>
      <c r="C113" s="14" t="n">
        <v>2022</v>
      </c>
      <c r="D113" s="14" t="s">
        <v>38</v>
      </c>
      <c r="E113" s="15" t="n">
        <v>510</v>
      </c>
      <c r="F113" s="16" t="n">
        <v>8.63962058852079E-005</v>
      </c>
      <c r="G113" s="14" t="s">
        <v>591</v>
      </c>
      <c r="H113" s="14" t="s">
        <v>123</v>
      </c>
      <c r="I113" s="14" t="s">
        <v>124</v>
      </c>
      <c r="J113" s="14" t="s">
        <v>125</v>
      </c>
    </row>
    <row r="114" customFormat="false" ht="15" hidden="false" customHeight="false" outlineLevel="0" collapsed="false">
      <c r="A114" s="14" t="s">
        <v>441</v>
      </c>
      <c r="B114" s="14" t="s">
        <v>442</v>
      </c>
      <c r="C114" s="14" t="n">
        <v>2010</v>
      </c>
      <c r="D114" s="14" t="s">
        <v>38</v>
      </c>
      <c r="E114" s="15" t="n">
        <v>70315</v>
      </c>
      <c r="F114" s="16" t="n">
        <v>0.00150965402439755</v>
      </c>
      <c r="G114" s="14" t="s">
        <v>591</v>
      </c>
      <c r="H114" s="14" t="s">
        <v>123</v>
      </c>
      <c r="I114" s="14" t="s">
        <v>124</v>
      </c>
      <c r="J114" s="14" t="s">
        <v>125</v>
      </c>
    </row>
    <row r="115" customFormat="false" ht="15" hidden="false" customHeight="false" outlineLevel="0" collapsed="false">
      <c r="A115" s="14" t="s">
        <v>441</v>
      </c>
      <c r="B115" s="14" t="s">
        <v>442</v>
      </c>
      <c r="C115" s="14" t="n">
        <v>2011</v>
      </c>
      <c r="D115" s="14" t="s">
        <v>38</v>
      </c>
      <c r="E115" s="15" t="n">
        <v>68825</v>
      </c>
      <c r="F115" s="16" t="n">
        <v>0.00147242252623977</v>
      </c>
      <c r="G115" s="14" t="s">
        <v>591</v>
      </c>
      <c r="H115" s="14" t="s">
        <v>123</v>
      </c>
      <c r="I115" s="14" t="s">
        <v>124</v>
      </c>
      <c r="J115" s="14" t="s">
        <v>125</v>
      </c>
    </row>
    <row r="116" customFormat="false" ht="15" hidden="false" customHeight="false" outlineLevel="0" collapsed="false">
      <c r="A116" s="14" t="s">
        <v>441</v>
      </c>
      <c r="B116" s="14" t="s">
        <v>442</v>
      </c>
      <c r="C116" s="14" t="n">
        <v>2012</v>
      </c>
      <c r="D116" s="14" t="s">
        <v>38</v>
      </c>
      <c r="E116" s="15" t="n">
        <v>52485</v>
      </c>
      <c r="F116" s="16" t="n">
        <v>0.00112212041740699</v>
      </c>
      <c r="G116" s="14" t="s">
        <v>591</v>
      </c>
      <c r="H116" s="14" t="s">
        <v>123</v>
      </c>
      <c r="I116" s="14" t="s">
        <v>124</v>
      </c>
      <c r="J116" s="14" t="s">
        <v>125</v>
      </c>
    </row>
    <row r="117" customFormat="false" ht="15" hidden="false" customHeight="false" outlineLevel="0" collapsed="false">
      <c r="A117" s="14" t="s">
        <v>441</v>
      </c>
      <c r="B117" s="14" t="s">
        <v>442</v>
      </c>
      <c r="C117" s="14" t="n">
        <v>2013</v>
      </c>
      <c r="D117" s="14" t="s">
        <v>38</v>
      </c>
      <c r="E117" s="15" t="n">
        <v>46195</v>
      </c>
      <c r="F117" s="16" t="n">
        <v>0.000991219739286571</v>
      </c>
      <c r="G117" s="14" t="s">
        <v>591</v>
      </c>
      <c r="H117" s="14" t="s">
        <v>123</v>
      </c>
      <c r="I117" s="14" t="s">
        <v>124</v>
      </c>
      <c r="J117" s="14" t="s">
        <v>125</v>
      </c>
    </row>
    <row r="118" customFormat="false" ht="15" hidden="false" customHeight="false" outlineLevel="0" collapsed="false">
      <c r="A118" s="14" t="s">
        <v>441</v>
      </c>
      <c r="B118" s="14" t="s">
        <v>442</v>
      </c>
      <c r="C118" s="14" t="n">
        <v>2014</v>
      </c>
      <c r="D118" s="14" t="s">
        <v>38</v>
      </c>
      <c r="E118" s="15" t="n">
        <v>47885</v>
      </c>
      <c r="F118" s="16" t="n">
        <v>0.00103065528475412</v>
      </c>
      <c r="G118" s="14" t="s">
        <v>591</v>
      </c>
      <c r="H118" s="14" t="s">
        <v>123</v>
      </c>
      <c r="I118" s="14" t="s">
        <v>124</v>
      </c>
      <c r="J118" s="14" t="s">
        <v>125</v>
      </c>
    </row>
    <row r="119" customFormat="false" ht="15" hidden="false" customHeight="false" outlineLevel="0" collapsed="false">
      <c r="A119" s="14" t="s">
        <v>441</v>
      </c>
      <c r="B119" s="14" t="s">
        <v>442</v>
      </c>
      <c r="C119" s="14" t="n">
        <v>2015</v>
      </c>
      <c r="D119" s="14" t="s">
        <v>38</v>
      </c>
      <c r="E119" s="15" t="n">
        <v>42605</v>
      </c>
      <c r="F119" s="16" t="n">
        <v>0.000917770064100439</v>
      </c>
      <c r="G119" s="14" t="s">
        <v>591</v>
      </c>
      <c r="H119" s="14" t="s">
        <v>123</v>
      </c>
      <c r="I119" s="14" t="s">
        <v>124</v>
      </c>
      <c r="J119" s="14" t="s">
        <v>125</v>
      </c>
    </row>
    <row r="120" customFormat="false" ht="15" hidden="false" customHeight="false" outlineLevel="0" collapsed="false">
      <c r="A120" s="14" t="s">
        <v>441</v>
      </c>
      <c r="B120" s="14" t="s">
        <v>442</v>
      </c>
      <c r="C120" s="14" t="n">
        <v>2016</v>
      </c>
      <c r="D120" s="14" t="s">
        <v>38</v>
      </c>
      <c r="E120" s="15" t="n">
        <v>37295</v>
      </c>
      <c r="F120" s="16" t="n">
        <v>0.000802765689775047</v>
      </c>
      <c r="G120" s="14" t="s">
        <v>591</v>
      </c>
      <c r="H120" s="14" t="s">
        <v>123</v>
      </c>
      <c r="I120" s="14" t="s">
        <v>124</v>
      </c>
      <c r="J120" s="14" t="s">
        <v>125</v>
      </c>
    </row>
    <row r="121" customFormat="false" ht="15" hidden="false" customHeight="false" outlineLevel="0" collapsed="false">
      <c r="A121" s="14" t="s">
        <v>441</v>
      </c>
      <c r="B121" s="14" t="s">
        <v>442</v>
      </c>
      <c r="C121" s="14" t="n">
        <v>2017</v>
      </c>
      <c r="D121" s="14" t="s">
        <v>38</v>
      </c>
      <c r="E121" s="15" t="n">
        <v>44625</v>
      </c>
      <c r="F121" s="16" t="n">
        <v>0.000958209565939763</v>
      </c>
      <c r="G121" s="14" t="s">
        <v>591</v>
      </c>
      <c r="H121" s="14" t="s">
        <v>123</v>
      </c>
      <c r="I121" s="14" t="s">
        <v>124</v>
      </c>
      <c r="J121" s="14" t="s">
        <v>125</v>
      </c>
    </row>
    <row r="122" customFormat="false" ht="15" hidden="false" customHeight="false" outlineLevel="0" collapsed="false">
      <c r="A122" s="14" t="s">
        <v>441</v>
      </c>
      <c r="B122" s="14" t="s">
        <v>442</v>
      </c>
      <c r="C122" s="14" t="n">
        <v>2018</v>
      </c>
      <c r="D122" s="14" t="s">
        <v>38</v>
      </c>
      <c r="E122" s="15" t="n">
        <v>78280</v>
      </c>
      <c r="F122" s="16" t="n">
        <v>0.00167329275349023</v>
      </c>
      <c r="G122" s="14" t="s">
        <v>591</v>
      </c>
      <c r="H122" s="14" t="s">
        <v>123</v>
      </c>
      <c r="I122" s="14" t="s">
        <v>124</v>
      </c>
      <c r="J122" s="14" t="s">
        <v>125</v>
      </c>
    </row>
    <row r="123" customFormat="false" ht="15" hidden="false" customHeight="false" outlineLevel="0" collapsed="false">
      <c r="A123" s="14" t="s">
        <v>441</v>
      </c>
      <c r="B123" s="14" t="s">
        <v>442</v>
      </c>
      <c r="C123" s="14" t="n">
        <v>2019</v>
      </c>
      <c r="D123" s="14" t="s">
        <v>38</v>
      </c>
      <c r="E123" s="15" t="n">
        <v>62865</v>
      </c>
      <c r="F123" s="16" t="n">
        <v>0.00133418930283882</v>
      </c>
      <c r="G123" s="14" t="s">
        <v>591</v>
      </c>
      <c r="H123" s="14" t="s">
        <v>123</v>
      </c>
      <c r="I123" s="14" t="s">
        <v>124</v>
      </c>
      <c r="J123" s="14" t="s">
        <v>125</v>
      </c>
    </row>
    <row r="124" customFormat="false" ht="15" hidden="false" customHeight="false" outlineLevel="0" collapsed="false">
      <c r="A124" s="14" t="s">
        <v>441</v>
      </c>
      <c r="B124" s="14" t="s">
        <v>442</v>
      </c>
      <c r="C124" s="14" t="n">
        <v>2020</v>
      </c>
      <c r="D124" s="14" t="s">
        <v>38</v>
      </c>
      <c r="E124" s="15" t="n">
        <v>72265</v>
      </c>
      <c r="F124" s="16" t="n">
        <v>0.00152588426751136</v>
      </c>
      <c r="G124" s="14" t="s">
        <v>591</v>
      </c>
      <c r="H124" s="14" t="s">
        <v>123</v>
      </c>
      <c r="I124" s="14" t="s">
        <v>124</v>
      </c>
      <c r="J124" s="14" t="s">
        <v>125</v>
      </c>
    </row>
    <row r="125" customFormat="false" ht="15" hidden="false" customHeight="false" outlineLevel="0" collapsed="false">
      <c r="A125" s="14" t="s">
        <v>441</v>
      </c>
      <c r="B125" s="14" t="s">
        <v>442</v>
      </c>
      <c r="C125" s="14" t="n">
        <v>2021</v>
      </c>
      <c r="D125" s="14" t="s">
        <v>38</v>
      </c>
      <c r="E125" s="15" t="n">
        <v>30615</v>
      </c>
      <c r="F125" s="16" t="n">
        <v>0.000645289509881592</v>
      </c>
      <c r="G125" s="14" t="s">
        <v>591</v>
      </c>
      <c r="H125" s="14" t="s">
        <v>123</v>
      </c>
      <c r="I125" s="14" t="s">
        <v>124</v>
      </c>
      <c r="J125" s="14" t="s">
        <v>125</v>
      </c>
    </row>
    <row r="126" customFormat="false" ht="15" hidden="false" customHeight="false" outlineLevel="0" collapsed="false">
      <c r="A126" s="14" t="s">
        <v>441</v>
      </c>
      <c r="B126" s="14" t="s">
        <v>442</v>
      </c>
      <c r="C126" s="14" t="n">
        <v>2022</v>
      </c>
      <c r="D126" s="14" t="s">
        <v>38</v>
      </c>
      <c r="E126" s="15" t="n">
        <v>68100</v>
      </c>
      <c r="F126" s="16" t="n">
        <v>0.00142510054492413</v>
      </c>
      <c r="G126" s="14" t="s">
        <v>591</v>
      </c>
      <c r="H126" s="14" t="s">
        <v>123</v>
      </c>
      <c r="I126" s="14" t="s">
        <v>124</v>
      </c>
      <c r="J126" s="14" t="s">
        <v>125</v>
      </c>
    </row>
    <row r="127" customFormat="false" ht="15" hidden="false" customHeight="false" outlineLevel="0" collapsed="false">
      <c r="A127" s="14" t="s">
        <v>441</v>
      </c>
      <c r="B127" s="14" t="s">
        <v>442</v>
      </c>
      <c r="C127" s="14" t="n">
        <v>2017</v>
      </c>
      <c r="D127" s="14" t="s">
        <v>30</v>
      </c>
      <c r="E127" s="15" t="n">
        <v>127066</v>
      </c>
      <c r="F127" s="16" t="n">
        <v>0.00272842255923142</v>
      </c>
      <c r="G127" s="14" t="s">
        <v>591</v>
      </c>
      <c r="H127" s="14" t="s">
        <v>447</v>
      </c>
      <c r="I127" s="14" t="s">
        <v>448</v>
      </c>
      <c r="J127" s="14" t="s">
        <v>449</v>
      </c>
    </row>
    <row r="128" customFormat="false" ht="15" hidden="false" customHeight="false" outlineLevel="0" collapsed="false">
      <c r="A128" s="11" t="s">
        <v>441</v>
      </c>
      <c r="B128" s="11" t="s">
        <v>442</v>
      </c>
      <c r="C128" s="11" t="n">
        <v>2017</v>
      </c>
      <c r="D128" s="11" t="s">
        <v>30</v>
      </c>
      <c r="E128" s="17" t="n">
        <v>150000</v>
      </c>
      <c r="F128" s="18" t="n">
        <v>0.00322087249055383</v>
      </c>
      <c r="G128" s="11" t="s">
        <v>592</v>
      </c>
      <c r="H128" s="11" t="s">
        <v>127</v>
      </c>
      <c r="I128" s="11" t="s">
        <v>128</v>
      </c>
      <c r="J128" s="11" t="s">
        <v>129</v>
      </c>
    </row>
    <row r="129" customFormat="false" ht="15" hidden="false" customHeight="false" outlineLevel="0" collapsed="false">
      <c r="A129" s="14" t="s">
        <v>441</v>
      </c>
      <c r="B129" s="14" t="s">
        <v>442</v>
      </c>
      <c r="C129" s="14" t="n">
        <v>2018</v>
      </c>
      <c r="D129" s="14" t="s">
        <v>30</v>
      </c>
      <c r="E129" s="15" t="n">
        <v>183384</v>
      </c>
      <c r="F129" s="16" t="n">
        <v>0.00391996829721578</v>
      </c>
      <c r="G129" s="14" t="s">
        <v>591</v>
      </c>
      <c r="H129" s="14" t="s">
        <v>447</v>
      </c>
      <c r="I129" s="14" t="s">
        <v>448</v>
      </c>
      <c r="J129" s="14" t="s">
        <v>450</v>
      </c>
    </row>
    <row r="130" customFormat="false" ht="15" hidden="false" customHeight="false" outlineLevel="0" collapsed="false">
      <c r="A130" s="11" t="s">
        <v>441</v>
      </c>
      <c r="B130" s="11" t="s">
        <v>442</v>
      </c>
      <c r="C130" s="11" t="n">
        <v>2018</v>
      </c>
      <c r="D130" s="11" t="s">
        <v>30</v>
      </c>
      <c r="E130" s="17" t="n">
        <v>22948</v>
      </c>
      <c r="F130" s="18" t="n">
        <v>0.000490530430596496</v>
      </c>
      <c r="G130" s="11" t="s">
        <v>592</v>
      </c>
      <c r="H130" s="11" t="s">
        <v>602</v>
      </c>
      <c r="I130" s="11" t="s">
        <v>448</v>
      </c>
      <c r="J130" s="11" t="s">
        <v>603</v>
      </c>
    </row>
    <row r="131" customFormat="false" ht="15" hidden="false" customHeight="false" outlineLevel="0" collapsed="false">
      <c r="A131" s="14" t="s">
        <v>441</v>
      </c>
      <c r="B131" s="14" t="s">
        <v>442</v>
      </c>
      <c r="C131" s="14" t="n">
        <v>2019</v>
      </c>
      <c r="D131" s="14" t="s">
        <v>30</v>
      </c>
      <c r="E131" s="15" t="n">
        <v>259140</v>
      </c>
      <c r="F131" s="16" t="n">
        <v>0.00549975051201226</v>
      </c>
      <c r="G131" s="14" t="s">
        <v>591</v>
      </c>
      <c r="H131" s="14" t="s">
        <v>447</v>
      </c>
      <c r="I131" s="14" t="s">
        <v>448</v>
      </c>
      <c r="J131" s="14" t="s">
        <v>451</v>
      </c>
    </row>
    <row r="132" customFormat="false" ht="15" hidden="false" customHeight="false" outlineLevel="0" collapsed="false">
      <c r="A132" s="11" t="s">
        <v>441</v>
      </c>
      <c r="B132" s="11" t="s">
        <v>442</v>
      </c>
      <c r="C132" s="11" t="n">
        <v>2019</v>
      </c>
      <c r="D132" s="11" t="s">
        <v>30</v>
      </c>
      <c r="E132" s="17" t="n">
        <v>430000</v>
      </c>
      <c r="F132" s="18" t="n">
        <v>0.00912592698990997</v>
      </c>
      <c r="G132" s="11" t="s">
        <v>592</v>
      </c>
      <c r="H132" s="11" t="s">
        <v>604</v>
      </c>
      <c r="I132" s="11" t="s">
        <v>605</v>
      </c>
      <c r="J132" s="11" t="s">
        <v>606</v>
      </c>
    </row>
    <row r="133" customFormat="false" ht="15" hidden="false" customHeight="false" outlineLevel="0" collapsed="false">
      <c r="A133" s="11" t="s">
        <v>441</v>
      </c>
      <c r="B133" s="11" t="s">
        <v>442</v>
      </c>
      <c r="C133" s="11" t="n">
        <v>2019</v>
      </c>
      <c r="D133" s="11" t="s">
        <v>30</v>
      </c>
      <c r="E133" s="17" t="n">
        <v>151221</v>
      </c>
      <c r="F133" s="18" t="n">
        <v>0.00320937629149111</v>
      </c>
      <c r="G133" s="11" t="s">
        <v>607</v>
      </c>
      <c r="H133" s="11" t="s">
        <v>602</v>
      </c>
      <c r="I133" s="11" t="s">
        <v>448</v>
      </c>
      <c r="J133" s="11" t="s">
        <v>608</v>
      </c>
    </row>
    <row r="134" customFormat="false" ht="15" hidden="false" customHeight="false" outlineLevel="0" collapsed="false">
      <c r="A134" s="14" t="s">
        <v>441</v>
      </c>
      <c r="B134" s="14" t="s">
        <v>442</v>
      </c>
      <c r="C134" s="14" t="n">
        <v>2020</v>
      </c>
      <c r="D134" s="14" t="s">
        <v>30</v>
      </c>
      <c r="E134" s="15" t="n">
        <v>370052</v>
      </c>
      <c r="F134" s="16" t="n">
        <v>0.00781369300437438</v>
      </c>
      <c r="G134" s="14" t="s">
        <v>591</v>
      </c>
      <c r="H134" s="14" t="s">
        <v>447</v>
      </c>
      <c r="I134" s="14" t="s">
        <v>448</v>
      </c>
      <c r="J134" s="14" t="s">
        <v>452</v>
      </c>
    </row>
    <row r="135" customFormat="false" ht="15" hidden="false" customHeight="false" outlineLevel="0" collapsed="false">
      <c r="A135" s="11" t="s">
        <v>441</v>
      </c>
      <c r="B135" s="11" t="s">
        <v>442</v>
      </c>
      <c r="C135" s="11" t="n">
        <v>2020</v>
      </c>
      <c r="D135" s="11" t="s">
        <v>30</v>
      </c>
      <c r="E135" s="17" t="n">
        <v>307768</v>
      </c>
      <c r="F135" s="18" t="n">
        <v>0.00649855876625527</v>
      </c>
      <c r="G135" s="11" t="s">
        <v>592</v>
      </c>
      <c r="H135" s="11" t="s">
        <v>602</v>
      </c>
      <c r="I135" s="11" t="s">
        <v>448</v>
      </c>
      <c r="J135" s="11" t="s">
        <v>609</v>
      </c>
    </row>
    <row r="136" customFormat="false" ht="15" hidden="false" customHeight="false" outlineLevel="0" collapsed="false">
      <c r="A136" s="14" t="s">
        <v>441</v>
      </c>
      <c r="B136" s="14" t="s">
        <v>442</v>
      </c>
      <c r="C136" s="14" t="n">
        <v>2021</v>
      </c>
      <c r="D136" s="14" t="s">
        <v>30</v>
      </c>
      <c r="E136" s="15" t="n">
        <v>517149</v>
      </c>
      <c r="F136" s="16" t="n">
        <v>0.0109002392534952</v>
      </c>
      <c r="G136" s="14" t="s">
        <v>591</v>
      </c>
      <c r="H136" s="14" t="s">
        <v>447</v>
      </c>
      <c r="I136" s="14" t="s">
        <v>448</v>
      </c>
      <c r="J136" s="14" t="s">
        <v>453</v>
      </c>
    </row>
    <row r="137" customFormat="false" ht="15" hidden="false" customHeight="false" outlineLevel="0" collapsed="false">
      <c r="A137" s="11" t="s">
        <v>441</v>
      </c>
      <c r="B137" s="11" t="s">
        <v>442</v>
      </c>
      <c r="C137" s="11" t="n">
        <v>2021</v>
      </c>
      <c r="D137" s="11" t="s">
        <v>30</v>
      </c>
      <c r="E137" s="17" t="n">
        <v>446557</v>
      </c>
      <c r="F137" s="18" t="n">
        <v>0.00941233211380677</v>
      </c>
      <c r="G137" s="11" t="s">
        <v>592</v>
      </c>
      <c r="H137" s="11" t="s">
        <v>602</v>
      </c>
      <c r="I137" s="11" t="s">
        <v>448</v>
      </c>
      <c r="J137" s="11" t="s">
        <v>610</v>
      </c>
    </row>
    <row r="138" customFormat="false" ht="15" hidden="false" customHeight="false" outlineLevel="0" collapsed="false">
      <c r="A138" s="14" t="s">
        <v>441</v>
      </c>
      <c r="B138" s="14" t="s">
        <v>442</v>
      </c>
      <c r="C138" s="14" t="n">
        <v>2022</v>
      </c>
      <c r="D138" s="14" t="s">
        <v>30</v>
      </c>
      <c r="E138" s="15" t="n">
        <v>482139</v>
      </c>
      <c r="F138" s="16" t="n">
        <v>0.0100895235187838</v>
      </c>
      <c r="G138" s="14" t="s">
        <v>591</v>
      </c>
      <c r="H138" s="14" t="s">
        <v>447</v>
      </c>
      <c r="I138" s="14" t="s">
        <v>448</v>
      </c>
      <c r="J138" s="14" t="s">
        <v>454</v>
      </c>
    </row>
    <row r="139" customFormat="false" ht="15" hidden="false" customHeight="false" outlineLevel="0" collapsed="false">
      <c r="A139" s="11" t="s">
        <v>441</v>
      </c>
      <c r="B139" s="11" t="s">
        <v>442</v>
      </c>
      <c r="C139" s="11" t="n">
        <v>2022</v>
      </c>
      <c r="D139" s="11" t="s">
        <v>30</v>
      </c>
      <c r="E139" s="17" t="n">
        <v>395591</v>
      </c>
      <c r="F139" s="18" t="n">
        <v>0.0082783693049498</v>
      </c>
      <c r="G139" s="11" t="s">
        <v>592</v>
      </c>
      <c r="H139" s="11" t="s">
        <v>602</v>
      </c>
      <c r="I139" s="11" t="s">
        <v>448</v>
      </c>
      <c r="J139" s="11" t="s">
        <v>611</v>
      </c>
    </row>
    <row r="140" customFormat="false" ht="15" hidden="false" customHeight="false" outlineLevel="0" collapsed="false">
      <c r="A140" s="14" t="s">
        <v>207</v>
      </c>
      <c r="B140" s="14" t="s">
        <v>208</v>
      </c>
      <c r="C140" s="14" t="n">
        <v>2010</v>
      </c>
      <c r="D140" s="14" t="s">
        <v>38</v>
      </c>
      <c r="E140" s="15" t="n">
        <v>3755</v>
      </c>
      <c r="F140" s="16" t="n">
        <v>0.000700121864087981</v>
      </c>
      <c r="G140" s="14" t="s">
        <v>591</v>
      </c>
      <c r="H140" s="14" t="s">
        <v>123</v>
      </c>
      <c r="I140" s="14" t="s">
        <v>124</v>
      </c>
      <c r="J140" s="14" t="s">
        <v>125</v>
      </c>
    </row>
    <row r="141" customFormat="false" ht="15" hidden="false" customHeight="false" outlineLevel="0" collapsed="false">
      <c r="A141" s="14" t="s">
        <v>207</v>
      </c>
      <c r="B141" s="14" t="s">
        <v>208</v>
      </c>
      <c r="C141" s="14" t="n">
        <v>2011</v>
      </c>
      <c r="D141" s="14" t="s">
        <v>38</v>
      </c>
      <c r="E141" s="15" t="n">
        <v>3305</v>
      </c>
      <c r="F141" s="16" t="n">
        <v>0.000613369184035253</v>
      </c>
      <c r="G141" s="14" t="s">
        <v>591</v>
      </c>
      <c r="H141" s="14" t="s">
        <v>123</v>
      </c>
      <c r="I141" s="14" t="s">
        <v>124</v>
      </c>
      <c r="J141" s="14" t="s">
        <v>125</v>
      </c>
    </row>
    <row r="142" customFormat="false" ht="15" hidden="false" customHeight="false" outlineLevel="0" collapsed="false">
      <c r="A142" s="14" t="s">
        <v>207</v>
      </c>
      <c r="B142" s="14" t="s">
        <v>208</v>
      </c>
      <c r="C142" s="14" t="n">
        <v>2012</v>
      </c>
      <c r="D142" s="14" t="s">
        <v>38</v>
      </c>
      <c r="E142" s="15" t="n">
        <v>3620</v>
      </c>
      <c r="F142" s="16" t="n">
        <v>0.000668640448942191</v>
      </c>
      <c r="G142" s="14" t="s">
        <v>591</v>
      </c>
      <c r="H142" s="14" t="s">
        <v>123</v>
      </c>
      <c r="I142" s="14" t="s">
        <v>124</v>
      </c>
      <c r="J142" s="14" t="s">
        <v>125</v>
      </c>
    </row>
    <row r="143" customFormat="false" ht="15" hidden="false" customHeight="false" outlineLevel="0" collapsed="false">
      <c r="A143" s="14" t="s">
        <v>207</v>
      </c>
      <c r="B143" s="14" t="s">
        <v>208</v>
      </c>
      <c r="C143" s="14" t="n">
        <v>2013</v>
      </c>
      <c r="D143" s="14" t="s">
        <v>38</v>
      </c>
      <c r="E143" s="15" t="n">
        <v>3365</v>
      </c>
      <c r="F143" s="16" t="n">
        <v>0.000618683089377919</v>
      </c>
      <c r="G143" s="14" t="s">
        <v>591</v>
      </c>
      <c r="H143" s="14" t="s">
        <v>123</v>
      </c>
      <c r="I143" s="14" t="s">
        <v>124</v>
      </c>
      <c r="J143" s="14" t="s">
        <v>125</v>
      </c>
    </row>
    <row r="144" customFormat="false" ht="15" hidden="false" customHeight="false" outlineLevel="0" collapsed="false">
      <c r="A144" s="14" t="s">
        <v>207</v>
      </c>
      <c r="B144" s="14" t="s">
        <v>208</v>
      </c>
      <c r="C144" s="14" t="n">
        <v>2014</v>
      </c>
      <c r="D144" s="14" t="s">
        <v>38</v>
      </c>
      <c r="E144" s="15" t="n">
        <v>2930</v>
      </c>
      <c r="F144" s="16" t="n">
        <v>0.000536481472529951</v>
      </c>
      <c r="G144" s="14" t="s">
        <v>591</v>
      </c>
      <c r="H144" s="14" t="s">
        <v>123</v>
      </c>
      <c r="I144" s="14" t="s">
        <v>124</v>
      </c>
      <c r="J144" s="14" t="s">
        <v>125</v>
      </c>
    </row>
    <row r="145" customFormat="false" ht="15" hidden="false" customHeight="false" outlineLevel="0" collapsed="false">
      <c r="A145" s="14" t="s">
        <v>207</v>
      </c>
      <c r="B145" s="14" t="s">
        <v>208</v>
      </c>
      <c r="C145" s="14" t="n">
        <v>2015</v>
      </c>
      <c r="D145" s="14" t="s">
        <v>38</v>
      </c>
      <c r="E145" s="15" t="n">
        <v>14285</v>
      </c>
      <c r="F145" s="16" t="n">
        <v>0.00260697494000855</v>
      </c>
      <c r="G145" s="14" t="s">
        <v>591</v>
      </c>
      <c r="H145" s="14" t="s">
        <v>123</v>
      </c>
      <c r="I145" s="14" t="s">
        <v>124</v>
      </c>
      <c r="J145" s="14" t="s">
        <v>125</v>
      </c>
    </row>
    <row r="146" customFormat="false" ht="15" hidden="false" customHeight="false" outlineLevel="0" collapsed="false">
      <c r="A146" s="14" t="s">
        <v>207</v>
      </c>
      <c r="B146" s="14" t="s">
        <v>208</v>
      </c>
      <c r="C146" s="14" t="n">
        <v>2016</v>
      </c>
      <c r="D146" s="14" t="s">
        <v>38</v>
      </c>
      <c r="E146" s="15" t="n">
        <v>2130</v>
      </c>
      <c r="F146" s="16" t="n">
        <v>0.000387603740867428</v>
      </c>
      <c r="G146" s="14" t="s">
        <v>591</v>
      </c>
      <c r="H146" s="14" t="s">
        <v>123</v>
      </c>
      <c r="I146" s="14" t="s">
        <v>124</v>
      </c>
      <c r="J146" s="14" t="s">
        <v>125</v>
      </c>
    </row>
    <row r="147" customFormat="false" ht="15" hidden="false" customHeight="false" outlineLevel="0" collapsed="false">
      <c r="A147" s="14" t="s">
        <v>207</v>
      </c>
      <c r="B147" s="14" t="s">
        <v>208</v>
      </c>
      <c r="C147" s="14" t="n">
        <v>2017</v>
      </c>
      <c r="D147" s="14" t="s">
        <v>38</v>
      </c>
      <c r="E147" s="15" t="n">
        <v>930</v>
      </c>
      <c r="F147" s="16" t="n">
        <v>0.000168838756083188</v>
      </c>
      <c r="G147" s="14" t="s">
        <v>591</v>
      </c>
      <c r="H147" s="14" t="s">
        <v>123</v>
      </c>
      <c r="I147" s="14" t="s">
        <v>124</v>
      </c>
      <c r="J147" s="14" t="s">
        <v>125</v>
      </c>
    </row>
    <row r="148" customFormat="false" ht="15" hidden="false" customHeight="false" outlineLevel="0" collapsed="false">
      <c r="A148" s="14" t="s">
        <v>207</v>
      </c>
      <c r="B148" s="14" t="s">
        <v>208</v>
      </c>
      <c r="C148" s="14" t="n">
        <v>2018</v>
      </c>
      <c r="D148" s="14" t="s">
        <v>38</v>
      </c>
      <c r="E148" s="15" t="n">
        <v>1305</v>
      </c>
      <c r="F148" s="16" t="n">
        <v>0.000236604856292012</v>
      </c>
      <c r="G148" s="14" t="s">
        <v>591</v>
      </c>
      <c r="H148" s="14" t="s">
        <v>123</v>
      </c>
      <c r="I148" s="14" t="s">
        <v>124</v>
      </c>
      <c r="J148" s="14" t="s">
        <v>125</v>
      </c>
    </row>
    <row r="149" customFormat="false" ht="15" hidden="false" customHeight="false" outlineLevel="0" collapsed="false">
      <c r="A149" s="14" t="s">
        <v>207</v>
      </c>
      <c r="B149" s="14" t="s">
        <v>208</v>
      </c>
      <c r="C149" s="14" t="n">
        <v>2019</v>
      </c>
      <c r="D149" s="14" t="s">
        <v>38</v>
      </c>
      <c r="E149" s="15" t="n">
        <v>1220</v>
      </c>
      <c r="F149" s="16" t="n">
        <v>0.000220950209051497</v>
      </c>
      <c r="G149" s="14" t="s">
        <v>591</v>
      </c>
      <c r="H149" s="14" t="s">
        <v>123</v>
      </c>
      <c r="I149" s="14" t="s">
        <v>124</v>
      </c>
      <c r="J149" s="14" t="s">
        <v>125</v>
      </c>
    </row>
    <row r="150" customFormat="false" ht="15" hidden="false" customHeight="false" outlineLevel="0" collapsed="false">
      <c r="A150" s="14" t="s">
        <v>207</v>
      </c>
      <c r="B150" s="14" t="s">
        <v>208</v>
      </c>
      <c r="C150" s="14" t="n">
        <v>2020</v>
      </c>
      <c r="D150" s="14" t="s">
        <v>38</v>
      </c>
      <c r="E150" s="15" t="n">
        <v>1145</v>
      </c>
      <c r="F150" s="16" t="n">
        <v>0.000207069553487512</v>
      </c>
      <c r="G150" s="14" t="s">
        <v>591</v>
      </c>
      <c r="H150" s="14" t="s">
        <v>123</v>
      </c>
      <c r="I150" s="14" t="s">
        <v>124</v>
      </c>
      <c r="J150" s="14" t="s">
        <v>125</v>
      </c>
    </row>
    <row r="151" customFormat="false" ht="15" hidden="false" customHeight="false" outlineLevel="0" collapsed="false">
      <c r="A151" s="14" t="s">
        <v>207</v>
      </c>
      <c r="B151" s="14" t="s">
        <v>208</v>
      </c>
      <c r="C151" s="14" t="n">
        <v>2021</v>
      </c>
      <c r="D151" s="14" t="s">
        <v>38</v>
      </c>
      <c r="E151" s="15" t="n">
        <v>1090</v>
      </c>
      <c r="F151" s="16" t="n">
        <v>0.000196714790804648</v>
      </c>
      <c r="G151" s="14" t="s">
        <v>591</v>
      </c>
      <c r="H151" s="14" t="s">
        <v>123</v>
      </c>
      <c r="I151" s="14" t="s">
        <v>124</v>
      </c>
      <c r="J151" s="14" t="s">
        <v>125</v>
      </c>
    </row>
    <row r="152" customFormat="false" ht="15" hidden="false" customHeight="false" outlineLevel="0" collapsed="false">
      <c r="A152" s="14" t="s">
        <v>207</v>
      </c>
      <c r="B152" s="14" t="s">
        <v>208</v>
      </c>
      <c r="C152" s="14" t="n">
        <v>2022</v>
      </c>
      <c r="D152" s="14" t="s">
        <v>38</v>
      </c>
      <c r="E152" s="15" t="n">
        <v>1190</v>
      </c>
      <c r="F152" s="16" t="n">
        <v>0.00021417877916656</v>
      </c>
      <c r="G152" s="14" t="s">
        <v>591</v>
      </c>
      <c r="H152" s="14" t="s">
        <v>123</v>
      </c>
      <c r="I152" s="14" t="s">
        <v>124</v>
      </c>
      <c r="J152" s="14" t="s">
        <v>125</v>
      </c>
    </row>
    <row r="153" customFormat="false" ht="15" hidden="false" customHeight="false" outlineLevel="0" collapsed="false">
      <c r="A153" s="14" t="s">
        <v>213</v>
      </c>
      <c r="B153" s="14" t="s">
        <v>214</v>
      </c>
      <c r="C153" s="14" t="n">
        <v>2010</v>
      </c>
      <c r="D153" s="14" t="s">
        <v>38</v>
      </c>
      <c r="E153" s="15" t="n">
        <v>56220</v>
      </c>
      <c r="F153" s="16" t="n">
        <v>0.000864574440605189</v>
      </c>
      <c r="G153" s="14" t="s">
        <v>591</v>
      </c>
      <c r="H153" s="14" t="s">
        <v>123</v>
      </c>
      <c r="I153" s="14" t="s">
        <v>124</v>
      </c>
      <c r="J153" s="14" t="s">
        <v>125</v>
      </c>
    </row>
    <row r="154" customFormat="false" ht="15" hidden="false" customHeight="false" outlineLevel="0" collapsed="false">
      <c r="A154" s="14" t="s">
        <v>213</v>
      </c>
      <c r="B154" s="14" t="s">
        <v>214</v>
      </c>
      <c r="C154" s="14" t="n">
        <v>2011</v>
      </c>
      <c r="D154" s="14" t="s">
        <v>38</v>
      </c>
      <c r="E154" s="15" t="n">
        <v>57975</v>
      </c>
      <c r="F154" s="16" t="n">
        <v>0.000887270639200635</v>
      </c>
      <c r="G154" s="14" t="s">
        <v>591</v>
      </c>
      <c r="H154" s="14" t="s">
        <v>123</v>
      </c>
      <c r="I154" s="14" t="s">
        <v>124</v>
      </c>
      <c r="J154" s="14" t="s">
        <v>125</v>
      </c>
    </row>
    <row r="155" customFormat="false" ht="15" hidden="false" customHeight="false" outlineLevel="0" collapsed="false">
      <c r="A155" s="14" t="s">
        <v>213</v>
      </c>
      <c r="B155" s="14" t="s">
        <v>214</v>
      </c>
      <c r="C155" s="14" t="n">
        <v>2012</v>
      </c>
      <c r="D155" s="14" t="s">
        <v>38</v>
      </c>
      <c r="E155" s="15" t="n">
        <v>49760</v>
      </c>
      <c r="F155" s="16" t="n">
        <v>0.000757870456514449</v>
      </c>
      <c r="G155" s="14" t="s">
        <v>591</v>
      </c>
      <c r="H155" s="14" t="s">
        <v>123</v>
      </c>
      <c r="I155" s="14" t="s">
        <v>124</v>
      </c>
      <c r="J155" s="14" t="s">
        <v>125</v>
      </c>
    </row>
    <row r="156" customFormat="false" ht="15" hidden="false" customHeight="false" outlineLevel="0" collapsed="false">
      <c r="A156" s="14" t="s">
        <v>213</v>
      </c>
      <c r="B156" s="14" t="s">
        <v>214</v>
      </c>
      <c r="C156" s="14" t="n">
        <v>2013</v>
      </c>
      <c r="D156" s="14" t="s">
        <v>38</v>
      </c>
      <c r="E156" s="15" t="n">
        <v>48965</v>
      </c>
      <c r="F156" s="16" t="n">
        <v>0.000741917186132438</v>
      </c>
      <c r="G156" s="14" t="s">
        <v>591</v>
      </c>
      <c r="H156" s="14" t="s">
        <v>123</v>
      </c>
      <c r="I156" s="14" t="s">
        <v>124</v>
      </c>
      <c r="J156" s="14" t="s">
        <v>125</v>
      </c>
    </row>
    <row r="157" customFormat="false" ht="15" hidden="false" customHeight="false" outlineLevel="0" collapsed="false">
      <c r="A157" s="14" t="s">
        <v>213</v>
      </c>
      <c r="B157" s="14" t="s">
        <v>214</v>
      </c>
      <c r="C157" s="14" t="n">
        <v>2014</v>
      </c>
      <c r="D157" s="14" t="s">
        <v>38</v>
      </c>
      <c r="E157" s="15" t="n">
        <v>96375</v>
      </c>
      <c r="F157" s="16" t="n">
        <v>0.00145335539005292</v>
      </c>
      <c r="G157" s="14" t="s">
        <v>591</v>
      </c>
      <c r="H157" s="14" t="s">
        <v>123</v>
      </c>
      <c r="I157" s="14" t="s">
        <v>124</v>
      </c>
      <c r="J157" s="14" t="s">
        <v>125</v>
      </c>
    </row>
    <row r="158" customFormat="false" ht="15" hidden="false" customHeight="false" outlineLevel="0" collapsed="false">
      <c r="A158" s="14" t="s">
        <v>213</v>
      </c>
      <c r="B158" s="14" t="s">
        <v>214</v>
      </c>
      <c r="C158" s="14" t="n">
        <v>2015</v>
      </c>
      <c r="D158" s="14" t="s">
        <v>38</v>
      </c>
      <c r="E158" s="15" t="n">
        <v>109720</v>
      </c>
      <c r="F158" s="16" t="n">
        <v>0.00164872800904583</v>
      </c>
      <c r="G158" s="14" t="s">
        <v>591</v>
      </c>
      <c r="H158" s="14" t="s">
        <v>123</v>
      </c>
      <c r="I158" s="14" t="s">
        <v>124</v>
      </c>
      <c r="J158" s="14" t="s">
        <v>125</v>
      </c>
    </row>
    <row r="159" customFormat="false" ht="15" hidden="false" customHeight="false" outlineLevel="0" collapsed="false">
      <c r="A159" s="14" t="s">
        <v>213</v>
      </c>
      <c r="B159" s="14" t="s">
        <v>214</v>
      </c>
      <c r="C159" s="14" t="n">
        <v>2016</v>
      </c>
      <c r="D159" s="14" t="s">
        <v>38</v>
      </c>
      <c r="E159" s="15" t="n">
        <v>91985</v>
      </c>
      <c r="F159" s="16" t="n">
        <v>0.00137858726435652</v>
      </c>
      <c r="G159" s="14" t="s">
        <v>591</v>
      </c>
      <c r="H159" s="14" t="s">
        <v>123</v>
      </c>
      <c r="I159" s="14" t="s">
        <v>124</v>
      </c>
      <c r="J159" s="14" t="s">
        <v>125</v>
      </c>
    </row>
    <row r="160" customFormat="false" ht="15" hidden="false" customHeight="false" outlineLevel="0" collapsed="false">
      <c r="A160" s="14" t="s">
        <v>213</v>
      </c>
      <c r="B160" s="14" t="s">
        <v>214</v>
      </c>
      <c r="C160" s="14" t="n">
        <v>2017</v>
      </c>
      <c r="D160" s="14" t="s">
        <v>38</v>
      </c>
      <c r="E160" s="15" t="n">
        <v>115085</v>
      </c>
      <c r="F160" s="16" t="n">
        <v>0.00171979087247351</v>
      </c>
      <c r="G160" s="14" t="s">
        <v>591</v>
      </c>
      <c r="H160" s="14" t="s">
        <v>123</v>
      </c>
      <c r="I160" s="14" t="s">
        <v>124</v>
      </c>
      <c r="J160" s="14" t="s">
        <v>125</v>
      </c>
    </row>
    <row r="161" customFormat="false" ht="15" hidden="false" customHeight="false" outlineLevel="0" collapsed="false">
      <c r="A161" s="14" t="s">
        <v>213</v>
      </c>
      <c r="B161" s="14" t="s">
        <v>214</v>
      </c>
      <c r="C161" s="14" t="n">
        <v>2018</v>
      </c>
      <c r="D161" s="14" t="s">
        <v>38</v>
      </c>
      <c r="E161" s="15" t="n">
        <v>105880</v>
      </c>
      <c r="F161" s="16" t="n">
        <v>0.00157657243147196</v>
      </c>
      <c r="G161" s="14" t="s">
        <v>591</v>
      </c>
      <c r="H161" s="14" t="s">
        <v>123</v>
      </c>
      <c r="I161" s="14" t="s">
        <v>124</v>
      </c>
      <c r="J161" s="14" t="s">
        <v>125</v>
      </c>
    </row>
    <row r="162" customFormat="false" ht="15" hidden="false" customHeight="false" outlineLevel="0" collapsed="false">
      <c r="A162" s="14" t="s">
        <v>213</v>
      </c>
      <c r="B162" s="14" t="s">
        <v>214</v>
      </c>
      <c r="C162" s="14" t="n">
        <v>2019</v>
      </c>
      <c r="D162" s="14" t="s">
        <v>38</v>
      </c>
      <c r="E162" s="15" t="n">
        <v>120455</v>
      </c>
      <c r="F162" s="16" t="n">
        <v>0.00178764196601229</v>
      </c>
      <c r="G162" s="14" t="s">
        <v>591</v>
      </c>
      <c r="H162" s="14" t="s">
        <v>123</v>
      </c>
      <c r="I162" s="14" t="s">
        <v>124</v>
      </c>
      <c r="J162" s="14" t="s">
        <v>125</v>
      </c>
    </row>
    <row r="163" customFormat="false" ht="15" hidden="false" customHeight="false" outlineLevel="0" collapsed="false">
      <c r="A163" s="14" t="s">
        <v>213</v>
      </c>
      <c r="B163" s="14" t="s">
        <v>214</v>
      </c>
      <c r="C163" s="14" t="n">
        <v>2020</v>
      </c>
      <c r="D163" s="14" t="s">
        <v>38</v>
      </c>
      <c r="E163" s="15" t="n">
        <v>103915</v>
      </c>
      <c r="F163" s="16" t="n">
        <v>0.00153717890135236</v>
      </c>
      <c r="G163" s="14" t="s">
        <v>591</v>
      </c>
      <c r="H163" s="14" t="s">
        <v>123</v>
      </c>
      <c r="I163" s="14" t="s">
        <v>124</v>
      </c>
      <c r="J163" s="14" t="s">
        <v>125</v>
      </c>
    </row>
    <row r="164" customFormat="false" ht="15" hidden="false" customHeight="false" outlineLevel="0" collapsed="false">
      <c r="A164" s="14" t="s">
        <v>213</v>
      </c>
      <c r="B164" s="14" t="s">
        <v>214</v>
      </c>
      <c r="C164" s="14" t="n">
        <v>2021</v>
      </c>
      <c r="D164" s="14" t="s">
        <v>38</v>
      </c>
      <c r="E164" s="15" t="n">
        <v>117265</v>
      </c>
      <c r="F164" s="16" t="n">
        <v>0.0017284808555471</v>
      </c>
      <c r="G164" s="14" t="s">
        <v>591</v>
      </c>
      <c r="H164" s="14" t="s">
        <v>123</v>
      </c>
      <c r="I164" s="14" t="s">
        <v>124</v>
      </c>
      <c r="J164" s="14" t="s">
        <v>125</v>
      </c>
    </row>
    <row r="165" customFormat="false" ht="15" hidden="false" customHeight="false" outlineLevel="0" collapsed="false">
      <c r="A165" s="14" t="s">
        <v>213</v>
      </c>
      <c r="B165" s="14" t="s">
        <v>214</v>
      </c>
      <c r="C165" s="14" t="n">
        <v>2022</v>
      </c>
      <c r="D165" s="14" t="s">
        <v>38</v>
      </c>
      <c r="E165" s="15" t="n">
        <v>115135</v>
      </c>
      <c r="F165" s="16" t="n">
        <v>0.00168858131406693</v>
      </c>
      <c r="G165" s="14" t="s">
        <v>591</v>
      </c>
      <c r="H165" s="14" t="s">
        <v>123</v>
      </c>
      <c r="I165" s="14" t="s">
        <v>124</v>
      </c>
      <c r="J165" s="14" t="s">
        <v>125</v>
      </c>
    </row>
    <row r="166" customFormat="false" ht="15" hidden="false" customHeight="false" outlineLevel="0" collapsed="false">
      <c r="A166" s="14" t="s">
        <v>213</v>
      </c>
      <c r="B166" s="14" t="s">
        <v>214</v>
      </c>
      <c r="C166" s="14" t="n">
        <v>2014</v>
      </c>
      <c r="D166" s="14" t="s">
        <v>30</v>
      </c>
      <c r="E166" s="15" t="n">
        <v>250000</v>
      </c>
      <c r="F166" s="16" t="n">
        <v>0.00377005289248486</v>
      </c>
      <c r="G166" s="14" t="s">
        <v>591</v>
      </c>
      <c r="H166" s="14" t="s">
        <v>127</v>
      </c>
      <c r="I166" s="14" t="s">
        <v>128</v>
      </c>
      <c r="J166" s="14" t="s">
        <v>219</v>
      </c>
    </row>
    <row r="167" customFormat="false" ht="15" hidden="false" customHeight="false" outlineLevel="0" collapsed="false">
      <c r="A167" s="14" t="s">
        <v>213</v>
      </c>
      <c r="B167" s="14" t="s">
        <v>214</v>
      </c>
      <c r="C167" s="14" t="n">
        <v>2015</v>
      </c>
      <c r="D167" s="14" t="s">
        <v>30</v>
      </c>
      <c r="E167" s="15" t="n">
        <v>250000</v>
      </c>
      <c r="F167" s="16" t="n">
        <v>0.00375667154813577</v>
      </c>
      <c r="G167" s="14" t="s">
        <v>591</v>
      </c>
      <c r="H167" s="14" t="s">
        <v>127</v>
      </c>
      <c r="I167" s="14" t="s">
        <v>128</v>
      </c>
      <c r="J167" s="14" t="s">
        <v>219</v>
      </c>
    </row>
    <row r="168" customFormat="false" ht="15" hidden="false" customHeight="false" outlineLevel="0" collapsed="false">
      <c r="A168" s="14" t="s">
        <v>213</v>
      </c>
      <c r="B168" s="14" t="s">
        <v>214</v>
      </c>
      <c r="C168" s="14" t="n">
        <v>2016</v>
      </c>
      <c r="D168" s="14" t="s">
        <v>30</v>
      </c>
      <c r="E168" s="15" t="n">
        <v>350000</v>
      </c>
      <c r="F168" s="16" t="n">
        <v>0.00524548070364497</v>
      </c>
      <c r="G168" s="14" t="s">
        <v>591</v>
      </c>
      <c r="H168" s="14" t="s">
        <v>127</v>
      </c>
      <c r="I168" s="14" t="s">
        <v>128</v>
      </c>
      <c r="J168" s="14" t="s">
        <v>220</v>
      </c>
    </row>
    <row r="169" customFormat="false" ht="15" hidden="false" customHeight="false" outlineLevel="0" collapsed="false">
      <c r="A169" s="14" t="s">
        <v>213</v>
      </c>
      <c r="B169" s="14" t="s">
        <v>214</v>
      </c>
      <c r="C169" s="14" t="n">
        <v>2017</v>
      </c>
      <c r="D169" s="14" t="s">
        <v>30</v>
      </c>
      <c r="E169" s="15" t="n">
        <v>350000</v>
      </c>
      <c r="F169" s="16" t="n">
        <v>0.00523028027428188</v>
      </c>
      <c r="G169" s="14" t="s">
        <v>591</v>
      </c>
      <c r="H169" s="14" t="s">
        <v>127</v>
      </c>
      <c r="I169" s="14" t="s">
        <v>128</v>
      </c>
      <c r="J169" s="14" t="s">
        <v>220</v>
      </c>
    </row>
    <row r="170" customFormat="false" ht="15" hidden="false" customHeight="false" outlineLevel="0" collapsed="false">
      <c r="A170" s="14" t="s">
        <v>537</v>
      </c>
      <c r="B170" s="14" t="s">
        <v>538</v>
      </c>
      <c r="C170" s="14" t="n">
        <v>2010</v>
      </c>
      <c r="D170" s="14" t="s">
        <v>38</v>
      </c>
      <c r="E170" s="15" t="n">
        <v>53700</v>
      </c>
      <c r="F170" s="16" t="n">
        <v>0.000855553766734779</v>
      </c>
      <c r="G170" s="14" t="s">
        <v>591</v>
      </c>
      <c r="H170" s="14" t="s">
        <v>123</v>
      </c>
      <c r="I170" s="14" t="s">
        <v>124</v>
      </c>
      <c r="J170" s="14" t="s">
        <v>545</v>
      </c>
    </row>
    <row r="171" customFormat="false" ht="15" hidden="false" customHeight="false" outlineLevel="0" collapsed="false">
      <c r="A171" s="14" t="s">
        <v>537</v>
      </c>
      <c r="B171" s="14" t="s">
        <v>538</v>
      </c>
      <c r="C171" s="14" t="n">
        <v>2011</v>
      </c>
      <c r="D171" s="14" t="s">
        <v>38</v>
      </c>
      <c r="E171" s="15" t="n">
        <v>54150</v>
      </c>
      <c r="F171" s="16" t="n">
        <v>0.000856007250215425</v>
      </c>
      <c r="G171" s="14" t="s">
        <v>591</v>
      </c>
      <c r="H171" s="14" t="s">
        <v>123</v>
      </c>
      <c r="I171" s="14" t="s">
        <v>124</v>
      </c>
      <c r="J171" s="14" t="s">
        <v>545</v>
      </c>
    </row>
    <row r="172" customFormat="false" ht="15" hidden="false" customHeight="false" outlineLevel="0" collapsed="false">
      <c r="A172" s="14" t="s">
        <v>537</v>
      </c>
      <c r="B172" s="14" t="s">
        <v>538</v>
      </c>
      <c r="C172" s="14" t="n">
        <v>2012</v>
      </c>
      <c r="D172" s="14" t="s">
        <v>38</v>
      </c>
      <c r="E172" s="15" t="n">
        <v>49365</v>
      </c>
      <c r="F172" s="16" t="n">
        <v>0.000774826952959458</v>
      </c>
      <c r="G172" s="14" t="s">
        <v>591</v>
      </c>
      <c r="H172" s="14" t="s">
        <v>123</v>
      </c>
      <c r="I172" s="14" t="s">
        <v>124</v>
      </c>
      <c r="J172" s="14" t="s">
        <v>545</v>
      </c>
    </row>
    <row r="173" customFormat="false" ht="15" hidden="false" customHeight="false" outlineLevel="0" collapsed="false">
      <c r="A173" s="14" t="s">
        <v>537</v>
      </c>
      <c r="B173" s="14" t="s">
        <v>538</v>
      </c>
      <c r="C173" s="14" t="n">
        <v>2013</v>
      </c>
      <c r="D173" s="14" t="s">
        <v>38</v>
      </c>
      <c r="E173" s="15" t="n">
        <v>57415</v>
      </c>
      <c r="F173" s="16" t="n">
        <v>0.000895179144968661</v>
      </c>
      <c r="G173" s="14" t="s">
        <v>591</v>
      </c>
      <c r="H173" s="14" t="s">
        <v>123</v>
      </c>
      <c r="I173" s="14" t="s">
        <v>124</v>
      </c>
      <c r="J173" s="14" t="s">
        <v>545</v>
      </c>
    </row>
    <row r="174" customFormat="false" ht="15" hidden="false" customHeight="false" outlineLevel="0" collapsed="false">
      <c r="A174" s="14" t="s">
        <v>537</v>
      </c>
      <c r="B174" s="14" t="s">
        <v>538</v>
      </c>
      <c r="C174" s="14" t="n">
        <v>2014</v>
      </c>
      <c r="D174" s="14" t="s">
        <v>38</v>
      </c>
      <c r="E174" s="15" t="n">
        <v>65365</v>
      </c>
      <c r="F174" s="16" t="n">
        <v>0.00101154459214782</v>
      </c>
      <c r="G174" s="14" t="s">
        <v>591</v>
      </c>
      <c r="H174" s="14" t="s">
        <v>123</v>
      </c>
      <c r="I174" s="14" t="s">
        <v>124</v>
      </c>
      <c r="J174" s="14" t="s">
        <v>545</v>
      </c>
    </row>
    <row r="175" customFormat="false" ht="15" hidden="false" customHeight="false" outlineLevel="0" collapsed="false">
      <c r="A175" s="14" t="s">
        <v>537</v>
      </c>
      <c r="B175" s="14" t="s">
        <v>538</v>
      </c>
      <c r="C175" s="14" t="n">
        <v>2015</v>
      </c>
      <c r="D175" s="14" t="s">
        <v>38</v>
      </c>
      <c r="E175" s="15" t="n">
        <v>70020</v>
      </c>
      <c r="F175" s="16" t="n">
        <v>0.00107579086453516</v>
      </c>
      <c r="G175" s="14" t="s">
        <v>591</v>
      </c>
      <c r="H175" s="14" t="s">
        <v>123</v>
      </c>
      <c r="I175" s="14" t="s">
        <v>124</v>
      </c>
      <c r="J175" s="14" t="s">
        <v>545</v>
      </c>
    </row>
    <row r="176" customFormat="false" ht="15" hidden="false" customHeight="false" outlineLevel="0" collapsed="false">
      <c r="A176" s="14" t="s">
        <v>537</v>
      </c>
      <c r="B176" s="14" t="s">
        <v>538</v>
      </c>
      <c r="C176" s="14" t="n">
        <v>2016</v>
      </c>
      <c r="D176" s="14" t="s">
        <v>38</v>
      </c>
      <c r="E176" s="15" t="n">
        <v>59895</v>
      </c>
      <c r="F176" s="16" t="n">
        <v>0.000912950035057769</v>
      </c>
      <c r="G176" s="14" t="s">
        <v>591</v>
      </c>
      <c r="H176" s="14" t="s">
        <v>123</v>
      </c>
      <c r="I176" s="14" t="s">
        <v>124</v>
      </c>
      <c r="J176" s="14" t="s">
        <v>545</v>
      </c>
    </row>
    <row r="177" customFormat="false" ht="15" hidden="false" customHeight="false" outlineLevel="0" collapsed="false">
      <c r="A177" s="14" t="s">
        <v>537</v>
      </c>
      <c r="B177" s="14" t="s">
        <v>538</v>
      </c>
      <c r="C177" s="14" t="n">
        <v>2017</v>
      </c>
      <c r="D177" s="14" t="s">
        <v>38</v>
      </c>
      <c r="E177" s="15" t="n">
        <v>54910</v>
      </c>
      <c r="F177" s="16" t="n">
        <v>0.000832423746285853</v>
      </c>
      <c r="G177" s="14" t="s">
        <v>591</v>
      </c>
      <c r="H177" s="14" t="s">
        <v>123</v>
      </c>
      <c r="I177" s="14" t="s">
        <v>124</v>
      </c>
      <c r="J177" s="14" t="s">
        <v>545</v>
      </c>
    </row>
    <row r="178" customFormat="false" ht="15" hidden="false" customHeight="false" outlineLevel="0" collapsed="false">
      <c r="A178" s="14" t="s">
        <v>537</v>
      </c>
      <c r="B178" s="14" t="s">
        <v>538</v>
      </c>
      <c r="C178" s="14" t="n">
        <v>2018</v>
      </c>
      <c r="D178" s="14" t="s">
        <v>38</v>
      </c>
      <c r="E178" s="15" t="n">
        <v>27830</v>
      </c>
      <c r="F178" s="16" t="n">
        <v>0.00041984099446347</v>
      </c>
      <c r="G178" s="14" t="s">
        <v>591</v>
      </c>
      <c r="H178" s="14" t="s">
        <v>123</v>
      </c>
      <c r="I178" s="14" t="s">
        <v>124</v>
      </c>
      <c r="J178" s="14" t="s">
        <v>545</v>
      </c>
    </row>
    <row r="179" customFormat="false" ht="15" hidden="false" customHeight="false" outlineLevel="0" collapsed="false">
      <c r="A179" s="14" t="s">
        <v>537</v>
      </c>
      <c r="B179" s="14" t="s">
        <v>538</v>
      </c>
      <c r="C179" s="14" t="n">
        <v>2019</v>
      </c>
      <c r="D179" s="14" t="s">
        <v>38</v>
      </c>
      <c r="E179" s="15" t="n">
        <v>22275</v>
      </c>
      <c r="F179" s="16" t="n">
        <v>0.00033431890496488</v>
      </c>
      <c r="G179" s="14" t="s">
        <v>591</v>
      </c>
      <c r="H179" s="14" t="s">
        <v>123</v>
      </c>
      <c r="I179" s="14" t="s">
        <v>124</v>
      </c>
      <c r="J179" s="14" t="s">
        <v>545</v>
      </c>
    </row>
    <row r="180" customFormat="false" ht="15" hidden="false" customHeight="false" outlineLevel="0" collapsed="false">
      <c r="A180" s="14" t="s">
        <v>537</v>
      </c>
      <c r="B180" s="14" t="s">
        <v>538</v>
      </c>
      <c r="C180" s="14" t="n">
        <v>2017</v>
      </c>
      <c r="D180" s="14" t="s">
        <v>30</v>
      </c>
      <c r="E180" s="15" t="n">
        <v>800000</v>
      </c>
      <c r="F180" s="16" t="n">
        <v>0.0121278272997393</v>
      </c>
      <c r="G180" s="14" t="s">
        <v>591</v>
      </c>
      <c r="H180" s="14" t="s">
        <v>546</v>
      </c>
      <c r="I180" s="14" t="s">
        <v>547</v>
      </c>
      <c r="J180" s="14" t="s">
        <v>548</v>
      </c>
    </row>
    <row r="181" customFormat="false" ht="15" hidden="false" customHeight="false" outlineLevel="0" collapsed="false">
      <c r="A181" s="14" t="s">
        <v>178</v>
      </c>
      <c r="B181" s="14" t="s">
        <v>179</v>
      </c>
      <c r="C181" s="14" t="n">
        <v>2013</v>
      </c>
      <c r="D181" s="14" t="s">
        <v>38</v>
      </c>
      <c r="E181" s="15" t="n">
        <v>4150</v>
      </c>
      <c r="F181" s="16" t="n">
        <v>0.00098017866177034</v>
      </c>
      <c r="G181" s="14" t="s">
        <v>591</v>
      </c>
      <c r="H181" s="14" t="s">
        <v>123</v>
      </c>
      <c r="I181" s="14" t="s">
        <v>124</v>
      </c>
      <c r="J181" s="14" t="s">
        <v>192</v>
      </c>
    </row>
    <row r="182" customFormat="false" ht="15" hidden="false" customHeight="false" outlineLevel="0" collapsed="false">
      <c r="A182" s="14" t="s">
        <v>178</v>
      </c>
      <c r="B182" s="14" t="s">
        <v>179</v>
      </c>
      <c r="C182" s="14" t="n">
        <v>2014</v>
      </c>
      <c r="D182" s="14" t="s">
        <v>38</v>
      </c>
      <c r="E182" s="15" t="n">
        <v>2500</v>
      </c>
      <c r="F182" s="16" t="n">
        <v>0.000595011707450356</v>
      </c>
      <c r="G182" s="14" t="s">
        <v>591</v>
      </c>
      <c r="H182" s="14" t="s">
        <v>123</v>
      </c>
      <c r="I182" s="14" t="s">
        <v>124</v>
      </c>
      <c r="J182" s="14" t="s">
        <v>192</v>
      </c>
    </row>
    <row r="183" customFormat="false" ht="15" hidden="false" customHeight="false" outlineLevel="0" collapsed="false">
      <c r="A183" s="14" t="s">
        <v>178</v>
      </c>
      <c r="B183" s="14" t="s">
        <v>179</v>
      </c>
      <c r="C183" s="14" t="n">
        <v>2015</v>
      </c>
      <c r="D183" s="14" t="s">
        <v>38</v>
      </c>
      <c r="E183" s="15" t="n">
        <v>3295</v>
      </c>
      <c r="F183" s="16" t="n">
        <v>0.000793646014608386</v>
      </c>
      <c r="G183" s="14" t="s">
        <v>591</v>
      </c>
      <c r="H183" s="14" t="s">
        <v>123</v>
      </c>
      <c r="I183" s="14" t="s">
        <v>124</v>
      </c>
      <c r="J183" s="14" t="s">
        <v>192</v>
      </c>
    </row>
    <row r="184" customFormat="false" ht="15" hidden="false" customHeight="false" outlineLevel="0" collapsed="false">
      <c r="A184" s="14" t="s">
        <v>178</v>
      </c>
      <c r="B184" s="14" t="s">
        <v>179</v>
      </c>
      <c r="C184" s="14" t="n">
        <v>2016</v>
      </c>
      <c r="D184" s="14" t="s">
        <v>38</v>
      </c>
      <c r="E184" s="15" t="n">
        <v>3320</v>
      </c>
      <c r="F184" s="16" t="n">
        <v>0.00080840212259126</v>
      </c>
      <c r="G184" s="14" t="s">
        <v>591</v>
      </c>
      <c r="H184" s="14" t="s">
        <v>123</v>
      </c>
      <c r="I184" s="14" t="s">
        <v>124</v>
      </c>
      <c r="J184" s="14" t="s">
        <v>192</v>
      </c>
    </row>
    <row r="185" customFormat="false" ht="15" hidden="false" customHeight="false" outlineLevel="0" collapsed="false">
      <c r="A185" s="14" t="s">
        <v>178</v>
      </c>
      <c r="B185" s="14" t="s">
        <v>179</v>
      </c>
      <c r="C185" s="14" t="n">
        <v>2017</v>
      </c>
      <c r="D185" s="14" t="s">
        <v>38</v>
      </c>
      <c r="E185" s="15" t="n">
        <v>3495</v>
      </c>
      <c r="F185" s="16" t="n">
        <v>0.000864797829072895</v>
      </c>
      <c r="G185" s="14" t="s">
        <v>591</v>
      </c>
      <c r="H185" s="14" t="s">
        <v>123</v>
      </c>
      <c r="I185" s="14" t="s">
        <v>124</v>
      </c>
      <c r="J185" s="14" t="s">
        <v>192</v>
      </c>
    </row>
    <row r="186" customFormat="false" ht="15" hidden="false" customHeight="false" outlineLevel="0" collapsed="false">
      <c r="A186" s="14" t="s">
        <v>178</v>
      </c>
      <c r="B186" s="14" t="s">
        <v>179</v>
      </c>
      <c r="C186" s="14" t="n">
        <v>2018</v>
      </c>
      <c r="D186" s="14" t="s">
        <v>38</v>
      </c>
      <c r="E186" s="15" t="n">
        <v>5580</v>
      </c>
      <c r="F186" s="16" t="n">
        <v>0.00139892573534481</v>
      </c>
      <c r="G186" s="14" t="s">
        <v>591</v>
      </c>
      <c r="H186" s="14" t="s">
        <v>123</v>
      </c>
      <c r="I186" s="14" t="s">
        <v>124</v>
      </c>
      <c r="J186" s="14" t="s">
        <v>192</v>
      </c>
    </row>
    <row r="187" customFormat="false" ht="15" hidden="false" customHeight="false" outlineLevel="0" collapsed="false">
      <c r="A187" s="14" t="s">
        <v>178</v>
      </c>
      <c r="B187" s="14" t="s">
        <v>179</v>
      </c>
      <c r="C187" s="14" t="n">
        <v>2019</v>
      </c>
      <c r="D187" s="14" t="s">
        <v>38</v>
      </c>
      <c r="E187" s="15" t="n">
        <v>13630</v>
      </c>
      <c r="F187" s="16" t="n">
        <v>0.00345116587624924</v>
      </c>
      <c r="G187" s="14" t="s">
        <v>591</v>
      </c>
      <c r="H187" s="14" t="s">
        <v>123</v>
      </c>
      <c r="I187" s="14" t="s">
        <v>124</v>
      </c>
      <c r="J187" s="14" t="s">
        <v>192</v>
      </c>
    </row>
    <row r="188" customFormat="false" ht="15" hidden="false" customHeight="false" outlineLevel="0" collapsed="false">
      <c r="A188" s="14" t="s">
        <v>178</v>
      </c>
      <c r="B188" s="14" t="s">
        <v>179</v>
      </c>
      <c r="C188" s="14" t="n">
        <v>2020</v>
      </c>
      <c r="D188" s="14" t="s">
        <v>38</v>
      </c>
      <c r="E188" s="15" t="n">
        <v>22240</v>
      </c>
      <c r="F188" s="16" t="n">
        <v>0.00568186753584252</v>
      </c>
      <c r="G188" s="14" t="s">
        <v>591</v>
      </c>
      <c r="H188" s="14" t="s">
        <v>123</v>
      </c>
      <c r="I188" s="14" t="s">
        <v>124</v>
      </c>
      <c r="J188" s="14" t="s">
        <v>192</v>
      </c>
    </row>
    <row r="189" customFormat="false" ht="15" hidden="false" customHeight="false" outlineLevel="0" collapsed="false">
      <c r="A189" s="14" t="s">
        <v>178</v>
      </c>
      <c r="B189" s="14" t="s">
        <v>179</v>
      </c>
      <c r="C189" s="14" t="n">
        <v>2021</v>
      </c>
      <c r="D189" s="14" t="s">
        <v>38</v>
      </c>
      <c r="E189" s="15" t="n">
        <v>13540</v>
      </c>
      <c r="F189" s="16" t="n">
        <v>0.00349060745592721</v>
      </c>
      <c r="G189" s="14" t="s">
        <v>591</v>
      </c>
      <c r="H189" s="14" t="s">
        <v>123</v>
      </c>
      <c r="I189" s="14" t="s">
        <v>124</v>
      </c>
      <c r="J189" s="14" t="s">
        <v>192</v>
      </c>
    </row>
    <row r="190" customFormat="false" ht="15" hidden="false" customHeight="false" outlineLevel="0" collapsed="false">
      <c r="A190" s="14" t="s">
        <v>178</v>
      </c>
      <c r="B190" s="14" t="s">
        <v>179</v>
      </c>
      <c r="C190" s="14" t="n">
        <v>2022</v>
      </c>
      <c r="D190" s="14" t="s">
        <v>38</v>
      </c>
      <c r="E190" s="15" t="n">
        <v>43830</v>
      </c>
      <c r="F190" s="16" t="n">
        <v>0.0113677596020999</v>
      </c>
      <c r="G190" s="14" t="s">
        <v>591</v>
      </c>
      <c r="H190" s="14" t="s">
        <v>123</v>
      </c>
      <c r="I190" s="14" t="s">
        <v>124</v>
      </c>
      <c r="J190" s="14" t="s">
        <v>192</v>
      </c>
    </row>
    <row r="191" customFormat="false" ht="15" hidden="false" customHeight="false" outlineLevel="0" collapsed="false">
      <c r="A191" s="14" t="s">
        <v>231</v>
      </c>
      <c r="B191" s="14" t="s">
        <v>232</v>
      </c>
      <c r="C191" s="14" t="n">
        <v>2010</v>
      </c>
      <c r="D191" s="14" t="s">
        <v>38</v>
      </c>
      <c r="E191" s="15" t="n">
        <v>6970</v>
      </c>
      <c r="F191" s="16" t="n">
        <v>0.000696998396903687</v>
      </c>
      <c r="G191" s="14" t="s">
        <v>591</v>
      </c>
      <c r="H191" s="14" t="s">
        <v>123</v>
      </c>
      <c r="I191" s="14" t="s">
        <v>124</v>
      </c>
      <c r="J191" s="14" t="s">
        <v>125</v>
      </c>
    </row>
    <row r="192" customFormat="false" ht="15" hidden="false" customHeight="false" outlineLevel="0" collapsed="false">
      <c r="A192" s="14" t="s">
        <v>231</v>
      </c>
      <c r="B192" s="14" t="s">
        <v>232</v>
      </c>
      <c r="C192" s="14" t="n">
        <v>2011</v>
      </c>
      <c r="D192" s="14" t="s">
        <v>38</v>
      </c>
      <c r="E192" s="15" t="n">
        <v>9655</v>
      </c>
      <c r="F192" s="16" t="n">
        <v>0.00096823749787775</v>
      </c>
      <c r="G192" s="14" t="s">
        <v>591</v>
      </c>
      <c r="H192" s="14" t="s">
        <v>123</v>
      </c>
      <c r="I192" s="14" t="s">
        <v>124</v>
      </c>
      <c r="J192" s="14" t="s">
        <v>125</v>
      </c>
    </row>
    <row r="193" customFormat="false" ht="15" hidden="false" customHeight="false" outlineLevel="0" collapsed="false">
      <c r="A193" s="14" t="s">
        <v>231</v>
      </c>
      <c r="B193" s="14" t="s">
        <v>232</v>
      </c>
      <c r="C193" s="14" t="n">
        <v>2012</v>
      </c>
      <c r="D193" s="14" t="s">
        <v>38</v>
      </c>
      <c r="E193" s="15" t="n">
        <v>12175</v>
      </c>
      <c r="F193" s="16" t="n">
        <v>0.00122727376279212</v>
      </c>
      <c r="G193" s="14" t="s">
        <v>591</v>
      </c>
      <c r="H193" s="14" t="s">
        <v>123</v>
      </c>
      <c r="I193" s="14" t="s">
        <v>124</v>
      </c>
      <c r="J193" s="14" t="s">
        <v>125</v>
      </c>
    </row>
    <row r="194" customFormat="false" ht="15" hidden="false" customHeight="false" outlineLevel="0" collapsed="false">
      <c r="A194" s="14" t="s">
        <v>231</v>
      </c>
      <c r="B194" s="14" t="s">
        <v>232</v>
      </c>
      <c r="C194" s="14" t="n">
        <v>2013</v>
      </c>
      <c r="D194" s="14" t="s">
        <v>38</v>
      </c>
      <c r="E194" s="15" t="n">
        <v>28755</v>
      </c>
      <c r="F194" s="16" t="n">
        <v>0.00291256707615135</v>
      </c>
      <c r="G194" s="14" t="s">
        <v>591</v>
      </c>
      <c r="H194" s="14" t="s">
        <v>123</v>
      </c>
      <c r="I194" s="14" t="s">
        <v>124</v>
      </c>
      <c r="J194" s="14" t="s">
        <v>125</v>
      </c>
    </row>
    <row r="195" customFormat="false" ht="15" hidden="false" customHeight="false" outlineLevel="0" collapsed="false">
      <c r="A195" s="14" t="s">
        <v>231</v>
      </c>
      <c r="B195" s="14" t="s">
        <v>232</v>
      </c>
      <c r="C195" s="14" t="n">
        <v>2014</v>
      </c>
      <c r="D195" s="14" t="s">
        <v>38</v>
      </c>
      <c r="E195" s="15" t="n">
        <v>56170</v>
      </c>
      <c r="F195" s="16" t="n">
        <v>0.00571237495471898</v>
      </c>
      <c r="G195" s="14" t="s">
        <v>591</v>
      </c>
      <c r="H195" s="14" t="s">
        <v>123</v>
      </c>
      <c r="I195" s="14" t="s">
        <v>124</v>
      </c>
      <c r="J195" s="14" t="s">
        <v>125</v>
      </c>
    </row>
    <row r="196" customFormat="false" ht="15" hidden="false" customHeight="false" outlineLevel="0" collapsed="false">
      <c r="A196" s="14" t="s">
        <v>231</v>
      </c>
      <c r="B196" s="14" t="s">
        <v>232</v>
      </c>
      <c r="C196" s="14" t="n">
        <v>2015</v>
      </c>
      <c r="D196" s="14" t="s">
        <v>38</v>
      </c>
      <c r="E196" s="15" t="n">
        <v>424055</v>
      </c>
      <c r="F196" s="16" t="n">
        <v>0.0432808332112816</v>
      </c>
      <c r="G196" s="14" t="s">
        <v>591</v>
      </c>
      <c r="H196" s="14" t="s">
        <v>123</v>
      </c>
      <c r="I196" s="14" t="s">
        <v>124</v>
      </c>
      <c r="J196" s="14" t="s">
        <v>125</v>
      </c>
    </row>
    <row r="197" customFormat="false" ht="15" hidden="false" customHeight="false" outlineLevel="0" collapsed="false">
      <c r="A197" s="14" t="s">
        <v>231</v>
      </c>
      <c r="B197" s="14" t="s">
        <v>232</v>
      </c>
      <c r="C197" s="14" t="n">
        <v>2016</v>
      </c>
      <c r="D197" s="14" t="s">
        <v>38</v>
      </c>
      <c r="E197" s="15" t="n">
        <v>41560</v>
      </c>
      <c r="F197" s="16" t="n">
        <v>0.00425830361520346</v>
      </c>
      <c r="G197" s="14" t="s">
        <v>591</v>
      </c>
      <c r="H197" s="14" t="s">
        <v>123</v>
      </c>
      <c r="I197" s="14" t="s">
        <v>124</v>
      </c>
      <c r="J197" s="14" t="s">
        <v>125</v>
      </c>
    </row>
    <row r="198" customFormat="false" ht="15" hidden="false" customHeight="false" outlineLevel="0" collapsed="false">
      <c r="A198" s="14" t="s">
        <v>231</v>
      </c>
      <c r="B198" s="14" t="s">
        <v>232</v>
      </c>
      <c r="C198" s="14" t="n">
        <v>2017</v>
      </c>
      <c r="D198" s="14" t="s">
        <v>38</v>
      </c>
      <c r="E198" s="15" t="n">
        <v>25730</v>
      </c>
      <c r="F198" s="16" t="n">
        <v>0.00264528070818267</v>
      </c>
      <c r="G198" s="14" t="s">
        <v>591</v>
      </c>
      <c r="H198" s="14" t="s">
        <v>123</v>
      </c>
      <c r="I198" s="14" t="s">
        <v>124</v>
      </c>
      <c r="J198" s="14" t="s">
        <v>125</v>
      </c>
    </row>
    <row r="199" customFormat="false" ht="15" hidden="false" customHeight="false" outlineLevel="0" collapsed="false">
      <c r="A199" s="14" t="s">
        <v>231</v>
      </c>
      <c r="B199" s="14" t="s">
        <v>232</v>
      </c>
      <c r="C199" s="14" t="n">
        <v>2018</v>
      </c>
      <c r="D199" s="14" t="s">
        <v>38</v>
      </c>
      <c r="E199" s="15" t="n">
        <v>18915</v>
      </c>
      <c r="F199" s="16" t="n">
        <v>0.00194860102499608</v>
      </c>
      <c r="G199" s="14" t="s">
        <v>591</v>
      </c>
      <c r="H199" s="14" t="s">
        <v>123</v>
      </c>
      <c r="I199" s="14" t="s">
        <v>124</v>
      </c>
      <c r="J199" s="14" t="s">
        <v>125</v>
      </c>
    </row>
    <row r="200" customFormat="false" ht="15" hidden="false" customHeight="false" outlineLevel="0" collapsed="false">
      <c r="A200" s="14" t="s">
        <v>231</v>
      </c>
      <c r="B200" s="14" t="s">
        <v>232</v>
      </c>
      <c r="C200" s="14" t="n">
        <v>2019</v>
      </c>
      <c r="D200" s="14" t="s">
        <v>38</v>
      </c>
      <c r="E200" s="15" t="n">
        <v>36440</v>
      </c>
      <c r="F200" s="16" t="n">
        <v>0.00375870670782677</v>
      </c>
      <c r="G200" s="14" t="s">
        <v>591</v>
      </c>
      <c r="H200" s="14" t="s">
        <v>123</v>
      </c>
      <c r="I200" s="14" t="s">
        <v>124</v>
      </c>
      <c r="J200" s="14" t="s">
        <v>125</v>
      </c>
    </row>
    <row r="201" customFormat="false" ht="15" hidden="false" customHeight="false" outlineLevel="0" collapsed="false">
      <c r="A201" s="14" t="s">
        <v>231</v>
      </c>
      <c r="B201" s="14" t="s">
        <v>232</v>
      </c>
      <c r="C201" s="14" t="n">
        <v>2020</v>
      </c>
      <c r="D201" s="14" t="s">
        <v>38</v>
      </c>
      <c r="E201" s="15" t="n">
        <v>89370</v>
      </c>
      <c r="F201" s="16" t="n">
        <v>0.00924158508540323</v>
      </c>
      <c r="G201" s="14" t="s">
        <v>591</v>
      </c>
      <c r="H201" s="14" t="s">
        <v>123</v>
      </c>
      <c r="I201" s="14" t="s">
        <v>124</v>
      </c>
      <c r="J201" s="14" t="s">
        <v>125</v>
      </c>
    </row>
    <row r="202" customFormat="false" ht="15" hidden="false" customHeight="false" outlineLevel="0" collapsed="false">
      <c r="A202" s="14" t="s">
        <v>231</v>
      </c>
      <c r="B202" s="14" t="s">
        <v>232</v>
      </c>
      <c r="C202" s="14" t="n">
        <v>2021</v>
      </c>
      <c r="D202" s="14" t="s">
        <v>38</v>
      </c>
      <c r="E202" s="15" t="n">
        <v>134140</v>
      </c>
      <c r="F202" s="16" t="n">
        <v>0.0139280393631686</v>
      </c>
      <c r="G202" s="14" t="s">
        <v>591</v>
      </c>
      <c r="H202" s="14" t="s">
        <v>123</v>
      </c>
      <c r="I202" s="14" t="s">
        <v>124</v>
      </c>
      <c r="J202" s="14" t="s">
        <v>125</v>
      </c>
    </row>
    <row r="203" customFormat="false" ht="15" hidden="false" customHeight="false" outlineLevel="0" collapsed="false">
      <c r="A203" s="14" t="s">
        <v>231</v>
      </c>
      <c r="B203" s="14" t="s">
        <v>232</v>
      </c>
      <c r="C203" s="14" t="n">
        <v>2022</v>
      </c>
      <c r="D203" s="14" t="s">
        <v>38</v>
      </c>
      <c r="E203" s="15" t="n">
        <v>222515</v>
      </c>
      <c r="F203" s="16" t="n">
        <v>0.0231664014249135</v>
      </c>
      <c r="G203" s="14" t="s">
        <v>591</v>
      </c>
      <c r="H203" s="14" t="s">
        <v>123</v>
      </c>
      <c r="I203" s="14" t="s">
        <v>124</v>
      </c>
      <c r="J203" s="14" t="s">
        <v>125</v>
      </c>
    </row>
    <row r="204" customFormat="false" ht="15" hidden="false" customHeight="false" outlineLevel="0" collapsed="false">
      <c r="A204" s="14" t="s">
        <v>237</v>
      </c>
      <c r="B204" s="14" t="s">
        <v>238</v>
      </c>
      <c r="C204" s="14" t="n">
        <v>2016</v>
      </c>
      <c r="D204" s="14" t="s">
        <v>38</v>
      </c>
      <c r="E204" s="15" t="n">
        <v>30</v>
      </c>
      <c r="F204" s="16" t="n">
        <v>8.94350388595244E-005</v>
      </c>
      <c r="G204" s="14" t="s">
        <v>591</v>
      </c>
      <c r="H204" s="14" t="s">
        <v>123</v>
      </c>
      <c r="I204" s="14" t="s">
        <v>124</v>
      </c>
      <c r="J204" s="14" t="s">
        <v>243</v>
      </c>
    </row>
    <row r="205" customFormat="false" ht="15" hidden="false" customHeight="false" outlineLevel="0" collapsed="false">
      <c r="A205" s="14" t="s">
        <v>237</v>
      </c>
      <c r="B205" s="14" t="s">
        <v>238</v>
      </c>
      <c r="C205" s="14" t="n">
        <v>2017</v>
      </c>
      <c r="D205" s="14" t="s">
        <v>38</v>
      </c>
      <c r="E205" s="15" t="n">
        <v>15</v>
      </c>
      <c r="F205" s="16" t="n">
        <v>4.36808386721025E-005</v>
      </c>
      <c r="G205" s="14" t="s">
        <v>591</v>
      </c>
      <c r="H205" s="14" t="s">
        <v>123</v>
      </c>
      <c r="I205" s="14" t="s">
        <v>124</v>
      </c>
      <c r="J205" s="14" t="s">
        <v>243</v>
      </c>
    </row>
    <row r="206" customFormat="false" ht="15" hidden="false" customHeight="false" outlineLevel="0" collapsed="false">
      <c r="A206" s="14" t="s">
        <v>237</v>
      </c>
      <c r="B206" s="14" t="s">
        <v>238</v>
      </c>
      <c r="C206" s="14" t="n">
        <v>2019</v>
      </c>
      <c r="D206" s="14" t="s">
        <v>38</v>
      </c>
      <c r="E206" s="15" t="n">
        <v>110</v>
      </c>
      <c r="F206" s="16" t="n">
        <v>0.000305078446762424</v>
      </c>
      <c r="G206" s="14" t="s">
        <v>591</v>
      </c>
      <c r="H206" s="14" t="s">
        <v>123</v>
      </c>
      <c r="I206" s="14" t="s">
        <v>124</v>
      </c>
      <c r="J206" s="14" t="s">
        <v>243</v>
      </c>
    </row>
    <row r="207" customFormat="false" ht="15" hidden="false" customHeight="false" outlineLevel="0" collapsed="false">
      <c r="A207" s="14" t="s">
        <v>251</v>
      </c>
      <c r="B207" s="14" t="s">
        <v>252</v>
      </c>
      <c r="C207" s="14" t="n">
        <v>2020</v>
      </c>
      <c r="D207" s="14" t="s">
        <v>30</v>
      </c>
      <c r="E207" s="15" t="n">
        <v>30100</v>
      </c>
      <c r="F207" s="16" t="n">
        <v>0.00326637801000532</v>
      </c>
      <c r="G207" s="14" t="s">
        <v>591</v>
      </c>
      <c r="H207" s="14" t="s">
        <v>257</v>
      </c>
      <c r="I207" s="14" t="s">
        <v>258</v>
      </c>
      <c r="J207" s="14" t="s">
        <v>259</v>
      </c>
    </row>
    <row r="208" customFormat="false" ht="15" hidden="false" customHeight="false" outlineLevel="0" collapsed="false">
      <c r="A208" s="14" t="s">
        <v>251</v>
      </c>
      <c r="B208" s="14" t="s">
        <v>252</v>
      </c>
      <c r="C208" s="14" t="n">
        <v>2022</v>
      </c>
      <c r="D208" s="14" t="s">
        <v>30</v>
      </c>
      <c r="E208" s="15" t="n">
        <v>26798</v>
      </c>
      <c r="F208" s="16" t="n">
        <v>0.00280387130525765</v>
      </c>
      <c r="G208" s="14" t="s">
        <v>591</v>
      </c>
      <c r="H208" s="14" t="s">
        <v>257</v>
      </c>
      <c r="I208" s="14" t="s">
        <v>258</v>
      </c>
      <c r="J208" s="14" t="s">
        <v>260</v>
      </c>
    </row>
    <row r="209" customFormat="false" ht="15" hidden="false" customHeight="false" outlineLevel="0" collapsed="false">
      <c r="A209" s="11" t="s">
        <v>251</v>
      </c>
      <c r="B209" s="11" t="s">
        <v>252</v>
      </c>
      <c r="C209" s="11" t="n">
        <v>2022</v>
      </c>
      <c r="D209" s="11" t="s">
        <v>30</v>
      </c>
      <c r="E209" s="17" t="n">
        <v>22571</v>
      </c>
      <c r="F209" s="18" t="n">
        <v>0.00236160083703898</v>
      </c>
      <c r="G209" s="11" t="s">
        <v>592</v>
      </c>
      <c r="H209" s="11" t="s">
        <v>257</v>
      </c>
      <c r="I209" s="11" t="s">
        <v>258</v>
      </c>
      <c r="J209" s="11" t="s">
        <v>612</v>
      </c>
    </row>
    <row r="210" customFormat="false" ht="15" hidden="false" customHeight="false" outlineLevel="0" collapsed="false">
      <c r="A210" s="14" t="s">
        <v>261</v>
      </c>
      <c r="B210" s="14" t="s">
        <v>262</v>
      </c>
      <c r="C210" s="14" t="n">
        <v>2010</v>
      </c>
      <c r="D210" s="14" t="s">
        <v>38</v>
      </c>
      <c r="E210" s="15" t="n">
        <v>46955</v>
      </c>
      <c r="F210" s="16" t="n">
        <v>0.000784945929002606</v>
      </c>
      <c r="G210" s="14" t="s">
        <v>591</v>
      </c>
      <c r="H210" s="14" t="s">
        <v>123</v>
      </c>
      <c r="I210" s="14" t="s">
        <v>124</v>
      </c>
      <c r="J210" s="14" t="s">
        <v>125</v>
      </c>
    </row>
    <row r="211" customFormat="false" ht="15" hidden="false" customHeight="false" outlineLevel="0" collapsed="false">
      <c r="A211" s="14" t="s">
        <v>261</v>
      </c>
      <c r="B211" s="14" t="s">
        <v>262</v>
      </c>
      <c r="C211" s="14" t="n">
        <v>2011</v>
      </c>
      <c r="D211" s="14" t="s">
        <v>38</v>
      </c>
      <c r="E211" s="15" t="n">
        <v>29505</v>
      </c>
      <c r="F211" s="16" t="n">
        <v>0.000491530114003501</v>
      </c>
      <c r="G211" s="14" t="s">
        <v>591</v>
      </c>
      <c r="H211" s="14" t="s">
        <v>123</v>
      </c>
      <c r="I211" s="14" t="s">
        <v>124</v>
      </c>
      <c r="J211" s="14" t="s">
        <v>125</v>
      </c>
    </row>
    <row r="212" customFormat="false" ht="15" hidden="false" customHeight="false" outlineLevel="0" collapsed="false">
      <c r="A212" s="14" t="s">
        <v>261</v>
      </c>
      <c r="B212" s="14" t="s">
        <v>262</v>
      </c>
      <c r="C212" s="14" t="n">
        <v>2012</v>
      </c>
      <c r="D212" s="14" t="s">
        <v>38</v>
      </c>
      <c r="E212" s="15" t="n">
        <v>29345</v>
      </c>
      <c r="F212" s="16" t="n">
        <v>0.000487529357881554</v>
      </c>
      <c r="G212" s="14" t="s">
        <v>591</v>
      </c>
      <c r="H212" s="14" t="s">
        <v>123</v>
      </c>
      <c r="I212" s="14" t="s">
        <v>124</v>
      </c>
      <c r="J212" s="14" t="s">
        <v>125</v>
      </c>
    </row>
    <row r="213" customFormat="false" ht="15" hidden="false" customHeight="false" outlineLevel="0" collapsed="false">
      <c r="A213" s="14" t="s">
        <v>261</v>
      </c>
      <c r="B213" s="14" t="s">
        <v>262</v>
      </c>
      <c r="C213" s="14" t="n">
        <v>2013</v>
      </c>
      <c r="D213" s="14" t="s">
        <v>38</v>
      </c>
      <c r="E213" s="15" t="n">
        <v>23945</v>
      </c>
      <c r="F213" s="16" t="n">
        <v>0.000397021382930017</v>
      </c>
      <c r="G213" s="14" t="s">
        <v>591</v>
      </c>
      <c r="H213" s="14" t="s">
        <v>123</v>
      </c>
      <c r="I213" s="14" t="s">
        <v>124</v>
      </c>
      <c r="J213" s="14" t="s">
        <v>125</v>
      </c>
    </row>
    <row r="214" customFormat="false" ht="15" hidden="false" customHeight="false" outlineLevel="0" collapsed="false">
      <c r="A214" s="14" t="s">
        <v>261</v>
      </c>
      <c r="B214" s="14" t="s">
        <v>262</v>
      </c>
      <c r="C214" s="14" t="n">
        <v>2014</v>
      </c>
      <c r="D214" s="14" t="s">
        <v>38</v>
      </c>
      <c r="E214" s="15" t="n">
        <v>25300</v>
      </c>
      <c r="F214" s="16" t="n">
        <v>0.000419424792219362</v>
      </c>
      <c r="G214" s="14" t="s">
        <v>591</v>
      </c>
      <c r="H214" s="14" t="s">
        <v>123</v>
      </c>
      <c r="I214" s="14" t="s">
        <v>124</v>
      </c>
      <c r="J214" s="14" t="s">
        <v>125</v>
      </c>
    </row>
    <row r="215" customFormat="false" ht="15" hidden="false" customHeight="false" outlineLevel="0" collapsed="false">
      <c r="A215" s="14" t="s">
        <v>261</v>
      </c>
      <c r="B215" s="14" t="s">
        <v>262</v>
      </c>
      <c r="C215" s="14" t="n">
        <v>2015</v>
      </c>
      <c r="D215" s="14" t="s">
        <v>38</v>
      </c>
      <c r="E215" s="15" t="n">
        <v>27305</v>
      </c>
      <c r="F215" s="16" t="n">
        <v>0.000453348482029726</v>
      </c>
      <c r="G215" s="14" t="s">
        <v>591</v>
      </c>
      <c r="H215" s="14" t="s">
        <v>123</v>
      </c>
      <c r="I215" s="14" t="s">
        <v>124</v>
      </c>
      <c r="J215" s="14" t="s">
        <v>125</v>
      </c>
    </row>
    <row r="216" customFormat="false" ht="15" hidden="false" customHeight="false" outlineLevel="0" collapsed="false">
      <c r="A216" s="14" t="s">
        <v>261</v>
      </c>
      <c r="B216" s="14" t="s">
        <v>262</v>
      </c>
      <c r="C216" s="14" t="n">
        <v>2016</v>
      </c>
      <c r="D216" s="14" t="s">
        <v>38</v>
      </c>
      <c r="E216" s="15" t="n">
        <v>32365</v>
      </c>
      <c r="F216" s="16" t="n">
        <v>0.000538382765377083</v>
      </c>
      <c r="G216" s="14" t="s">
        <v>591</v>
      </c>
      <c r="H216" s="14" t="s">
        <v>123</v>
      </c>
      <c r="I216" s="14" t="s">
        <v>124</v>
      </c>
      <c r="J216" s="14" t="s">
        <v>125</v>
      </c>
    </row>
    <row r="217" customFormat="false" ht="15" hidden="false" customHeight="false" outlineLevel="0" collapsed="false">
      <c r="A217" s="14" t="s">
        <v>261</v>
      </c>
      <c r="B217" s="14" t="s">
        <v>262</v>
      </c>
      <c r="C217" s="14" t="n">
        <v>2017</v>
      </c>
      <c r="D217" s="14" t="s">
        <v>38</v>
      </c>
      <c r="E217" s="15" t="n">
        <v>36230</v>
      </c>
      <c r="F217" s="16" t="n">
        <v>0.000603810670306175</v>
      </c>
      <c r="G217" s="14" t="s">
        <v>591</v>
      </c>
      <c r="H217" s="14" t="s">
        <v>123</v>
      </c>
      <c r="I217" s="14" t="s">
        <v>124</v>
      </c>
      <c r="J217" s="14" t="s">
        <v>125</v>
      </c>
    </row>
    <row r="218" customFormat="false" ht="15" hidden="false" customHeight="false" outlineLevel="0" collapsed="false">
      <c r="A218" s="14" t="s">
        <v>261</v>
      </c>
      <c r="B218" s="14" t="s">
        <v>262</v>
      </c>
      <c r="C218" s="14" t="n">
        <v>2018</v>
      </c>
      <c r="D218" s="14" t="s">
        <v>38</v>
      </c>
      <c r="E218" s="15" t="n">
        <v>26780</v>
      </c>
      <c r="F218" s="16" t="n">
        <v>0.000447248545486104</v>
      </c>
      <c r="G218" s="14" t="s">
        <v>591</v>
      </c>
      <c r="H218" s="14" t="s">
        <v>123</v>
      </c>
      <c r="I218" s="14" t="s">
        <v>124</v>
      </c>
      <c r="J218" s="14" t="s">
        <v>125</v>
      </c>
    </row>
    <row r="219" customFormat="false" ht="15" hidden="false" customHeight="false" outlineLevel="0" collapsed="false">
      <c r="A219" s="14" t="s">
        <v>261</v>
      </c>
      <c r="B219" s="14" t="s">
        <v>262</v>
      </c>
      <c r="C219" s="14" t="n">
        <v>2019</v>
      </c>
      <c r="D219" s="14" t="s">
        <v>38</v>
      </c>
      <c r="E219" s="15" t="n">
        <v>26885</v>
      </c>
      <c r="F219" s="16" t="n">
        <v>0.000450115748474349</v>
      </c>
      <c r="G219" s="14" t="s">
        <v>591</v>
      </c>
      <c r="H219" s="14" t="s">
        <v>123</v>
      </c>
      <c r="I219" s="14" t="s">
        <v>124</v>
      </c>
      <c r="J219" s="14" t="s">
        <v>125</v>
      </c>
    </row>
    <row r="220" customFormat="false" ht="15" hidden="false" customHeight="false" outlineLevel="0" collapsed="false">
      <c r="A220" s="14" t="s">
        <v>261</v>
      </c>
      <c r="B220" s="14" t="s">
        <v>262</v>
      </c>
      <c r="C220" s="14" t="n">
        <v>2020</v>
      </c>
      <c r="D220" s="14" t="s">
        <v>38</v>
      </c>
      <c r="E220" s="15" t="n">
        <v>22785</v>
      </c>
      <c r="F220" s="16" t="n">
        <v>0.000383335135465522</v>
      </c>
      <c r="G220" s="14" t="s">
        <v>591</v>
      </c>
      <c r="H220" s="14" t="s">
        <v>123</v>
      </c>
      <c r="I220" s="14" t="s">
        <v>124</v>
      </c>
      <c r="J220" s="14" t="s">
        <v>125</v>
      </c>
    </row>
    <row r="221" customFormat="false" ht="15" hidden="false" customHeight="false" outlineLevel="0" collapsed="false">
      <c r="A221" s="14" t="s">
        <v>261</v>
      </c>
      <c r="B221" s="14" t="s">
        <v>262</v>
      </c>
      <c r="C221" s="14" t="n">
        <v>2021</v>
      </c>
      <c r="D221" s="14" t="s">
        <v>38</v>
      </c>
      <c r="E221" s="15" t="n">
        <v>92070</v>
      </c>
      <c r="F221" s="16" t="n">
        <v>0.00155699407505158</v>
      </c>
      <c r="G221" s="14" t="s">
        <v>591</v>
      </c>
      <c r="H221" s="14" t="s">
        <v>123</v>
      </c>
      <c r="I221" s="14" t="s">
        <v>124</v>
      </c>
      <c r="J221" s="14" t="s">
        <v>125</v>
      </c>
    </row>
    <row r="222" customFormat="false" ht="15" hidden="false" customHeight="false" outlineLevel="0" collapsed="false">
      <c r="A222" s="14" t="s">
        <v>261</v>
      </c>
      <c r="B222" s="14" t="s">
        <v>262</v>
      </c>
      <c r="C222" s="14" t="n">
        <v>2022</v>
      </c>
      <c r="D222" s="14" t="s">
        <v>38</v>
      </c>
      <c r="E222" s="15" t="n">
        <v>138420</v>
      </c>
      <c r="F222" s="16" t="n">
        <v>0.00234555836023544</v>
      </c>
      <c r="G222" s="14" t="s">
        <v>591</v>
      </c>
      <c r="H222" s="14" t="s">
        <v>123</v>
      </c>
      <c r="I222" s="14" t="s">
        <v>124</v>
      </c>
      <c r="J222" s="14" t="s">
        <v>125</v>
      </c>
    </row>
    <row r="223" customFormat="false" ht="15" hidden="false" customHeight="false" outlineLevel="0" collapsed="false">
      <c r="A223" s="14" t="s">
        <v>261</v>
      </c>
      <c r="B223" s="14" t="s">
        <v>262</v>
      </c>
      <c r="C223" s="14" t="n">
        <v>2014</v>
      </c>
      <c r="D223" s="14" t="s">
        <v>30</v>
      </c>
      <c r="E223" s="15" t="n">
        <v>400000</v>
      </c>
      <c r="F223" s="16" t="n">
        <v>0.00663122201137331</v>
      </c>
      <c r="G223" s="14" t="s">
        <v>591</v>
      </c>
      <c r="H223" s="14" t="s">
        <v>127</v>
      </c>
      <c r="I223" s="14" t="s">
        <v>128</v>
      </c>
      <c r="J223" s="14" t="s">
        <v>267</v>
      </c>
    </row>
    <row r="224" customFormat="false" ht="15" hidden="false" customHeight="false" outlineLevel="0" collapsed="false">
      <c r="A224" s="14" t="s">
        <v>261</v>
      </c>
      <c r="B224" s="14" t="s">
        <v>262</v>
      </c>
      <c r="C224" s="14" t="n">
        <v>2015</v>
      </c>
      <c r="D224" s="14" t="s">
        <v>30</v>
      </c>
      <c r="E224" s="15" t="n">
        <v>404000</v>
      </c>
      <c r="F224" s="16" t="n">
        <v>0.00670766477714739</v>
      </c>
      <c r="G224" s="14" t="s">
        <v>591</v>
      </c>
      <c r="H224" s="14" t="s">
        <v>268</v>
      </c>
      <c r="I224" s="14" t="s">
        <v>269</v>
      </c>
      <c r="J224" s="14" t="s">
        <v>270</v>
      </c>
    </row>
    <row r="225" customFormat="false" ht="15" hidden="false" customHeight="false" outlineLevel="0" collapsed="false">
      <c r="A225" s="11" t="s">
        <v>261</v>
      </c>
      <c r="B225" s="11" t="s">
        <v>262</v>
      </c>
      <c r="C225" s="11" t="n">
        <v>2015</v>
      </c>
      <c r="D225" s="11" t="s">
        <v>30</v>
      </c>
      <c r="E225" s="17" t="n">
        <v>450000</v>
      </c>
      <c r="F225" s="18" t="n">
        <v>0.00747140878642654</v>
      </c>
      <c r="G225" s="11" t="s">
        <v>592</v>
      </c>
      <c r="H225" s="11" t="s">
        <v>127</v>
      </c>
      <c r="I225" s="11" t="s">
        <v>128</v>
      </c>
      <c r="J225" s="11" t="s">
        <v>613</v>
      </c>
    </row>
    <row r="226" customFormat="false" ht="15" hidden="false" customHeight="false" outlineLevel="0" collapsed="false">
      <c r="A226" s="14" t="s">
        <v>261</v>
      </c>
      <c r="B226" s="14" t="s">
        <v>262</v>
      </c>
      <c r="C226" s="14" t="n">
        <v>2016</v>
      </c>
      <c r="D226" s="14" t="s">
        <v>30</v>
      </c>
      <c r="E226" s="15" t="n">
        <v>435000</v>
      </c>
      <c r="F226" s="16" t="n">
        <v>0.00723610390665938</v>
      </c>
      <c r="G226" s="14" t="s">
        <v>591</v>
      </c>
      <c r="H226" s="14" t="s">
        <v>268</v>
      </c>
      <c r="I226" s="14" t="s">
        <v>269</v>
      </c>
      <c r="J226" s="14" t="s">
        <v>270</v>
      </c>
    </row>
    <row r="227" customFormat="false" ht="15" hidden="false" customHeight="false" outlineLevel="0" collapsed="false">
      <c r="A227" s="11" t="s">
        <v>261</v>
      </c>
      <c r="B227" s="11" t="s">
        <v>262</v>
      </c>
      <c r="C227" s="11" t="n">
        <v>2016</v>
      </c>
      <c r="D227" s="11" t="s">
        <v>30</v>
      </c>
      <c r="E227" s="17" t="n">
        <v>500000</v>
      </c>
      <c r="F227" s="18" t="n">
        <v>0.00831736081225216</v>
      </c>
      <c r="G227" s="11" t="s">
        <v>592</v>
      </c>
      <c r="H227" s="11" t="s">
        <v>127</v>
      </c>
      <c r="I227" s="11" t="s">
        <v>128</v>
      </c>
      <c r="J227" s="11" t="s">
        <v>614</v>
      </c>
    </row>
    <row r="228" customFormat="false" ht="15" hidden="false" customHeight="false" outlineLevel="0" collapsed="false">
      <c r="A228" s="14" t="s">
        <v>261</v>
      </c>
      <c r="B228" s="14" t="s">
        <v>262</v>
      </c>
      <c r="C228" s="14" t="n">
        <v>2017</v>
      </c>
      <c r="D228" s="14" t="s">
        <v>30</v>
      </c>
      <c r="E228" s="15" t="n">
        <v>491000</v>
      </c>
      <c r="F228" s="16" t="n">
        <v>0.0081830261970834</v>
      </c>
      <c r="G228" s="14" t="s">
        <v>591</v>
      </c>
      <c r="H228" s="14" t="s">
        <v>271</v>
      </c>
      <c r="I228" s="14" t="s">
        <v>272</v>
      </c>
      <c r="J228" s="14" t="s">
        <v>270</v>
      </c>
    </row>
    <row r="229" customFormat="false" ht="15" hidden="false" customHeight="false" outlineLevel="0" collapsed="false">
      <c r="A229" s="11" t="s">
        <v>261</v>
      </c>
      <c r="B229" s="11" t="s">
        <v>262</v>
      </c>
      <c r="C229" s="11" t="n">
        <v>2017</v>
      </c>
      <c r="D229" s="11" t="s">
        <v>30</v>
      </c>
      <c r="E229" s="17" t="n">
        <v>600000</v>
      </c>
      <c r="F229" s="18" t="n">
        <v>0.00999962468075365</v>
      </c>
      <c r="G229" s="11" t="s">
        <v>592</v>
      </c>
      <c r="H229" s="11" t="s">
        <v>127</v>
      </c>
      <c r="I229" s="11" t="s">
        <v>128</v>
      </c>
      <c r="J229" s="11" t="s">
        <v>615</v>
      </c>
    </row>
    <row r="230" customFormat="false" ht="15" hidden="false" customHeight="false" outlineLevel="0" collapsed="false">
      <c r="A230" s="14" t="s">
        <v>261</v>
      </c>
      <c r="B230" s="14" t="s">
        <v>262</v>
      </c>
      <c r="C230" s="14" t="n">
        <v>2018</v>
      </c>
      <c r="D230" s="14" t="s">
        <v>30</v>
      </c>
      <c r="E230" s="15" t="n">
        <v>533000</v>
      </c>
      <c r="F230" s="16" t="n">
        <v>0.00890154872083993</v>
      </c>
      <c r="G230" s="14" t="s">
        <v>591</v>
      </c>
      <c r="H230" s="14" t="s">
        <v>273</v>
      </c>
      <c r="I230" s="14" t="s">
        <v>274</v>
      </c>
      <c r="J230" s="14" t="s">
        <v>270</v>
      </c>
    </row>
    <row r="231" customFormat="false" ht="15" hidden="false" customHeight="false" outlineLevel="0" collapsed="false">
      <c r="A231" s="14" t="s">
        <v>261</v>
      </c>
      <c r="B231" s="14" t="s">
        <v>262</v>
      </c>
      <c r="C231" s="14" t="n">
        <v>2019</v>
      </c>
      <c r="D231" s="14" t="s">
        <v>30</v>
      </c>
      <c r="E231" s="15" t="n">
        <v>562000</v>
      </c>
      <c r="F231" s="16" t="n">
        <v>0.00940915196736411</v>
      </c>
      <c r="G231" s="14" t="s">
        <v>591</v>
      </c>
      <c r="H231" s="14" t="s">
        <v>275</v>
      </c>
      <c r="I231" s="14" t="s">
        <v>276</v>
      </c>
      <c r="J231" s="14" t="s">
        <v>270</v>
      </c>
    </row>
    <row r="232" customFormat="false" ht="15" hidden="false" customHeight="false" outlineLevel="0" collapsed="false">
      <c r="A232" s="14" t="s">
        <v>261</v>
      </c>
      <c r="B232" s="14" t="s">
        <v>262</v>
      </c>
      <c r="C232" s="14" t="n">
        <v>2020</v>
      </c>
      <c r="D232" s="14" t="s">
        <v>30</v>
      </c>
      <c r="E232" s="15" t="n">
        <v>517000</v>
      </c>
      <c r="F232" s="16" t="n">
        <v>0.00869801470422098</v>
      </c>
      <c r="G232" s="14" t="s">
        <v>591</v>
      </c>
      <c r="H232" s="14" t="s">
        <v>277</v>
      </c>
      <c r="I232" s="14" t="s">
        <v>278</v>
      </c>
      <c r="J232" s="14" t="s">
        <v>270</v>
      </c>
    </row>
    <row r="233" customFormat="false" ht="15" hidden="false" customHeight="false" outlineLevel="0" collapsed="false">
      <c r="A233" s="14" t="s">
        <v>261</v>
      </c>
      <c r="B233" s="14" t="s">
        <v>262</v>
      </c>
      <c r="C233" s="14" t="n">
        <v>2021</v>
      </c>
      <c r="D233" s="14" t="s">
        <v>30</v>
      </c>
      <c r="E233" s="15" t="n">
        <v>519000</v>
      </c>
      <c r="F233" s="16" t="n">
        <v>0.00877679944554979</v>
      </c>
      <c r="G233" s="14" t="s">
        <v>591</v>
      </c>
      <c r="H233" s="14" t="s">
        <v>279</v>
      </c>
      <c r="I233" s="14" t="s">
        <v>280</v>
      </c>
      <c r="J233" s="14" t="s">
        <v>270</v>
      </c>
    </row>
    <row r="234" customFormat="false" ht="15" hidden="false" customHeight="false" outlineLevel="0" collapsed="false">
      <c r="A234" s="14" t="s">
        <v>261</v>
      </c>
      <c r="B234" s="14" t="s">
        <v>262</v>
      </c>
      <c r="C234" s="14" t="n">
        <v>2022</v>
      </c>
      <c r="D234" s="14" t="s">
        <v>30</v>
      </c>
      <c r="E234" s="15" t="n">
        <v>506000</v>
      </c>
      <c r="F234" s="16" t="n">
        <v>0.00857428500418386</v>
      </c>
      <c r="G234" s="14" t="s">
        <v>591</v>
      </c>
      <c r="H234" s="14" t="s">
        <v>279</v>
      </c>
      <c r="I234" s="14" t="s">
        <v>280</v>
      </c>
      <c r="J234" s="14" t="s">
        <v>281</v>
      </c>
    </row>
    <row r="235" customFormat="false" ht="15" hidden="false" customHeight="false" outlineLevel="0" collapsed="false">
      <c r="A235" s="14" t="s">
        <v>282</v>
      </c>
      <c r="B235" s="14" t="s">
        <v>283</v>
      </c>
      <c r="C235" s="14" t="n">
        <v>2011</v>
      </c>
      <c r="D235" s="14" t="s">
        <v>34</v>
      </c>
      <c r="E235" s="15" t="n">
        <v>78488</v>
      </c>
      <c r="F235" s="16" t="n">
        <v>0.000613988563203555</v>
      </c>
      <c r="G235" s="14" t="s">
        <v>591</v>
      </c>
      <c r="H235" s="14" t="s">
        <v>288</v>
      </c>
      <c r="I235" s="14" t="s">
        <v>289</v>
      </c>
      <c r="J235" s="14" t="s">
        <v>290</v>
      </c>
    </row>
    <row r="236" customFormat="false" ht="15" hidden="false" customHeight="false" outlineLevel="0" collapsed="false">
      <c r="A236" s="14" t="s">
        <v>282</v>
      </c>
      <c r="B236" s="14" t="s">
        <v>283</v>
      </c>
      <c r="C236" s="14" t="n">
        <v>2014</v>
      </c>
      <c r="D236" s="14" t="s">
        <v>34</v>
      </c>
      <c r="E236" s="15" t="n">
        <v>59061</v>
      </c>
      <c r="F236" s="16" t="n">
        <v>0.000464038781859895</v>
      </c>
      <c r="G236" s="14" t="s">
        <v>591</v>
      </c>
      <c r="H236" s="19" t="s">
        <v>291</v>
      </c>
      <c r="I236" s="14" t="s">
        <v>292</v>
      </c>
      <c r="J236" s="14" t="s">
        <v>293</v>
      </c>
    </row>
    <row r="237" customFormat="false" ht="15" hidden="false" customHeight="false" outlineLevel="0" collapsed="false">
      <c r="A237" s="11" t="s">
        <v>282</v>
      </c>
      <c r="B237" s="11" t="s">
        <v>283</v>
      </c>
      <c r="C237" s="11" t="n">
        <v>2014</v>
      </c>
      <c r="D237" s="11" t="s">
        <v>34</v>
      </c>
      <c r="E237" s="17" t="n">
        <v>59061</v>
      </c>
      <c r="F237" s="18" t="n">
        <v>0.000464038781859895</v>
      </c>
      <c r="G237" s="11" t="s">
        <v>592</v>
      </c>
      <c r="H237" s="11" t="s">
        <v>616</v>
      </c>
      <c r="I237" s="11" t="s">
        <v>617</v>
      </c>
      <c r="J237" s="11" t="s">
        <v>618</v>
      </c>
    </row>
    <row r="238" customFormat="false" ht="15" hidden="false" customHeight="false" outlineLevel="0" collapsed="false">
      <c r="A238" s="14" t="s">
        <v>282</v>
      </c>
      <c r="B238" s="14" t="s">
        <v>283</v>
      </c>
      <c r="C238" s="14" t="n">
        <v>2017</v>
      </c>
      <c r="D238" s="14" t="s">
        <v>34</v>
      </c>
      <c r="E238" s="15" t="n">
        <v>65270</v>
      </c>
      <c r="F238" s="16" t="n">
        <v>0.000514050341807643</v>
      </c>
      <c r="G238" s="14" t="s">
        <v>591</v>
      </c>
      <c r="H238" s="19" t="s">
        <v>291</v>
      </c>
      <c r="I238" s="14" t="s">
        <v>294</v>
      </c>
      <c r="J238" s="14" t="s">
        <v>295</v>
      </c>
    </row>
    <row r="239" customFormat="false" ht="15" hidden="false" customHeight="false" outlineLevel="0" collapsed="false">
      <c r="A239" s="11" t="s">
        <v>282</v>
      </c>
      <c r="B239" s="11" t="s">
        <v>283</v>
      </c>
      <c r="C239" s="11" t="n">
        <v>2017</v>
      </c>
      <c r="D239" s="11" t="s">
        <v>34</v>
      </c>
      <c r="E239" s="17" t="n">
        <v>65270</v>
      </c>
      <c r="F239" s="18" t="n">
        <v>0.000514050341807643</v>
      </c>
      <c r="G239" s="11" t="s">
        <v>592</v>
      </c>
      <c r="H239" s="11" t="s">
        <v>619</v>
      </c>
      <c r="I239" s="11" t="s">
        <v>294</v>
      </c>
      <c r="J239" s="11" t="s">
        <v>620</v>
      </c>
    </row>
    <row r="240" customFormat="false" ht="15" hidden="false" customHeight="false" outlineLevel="0" collapsed="false">
      <c r="A240" s="14" t="s">
        <v>282</v>
      </c>
      <c r="B240" s="14" t="s">
        <v>283</v>
      </c>
      <c r="C240" s="14" t="n">
        <v>2018</v>
      </c>
      <c r="D240" s="14" t="s">
        <v>34</v>
      </c>
      <c r="E240" s="15" t="n">
        <v>66498</v>
      </c>
      <c r="F240" s="16" t="n">
        <v>0.000524386685697613</v>
      </c>
      <c r="G240" s="14" t="s">
        <v>591</v>
      </c>
      <c r="H240" s="19" t="s">
        <v>291</v>
      </c>
      <c r="I240" s="14" t="s">
        <v>296</v>
      </c>
      <c r="J240" s="14" t="s">
        <v>297</v>
      </c>
    </row>
    <row r="241" customFormat="false" ht="15" hidden="false" customHeight="false" outlineLevel="0" collapsed="false">
      <c r="A241" s="11" t="s">
        <v>282</v>
      </c>
      <c r="B241" s="11" t="s">
        <v>283</v>
      </c>
      <c r="C241" s="11" t="n">
        <v>2018</v>
      </c>
      <c r="D241" s="11" t="s">
        <v>34</v>
      </c>
      <c r="E241" s="17" t="n">
        <v>66498</v>
      </c>
      <c r="F241" s="18" t="n">
        <v>0.000524386685697613</v>
      </c>
      <c r="G241" s="11" t="s">
        <v>592</v>
      </c>
      <c r="H241" s="11" t="s">
        <v>619</v>
      </c>
      <c r="I241" s="11" t="s">
        <v>294</v>
      </c>
      <c r="J241" s="11" t="s">
        <v>621</v>
      </c>
    </row>
    <row r="242" customFormat="false" ht="15" hidden="false" customHeight="false" outlineLevel="0" collapsed="false">
      <c r="A242" s="14" t="s">
        <v>282</v>
      </c>
      <c r="B242" s="14" t="s">
        <v>283</v>
      </c>
      <c r="C242" s="14" t="n">
        <v>2019</v>
      </c>
      <c r="D242" s="14" t="s">
        <v>34</v>
      </c>
      <c r="E242" s="15" t="n">
        <v>74167</v>
      </c>
      <c r="F242" s="16" t="n">
        <v>0.000585684616174299</v>
      </c>
      <c r="G242" s="14" t="s">
        <v>591</v>
      </c>
      <c r="H242" s="19" t="s">
        <v>291</v>
      </c>
      <c r="I242" s="14" t="s">
        <v>296</v>
      </c>
      <c r="J242" s="14" t="s">
        <v>298</v>
      </c>
    </row>
    <row r="243" customFormat="false" ht="15" hidden="false" customHeight="false" outlineLevel="0" collapsed="false">
      <c r="A243" s="11" t="s">
        <v>282</v>
      </c>
      <c r="B243" s="11" t="s">
        <v>283</v>
      </c>
      <c r="C243" s="11" t="n">
        <v>2019</v>
      </c>
      <c r="D243" s="11" t="s">
        <v>34</v>
      </c>
      <c r="E243" s="17" t="n">
        <v>74167</v>
      </c>
      <c r="F243" s="18" t="n">
        <v>0.000585684616174299</v>
      </c>
      <c r="G243" s="11" t="s">
        <v>592</v>
      </c>
      <c r="H243" s="11" t="s">
        <v>619</v>
      </c>
      <c r="I243" s="11" t="s">
        <v>294</v>
      </c>
      <c r="J243" s="11" t="s">
        <v>622</v>
      </c>
    </row>
    <row r="244" customFormat="false" ht="15" hidden="false" customHeight="false" outlineLevel="0" collapsed="false">
      <c r="A244" s="14" t="s">
        <v>282</v>
      </c>
      <c r="B244" s="14" t="s">
        <v>283</v>
      </c>
      <c r="C244" s="14" t="n">
        <v>2020</v>
      </c>
      <c r="D244" s="14" t="s">
        <v>34</v>
      </c>
      <c r="E244" s="15" t="n">
        <v>82892</v>
      </c>
      <c r="F244" s="16" t="n">
        <v>0.000656513095888675</v>
      </c>
      <c r="G244" s="14" t="s">
        <v>591</v>
      </c>
      <c r="H244" s="19" t="s">
        <v>291</v>
      </c>
      <c r="I244" s="14" t="s">
        <v>296</v>
      </c>
      <c r="J244" s="14" t="s">
        <v>299</v>
      </c>
    </row>
    <row r="245" customFormat="false" ht="15" hidden="false" customHeight="false" outlineLevel="0" collapsed="false">
      <c r="A245" s="11" t="s">
        <v>282</v>
      </c>
      <c r="B245" s="11" t="s">
        <v>283</v>
      </c>
      <c r="C245" s="11" t="n">
        <v>2020</v>
      </c>
      <c r="D245" s="11" t="s">
        <v>34</v>
      </c>
      <c r="E245" s="17" t="n">
        <v>82892</v>
      </c>
      <c r="F245" s="18" t="n">
        <v>0.000656513095888675</v>
      </c>
      <c r="G245" s="11" t="s">
        <v>592</v>
      </c>
      <c r="H245" s="11" t="s">
        <v>623</v>
      </c>
      <c r="I245" s="11" t="s">
        <v>624</v>
      </c>
      <c r="J245" s="11" t="s">
        <v>625</v>
      </c>
    </row>
    <row r="246" customFormat="false" ht="15" hidden="false" customHeight="false" outlineLevel="0" collapsed="false">
      <c r="A246" s="14" t="s">
        <v>282</v>
      </c>
      <c r="B246" s="14" t="s">
        <v>283</v>
      </c>
      <c r="C246" s="14" t="n">
        <v>2021</v>
      </c>
      <c r="D246" s="14" t="s">
        <v>34</v>
      </c>
      <c r="E246" s="15" t="n">
        <v>82868</v>
      </c>
      <c r="F246" s="16" t="n">
        <v>0.000659348740113439</v>
      </c>
      <c r="G246" s="14" t="s">
        <v>591</v>
      </c>
      <c r="H246" s="19" t="s">
        <v>291</v>
      </c>
      <c r="I246" s="14" t="s">
        <v>296</v>
      </c>
      <c r="J246" s="14" t="s">
        <v>300</v>
      </c>
    </row>
    <row r="247" customFormat="false" ht="15" hidden="false" customHeight="false" outlineLevel="0" collapsed="false">
      <c r="A247" s="11" t="s">
        <v>282</v>
      </c>
      <c r="B247" s="11" t="s">
        <v>283</v>
      </c>
      <c r="C247" s="11" t="n">
        <v>2021</v>
      </c>
      <c r="D247" s="11" t="s">
        <v>34</v>
      </c>
      <c r="E247" s="17" t="n">
        <v>82868</v>
      </c>
      <c r="F247" s="18" t="n">
        <v>0.000659348740113439</v>
      </c>
      <c r="G247" s="11" t="s">
        <v>592</v>
      </c>
      <c r="H247" s="11" t="s">
        <v>623</v>
      </c>
      <c r="I247" s="11" t="s">
        <v>624</v>
      </c>
      <c r="J247" s="11" t="s">
        <v>626</v>
      </c>
    </row>
    <row r="248" customFormat="false" ht="15" hidden="false" customHeight="false" outlineLevel="0" collapsed="false">
      <c r="A248" s="14" t="s">
        <v>282</v>
      </c>
      <c r="B248" s="14" t="s">
        <v>283</v>
      </c>
      <c r="C248" s="14" t="n">
        <v>2022</v>
      </c>
      <c r="D248" s="14" t="s">
        <v>34</v>
      </c>
      <c r="E248" s="15" t="n">
        <v>66759</v>
      </c>
      <c r="F248" s="16" t="n">
        <v>0.000533538508442946</v>
      </c>
      <c r="G248" s="14" t="s">
        <v>591</v>
      </c>
      <c r="H248" s="19" t="s">
        <v>291</v>
      </c>
      <c r="I248" s="14" t="s">
        <v>296</v>
      </c>
      <c r="J248" s="14" t="s">
        <v>301</v>
      </c>
    </row>
    <row r="249" customFormat="false" ht="15" hidden="false" customHeight="false" outlineLevel="0" collapsed="false">
      <c r="A249" s="11" t="s">
        <v>282</v>
      </c>
      <c r="B249" s="11" t="s">
        <v>283</v>
      </c>
      <c r="C249" s="11" t="n">
        <v>2022</v>
      </c>
      <c r="D249" s="11" t="s">
        <v>34</v>
      </c>
      <c r="E249" s="17" t="n">
        <v>66759</v>
      </c>
      <c r="F249" s="18" t="n">
        <v>0.000533538508442946</v>
      </c>
      <c r="G249" s="11" t="s">
        <v>592</v>
      </c>
      <c r="H249" s="11" t="s">
        <v>623</v>
      </c>
      <c r="I249" s="11" t="s">
        <v>627</v>
      </c>
      <c r="J249" s="11" t="s">
        <v>628</v>
      </c>
    </row>
    <row r="250" customFormat="false" ht="15" hidden="false" customHeight="false" outlineLevel="0" collapsed="false">
      <c r="A250" s="14" t="s">
        <v>302</v>
      </c>
      <c r="B250" s="14" t="s">
        <v>303</v>
      </c>
      <c r="C250" s="14" t="n">
        <v>2010</v>
      </c>
      <c r="D250" s="14" t="s">
        <v>34</v>
      </c>
      <c r="E250" s="15" t="n">
        <v>168515</v>
      </c>
      <c r="F250" s="16" t="n">
        <v>0.00340062596621649</v>
      </c>
      <c r="G250" s="14" t="s">
        <v>591</v>
      </c>
      <c r="H250" s="14" t="s">
        <v>311</v>
      </c>
      <c r="I250" s="14" t="s">
        <v>312</v>
      </c>
      <c r="J250" s="14" t="s">
        <v>313</v>
      </c>
    </row>
    <row r="251" customFormat="false" ht="15" hidden="false" customHeight="false" outlineLevel="0" collapsed="false">
      <c r="A251" s="14" t="s">
        <v>302</v>
      </c>
      <c r="B251" s="14" t="s">
        <v>303</v>
      </c>
      <c r="C251" s="14" t="n">
        <v>2011</v>
      </c>
      <c r="D251" s="14" t="s">
        <v>34</v>
      </c>
      <c r="E251" s="15" t="n">
        <v>167780</v>
      </c>
      <c r="F251" s="16" t="n">
        <v>0.00335985774613021</v>
      </c>
      <c r="G251" s="14" t="s">
        <v>591</v>
      </c>
      <c r="H251" s="14" t="s">
        <v>311</v>
      </c>
      <c r="I251" s="14" t="s">
        <v>312</v>
      </c>
      <c r="J251" s="14" t="s">
        <v>313</v>
      </c>
    </row>
    <row r="252" customFormat="false" ht="15" hidden="false" customHeight="false" outlineLevel="0" collapsed="false">
      <c r="A252" s="14" t="s">
        <v>302</v>
      </c>
      <c r="B252" s="14" t="s">
        <v>303</v>
      </c>
      <c r="C252" s="14" t="n">
        <v>2012</v>
      </c>
      <c r="D252" s="14" t="s">
        <v>34</v>
      </c>
      <c r="E252" s="15" t="n">
        <v>177854</v>
      </c>
      <c r="F252" s="16" t="n">
        <v>0.00354291874121623</v>
      </c>
      <c r="G252" s="14" t="s">
        <v>591</v>
      </c>
      <c r="H252" s="14" t="s">
        <v>311</v>
      </c>
      <c r="I252" s="14" t="s">
        <v>312</v>
      </c>
      <c r="J252" s="14" t="s">
        <v>313</v>
      </c>
    </row>
    <row r="253" customFormat="false" ht="15" hidden="false" customHeight="false" outlineLevel="0" collapsed="false">
      <c r="A253" s="14" t="s">
        <v>302</v>
      </c>
      <c r="B253" s="14" t="s">
        <v>303</v>
      </c>
      <c r="C253" s="14" t="n">
        <v>2013</v>
      </c>
      <c r="D253" s="14" t="s">
        <v>34</v>
      </c>
      <c r="E253" s="15" t="n">
        <v>183106</v>
      </c>
      <c r="F253" s="16" t="n">
        <v>0.0036309740132507</v>
      </c>
      <c r="G253" s="14" t="s">
        <v>591</v>
      </c>
      <c r="H253" s="14" t="s">
        <v>311</v>
      </c>
      <c r="I253" s="14" t="s">
        <v>312</v>
      </c>
      <c r="J253" s="14" t="s">
        <v>313</v>
      </c>
    </row>
    <row r="254" customFormat="false" ht="15" hidden="false" customHeight="false" outlineLevel="0" collapsed="false">
      <c r="A254" s="14" t="s">
        <v>302</v>
      </c>
      <c r="B254" s="14" t="s">
        <v>303</v>
      </c>
      <c r="C254" s="14" t="n">
        <v>2014</v>
      </c>
      <c r="D254" s="14" t="s">
        <v>34</v>
      </c>
      <c r="E254" s="15" t="n">
        <v>208778</v>
      </c>
      <c r="F254" s="16" t="n">
        <v>0.00411412305980577</v>
      </c>
      <c r="G254" s="14" t="s">
        <v>591</v>
      </c>
      <c r="H254" s="14" t="s">
        <v>311</v>
      </c>
      <c r="I254" s="14" t="s">
        <v>312</v>
      </c>
      <c r="J254" s="14" t="s">
        <v>313</v>
      </c>
    </row>
    <row r="255" customFormat="false" ht="15" hidden="false" customHeight="false" outlineLevel="0" collapsed="false">
      <c r="A255" s="14" t="s">
        <v>302</v>
      </c>
      <c r="B255" s="14" t="s">
        <v>303</v>
      </c>
      <c r="C255" s="14" t="n">
        <v>2015</v>
      </c>
      <c r="D255" s="14" t="s">
        <v>34</v>
      </c>
      <c r="E255" s="15" t="n">
        <v>212596</v>
      </c>
      <c r="F255" s="16" t="n">
        <v>0.00416732766575255</v>
      </c>
      <c r="G255" s="14" t="s">
        <v>591</v>
      </c>
      <c r="H255" s="14" t="s">
        <v>311</v>
      </c>
      <c r="I255" s="14" t="s">
        <v>312</v>
      </c>
      <c r="J255" s="14" t="s">
        <v>314</v>
      </c>
    </row>
    <row r="256" customFormat="false" ht="15" hidden="false" customHeight="false" outlineLevel="0" collapsed="false">
      <c r="A256" s="14" t="s">
        <v>302</v>
      </c>
      <c r="B256" s="14" t="s">
        <v>303</v>
      </c>
      <c r="C256" s="14" t="n">
        <v>2018</v>
      </c>
      <c r="D256" s="14" t="s">
        <v>34</v>
      </c>
      <c r="E256" s="15" t="n">
        <v>355126</v>
      </c>
      <c r="F256" s="16" t="n">
        <v>0.00688428032784222</v>
      </c>
      <c r="G256" s="14" t="s">
        <v>591</v>
      </c>
      <c r="H256" s="14" t="s">
        <v>315</v>
      </c>
      <c r="I256" s="14" t="s">
        <v>316</v>
      </c>
      <c r="J256" s="14" t="s">
        <v>317</v>
      </c>
    </row>
    <row r="257" customFormat="false" ht="15" hidden="false" customHeight="false" outlineLevel="0" collapsed="false">
      <c r="A257" s="14" t="s">
        <v>302</v>
      </c>
      <c r="B257" s="14" t="s">
        <v>303</v>
      </c>
      <c r="C257" s="14" t="n">
        <v>2020</v>
      </c>
      <c r="D257" s="14" t="s">
        <v>34</v>
      </c>
      <c r="E257" s="15" t="n">
        <v>392196</v>
      </c>
      <c r="F257" s="16" t="n">
        <v>0.00756605817794767</v>
      </c>
      <c r="G257" s="14" t="s">
        <v>591</v>
      </c>
      <c r="H257" s="14" t="s">
        <v>315</v>
      </c>
      <c r="I257" s="14" t="s">
        <v>316</v>
      </c>
      <c r="J257" s="14" t="s">
        <v>318</v>
      </c>
    </row>
    <row r="258" customFormat="false" ht="15" hidden="false" customHeight="false" outlineLevel="0" collapsed="false">
      <c r="A258" s="14" t="s">
        <v>302</v>
      </c>
      <c r="B258" s="14" t="s">
        <v>303</v>
      </c>
      <c r="C258" s="14" t="n">
        <v>2021</v>
      </c>
      <c r="D258" s="14" t="s">
        <v>34</v>
      </c>
      <c r="E258" s="15" t="n">
        <v>388700</v>
      </c>
      <c r="F258" s="16" t="n">
        <v>0.00750827624715762</v>
      </c>
      <c r="G258" s="14" t="s">
        <v>591</v>
      </c>
      <c r="H258" s="14" t="s">
        <v>315</v>
      </c>
      <c r="I258" s="14" t="s">
        <v>316</v>
      </c>
      <c r="J258" s="14" t="s">
        <v>319</v>
      </c>
    </row>
    <row r="259" customFormat="false" ht="15" hidden="false" customHeight="false" outlineLevel="0" collapsed="false">
      <c r="A259" s="14" t="s">
        <v>302</v>
      </c>
      <c r="B259" s="14" t="s">
        <v>303</v>
      </c>
      <c r="C259" s="14" t="n">
        <v>2022</v>
      </c>
      <c r="D259" s="14" t="s">
        <v>34</v>
      </c>
      <c r="E259" s="15" t="n">
        <v>411270</v>
      </c>
      <c r="F259" s="16" t="n">
        <v>0.00795915527250058</v>
      </c>
      <c r="G259" s="14" t="s">
        <v>591</v>
      </c>
      <c r="H259" s="14" t="s">
        <v>315</v>
      </c>
      <c r="I259" s="14" t="s">
        <v>316</v>
      </c>
      <c r="J259" s="14" t="s">
        <v>320</v>
      </c>
    </row>
    <row r="260" customFormat="false" ht="15" hidden="false" customHeight="false" outlineLevel="0" collapsed="false">
      <c r="A260" s="14" t="s">
        <v>321</v>
      </c>
      <c r="B260" s="14" t="s">
        <v>322</v>
      </c>
      <c r="C260" s="14" t="n">
        <v>2010</v>
      </c>
      <c r="D260" s="14" t="s">
        <v>38</v>
      </c>
      <c r="E260" s="15" t="n">
        <v>1345</v>
      </c>
      <c r="F260" s="16" t="n">
        <v>0.000434251708433394</v>
      </c>
      <c r="G260" s="14" t="s">
        <v>591</v>
      </c>
      <c r="H260" s="14" t="s">
        <v>123</v>
      </c>
      <c r="I260" s="14" t="s">
        <v>124</v>
      </c>
      <c r="J260" s="14" t="s">
        <v>125</v>
      </c>
    </row>
    <row r="261" customFormat="false" ht="15" hidden="false" customHeight="false" outlineLevel="0" collapsed="false">
      <c r="A261" s="14" t="s">
        <v>321</v>
      </c>
      <c r="B261" s="14" t="s">
        <v>322</v>
      </c>
      <c r="C261" s="14" t="n">
        <v>2011</v>
      </c>
      <c r="D261" s="14" t="s">
        <v>38</v>
      </c>
      <c r="E261" s="15" t="n">
        <v>1895</v>
      </c>
      <c r="F261" s="16" t="n">
        <v>0.000625801860233181</v>
      </c>
      <c r="G261" s="14" t="s">
        <v>591</v>
      </c>
      <c r="H261" s="14" t="s">
        <v>123</v>
      </c>
      <c r="I261" s="14" t="s">
        <v>124</v>
      </c>
      <c r="J261" s="14" t="s">
        <v>125</v>
      </c>
    </row>
    <row r="262" customFormat="false" ht="15" hidden="false" customHeight="false" outlineLevel="0" collapsed="false">
      <c r="A262" s="14" t="s">
        <v>321</v>
      </c>
      <c r="B262" s="14" t="s">
        <v>322</v>
      </c>
      <c r="C262" s="14" t="n">
        <v>2012</v>
      </c>
      <c r="D262" s="14" t="s">
        <v>38</v>
      </c>
      <c r="E262" s="15" t="n">
        <v>2080</v>
      </c>
      <c r="F262" s="16" t="n">
        <v>0.000695852551520689</v>
      </c>
      <c r="G262" s="14" t="s">
        <v>591</v>
      </c>
      <c r="H262" s="14" t="s">
        <v>123</v>
      </c>
      <c r="I262" s="14" t="s">
        <v>124</v>
      </c>
      <c r="J262" s="14" t="s">
        <v>125</v>
      </c>
    </row>
    <row r="263" customFormat="false" ht="15" hidden="false" customHeight="false" outlineLevel="0" collapsed="false">
      <c r="A263" s="14" t="s">
        <v>321</v>
      </c>
      <c r="B263" s="14" t="s">
        <v>322</v>
      </c>
      <c r="C263" s="14" t="n">
        <v>2013</v>
      </c>
      <c r="D263" s="14" t="s">
        <v>38</v>
      </c>
      <c r="E263" s="15" t="n">
        <v>1910</v>
      </c>
      <c r="F263" s="16" t="n">
        <v>0.000644997889404812</v>
      </c>
      <c r="G263" s="14" t="s">
        <v>591</v>
      </c>
      <c r="H263" s="14" t="s">
        <v>123</v>
      </c>
      <c r="I263" s="14" t="s">
        <v>124</v>
      </c>
      <c r="J263" s="14" t="s">
        <v>125</v>
      </c>
    </row>
    <row r="264" customFormat="false" ht="15" hidden="false" customHeight="false" outlineLevel="0" collapsed="false">
      <c r="A264" s="14" t="s">
        <v>321</v>
      </c>
      <c r="B264" s="14" t="s">
        <v>322</v>
      </c>
      <c r="C264" s="14" t="n">
        <v>2014</v>
      </c>
      <c r="D264" s="14" t="s">
        <v>38</v>
      </c>
      <c r="E264" s="15" t="n">
        <v>2465</v>
      </c>
      <c r="F264" s="16" t="n">
        <v>0.00083921950203132</v>
      </c>
      <c r="G264" s="14" t="s">
        <v>591</v>
      </c>
      <c r="H264" s="14" t="s">
        <v>123</v>
      </c>
      <c r="I264" s="14" t="s">
        <v>124</v>
      </c>
      <c r="J264" s="14" t="s">
        <v>125</v>
      </c>
    </row>
    <row r="265" customFormat="false" ht="15" hidden="false" customHeight="false" outlineLevel="0" collapsed="false">
      <c r="A265" s="14" t="s">
        <v>321</v>
      </c>
      <c r="B265" s="14" t="s">
        <v>322</v>
      </c>
      <c r="C265" s="14" t="n">
        <v>2015</v>
      </c>
      <c r="D265" s="14" t="s">
        <v>38</v>
      </c>
      <c r="E265" s="15" t="n">
        <v>2040</v>
      </c>
      <c r="F265" s="16" t="n">
        <v>0.000700763866966163</v>
      </c>
      <c r="G265" s="14" t="s">
        <v>591</v>
      </c>
      <c r="H265" s="14" t="s">
        <v>123</v>
      </c>
      <c r="I265" s="14" t="s">
        <v>124</v>
      </c>
      <c r="J265" s="14" t="s">
        <v>125</v>
      </c>
    </row>
    <row r="266" customFormat="false" ht="15" hidden="false" customHeight="false" outlineLevel="0" collapsed="false">
      <c r="A266" s="14" t="s">
        <v>321</v>
      </c>
      <c r="B266" s="14" t="s">
        <v>322</v>
      </c>
      <c r="C266" s="14" t="n">
        <v>2016</v>
      </c>
      <c r="D266" s="14" t="s">
        <v>38</v>
      </c>
      <c r="E266" s="15" t="n">
        <v>1920</v>
      </c>
      <c r="F266" s="16" t="n">
        <v>0.000667286455301365</v>
      </c>
      <c r="G266" s="14" t="s">
        <v>591</v>
      </c>
      <c r="H266" s="14" t="s">
        <v>123</v>
      </c>
      <c r="I266" s="14" t="s">
        <v>124</v>
      </c>
      <c r="J266" s="14" t="s">
        <v>125</v>
      </c>
    </row>
    <row r="267" customFormat="false" ht="15" hidden="false" customHeight="false" outlineLevel="0" collapsed="false">
      <c r="A267" s="14" t="s">
        <v>321</v>
      </c>
      <c r="B267" s="14" t="s">
        <v>322</v>
      </c>
      <c r="C267" s="14" t="n">
        <v>2017</v>
      </c>
      <c r="D267" s="14" t="s">
        <v>38</v>
      </c>
      <c r="E267" s="15" t="n">
        <v>2210</v>
      </c>
      <c r="F267" s="16" t="n">
        <v>0.000777446591002234</v>
      </c>
      <c r="G267" s="14" t="s">
        <v>591</v>
      </c>
      <c r="H267" s="14" t="s">
        <v>123</v>
      </c>
      <c r="I267" s="14" t="s">
        <v>124</v>
      </c>
      <c r="J267" s="14" t="s">
        <v>125</v>
      </c>
    </row>
    <row r="268" customFormat="false" ht="15" hidden="false" customHeight="false" outlineLevel="0" collapsed="false">
      <c r="A268" s="14" t="s">
        <v>321</v>
      </c>
      <c r="B268" s="14" t="s">
        <v>322</v>
      </c>
      <c r="C268" s="14" t="n">
        <v>2018</v>
      </c>
      <c r="D268" s="14" t="s">
        <v>38</v>
      </c>
      <c r="E268" s="15" t="n">
        <v>2660</v>
      </c>
      <c r="F268" s="16" t="n">
        <v>0.000943530079455165</v>
      </c>
      <c r="G268" s="14" t="s">
        <v>591</v>
      </c>
      <c r="H268" s="14" t="s">
        <v>123</v>
      </c>
      <c r="I268" s="14" t="s">
        <v>124</v>
      </c>
      <c r="J268" s="14" t="s">
        <v>125</v>
      </c>
    </row>
    <row r="269" customFormat="false" ht="15" hidden="false" customHeight="false" outlineLevel="0" collapsed="false">
      <c r="A269" s="14" t="s">
        <v>321</v>
      </c>
      <c r="B269" s="14" t="s">
        <v>322</v>
      </c>
      <c r="C269" s="14" t="n">
        <v>2019</v>
      </c>
      <c r="D269" s="14" t="s">
        <v>38</v>
      </c>
      <c r="E269" s="15" t="n">
        <v>2440</v>
      </c>
      <c r="F269" s="16" t="n">
        <v>0.000867991017004442</v>
      </c>
      <c r="G269" s="14" t="s">
        <v>591</v>
      </c>
      <c r="H269" s="14" t="s">
        <v>123</v>
      </c>
      <c r="I269" s="14" t="s">
        <v>124</v>
      </c>
      <c r="J269" s="14" t="s">
        <v>125</v>
      </c>
    </row>
    <row r="270" customFormat="false" ht="15" hidden="false" customHeight="false" outlineLevel="0" collapsed="false">
      <c r="A270" s="14" t="s">
        <v>321</v>
      </c>
      <c r="B270" s="14" t="s">
        <v>322</v>
      </c>
      <c r="C270" s="14" t="n">
        <v>2020</v>
      </c>
      <c r="D270" s="14" t="s">
        <v>38</v>
      </c>
      <c r="E270" s="15" t="n">
        <v>1960</v>
      </c>
      <c r="F270" s="16" t="n">
        <v>0.000697417314238806</v>
      </c>
      <c r="G270" s="14" t="s">
        <v>591</v>
      </c>
      <c r="H270" s="14" t="s">
        <v>123</v>
      </c>
      <c r="I270" s="14" t="s">
        <v>124</v>
      </c>
      <c r="J270" s="14" t="s">
        <v>125</v>
      </c>
    </row>
    <row r="271" customFormat="false" ht="15" hidden="false" customHeight="false" outlineLevel="0" collapsed="false">
      <c r="A271" s="14" t="s">
        <v>321</v>
      </c>
      <c r="B271" s="14" t="s">
        <v>322</v>
      </c>
      <c r="C271" s="14" t="n">
        <v>2021</v>
      </c>
      <c r="D271" s="14" t="s">
        <v>38</v>
      </c>
      <c r="E271" s="15" t="n">
        <v>5025</v>
      </c>
      <c r="F271" s="16" t="n">
        <v>0.00178928777444648</v>
      </c>
      <c r="G271" s="14" t="s">
        <v>591</v>
      </c>
      <c r="H271" s="14" t="s">
        <v>123</v>
      </c>
      <c r="I271" s="14" t="s">
        <v>124</v>
      </c>
      <c r="J271" s="14" t="s">
        <v>125</v>
      </c>
    </row>
    <row r="272" customFormat="false" ht="15" hidden="false" customHeight="false" outlineLevel="0" collapsed="false">
      <c r="A272" s="14" t="s">
        <v>321</v>
      </c>
      <c r="B272" s="14" t="s">
        <v>322</v>
      </c>
      <c r="C272" s="14" t="n">
        <v>2022</v>
      </c>
      <c r="D272" s="14" t="s">
        <v>38</v>
      </c>
      <c r="E272" s="15" t="n">
        <v>3450</v>
      </c>
      <c r="F272" s="16" t="n">
        <v>0.00121837564746071</v>
      </c>
      <c r="G272" s="14" t="s">
        <v>591</v>
      </c>
      <c r="H272" s="14" t="s">
        <v>123</v>
      </c>
      <c r="I272" s="14" t="s">
        <v>124</v>
      </c>
      <c r="J272" s="14" t="s">
        <v>125</v>
      </c>
    </row>
    <row r="273" customFormat="false" ht="15" hidden="false" customHeight="false" outlineLevel="0" collapsed="false">
      <c r="A273" s="14" t="s">
        <v>327</v>
      </c>
      <c r="B273" s="14" t="s">
        <v>328</v>
      </c>
      <c r="C273" s="14" t="n">
        <v>2017</v>
      </c>
      <c r="D273" s="14" t="s">
        <v>38</v>
      </c>
      <c r="E273" s="15" t="n">
        <v>93846</v>
      </c>
      <c r="F273" s="16" t="n">
        <v>0.000760502079832913</v>
      </c>
      <c r="G273" s="14" t="s">
        <v>591</v>
      </c>
      <c r="H273" s="14" t="s">
        <v>335</v>
      </c>
      <c r="I273" s="14" t="s">
        <v>336</v>
      </c>
      <c r="J273" s="14" t="s">
        <v>337</v>
      </c>
    </row>
    <row r="274" customFormat="false" ht="15" hidden="false" customHeight="false" outlineLevel="0" collapsed="false">
      <c r="A274" s="14" t="s">
        <v>327</v>
      </c>
      <c r="B274" s="14" t="s">
        <v>328</v>
      </c>
      <c r="C274" s="14" t="n">
        <v>2018</v>
      </c>
      <c r="D274" s="14" t="s">
        <v>38</v>
      </c>
      <c r="E274" s="15" t="n">
        <v>131445</v>
      </c>
      <c r="F274" s="16" t="n">
        <v>0.00105515841941965</v>
      </c>
      <c r="G274" s="14" t="s">
        <v>591</v>
      </c>
      <c r="H274" s="14" t="s">
        <v>335</v>
      </c>
      <c r="I274" s="14" t="s">
        <v>336</v>
      </c>
      <c r="J274" s="14" t="s">
        <v>338</v>
      </c>
    </row>
    <row r="275" customFormat="false" ht="15" hidden="false" customHeight="false" outlineLevel="0" collapsed="false">
      <c r="A275" s="14" t="s">
        <v>327</v>
      </c>
      <c r="B275" s="14" t="s">
        <v>328</v>
      </c>
      <c r="C275" s="14" t="n">
        <v>2019</v>
      </c>
      <c r="D275" s="14" t="s">
        <v>38</v>
      </c>
      <c r="E275" s="15" t="n">
        <v>182940</v>
      </c>
      <c r="F275" s="16" t="n">
        <v>0.00145464108031408</v>
      </c>
      <c r="G275" s="14" t="s">
        <v>591</v>
      </c>
      <c r="H275" s="14" t="s">
        <v>335</v>
      </c>
      <c r="I275" s="14" t="s">
        <v>336</v>
      </c>
      <c r="J275" s="14" t="s">
        <v>339</v>
      </c>
    </row>
    <row r="276" customFormat="false" ht="15" hidden="false" customHeight="false" outlineLevel="0" collapsed="false">
      <c r="A276" s="14" t="s">
        <v>327</v>
      </c>
      <c r="B276" s="14" t="s">
        <v>328</v>
      </c>
      <c r="C276" s="14" t="n">
        <v>2020</v>
      </c>
      <c r="D276" s="14" t="s">
        <v>38</v>
      </c>
      <c r="E276" s="15" t="n">
        <v>82379</v>
      </c>
      <c r="F276" s="16" t="n">
        <v>0.000649681503144337</v>
      </c>
      <c r="G276" s="14" t="s">
        <v>591</v>
      </c>
      <c r="H276" s="14" t="s">
        <v>335</v>
      </c>
      <c r="I276" s="14" t="s">
        <v>336</v>
      </c>
      <c r="J276" s="14" t="s">
        <v>340</v>
      </c>
    </row>
    <row r="277" customFormat="false" ht="15" hidden="false" customHeight="false" outlineLevel="0" collapsed="false">
      <c r="A277" s="14" t="s">
        <v>327</v>
      </c>
      <c r="B277" s="14" t="s">
        <v>328</v>
      </c>
      <c r="C277" s="14" t="n">
        <v>2021</v>
      </c>
      <c r="D277" s="14" t="s">
        <v>38</v>
      </c>
      <c r="E277" s="15" t="n">
        <v>309692</v>
      </c>
      <c r="F277" s="16" t="n">
        <v>0.00242613782379357</v>
      </c>
      <c r="G277" s="14" t="s">
        <v>591</v>
      </c>
      <c r="H277" s="14" t="s">
        <v>335</v>
      </c>
      <c r="I277" s="14" t="s">
        <v>336</v>
      </c>
      <c r="J277" s="14" t="s">
        <v>341</v>
      </c>
    </row>
    <row r="278" customFormat="false" ht="15" hidden="false" customHeight="false" outlineLevel="0" collapsed="false">
      <c r="A278" s="14" t="s">
        <v>327</v>
      </c>
      <c r="B278" s="14" t="s">
        <v>328</v>
      </c>
      <c r="C278" s="14" t="n">
        <v>2022</v>
      </c>
      <c r="D278" s="14" t="s">
        <v>38</v>
      </c>
      <c r="E278" s="15" t="n">
        <v>441409</v>
      </c>
      <c r="F278" s="16" t="n">
        <v>0.00343206828584988</v>
      </c>
      <c r="G278" s="14" t="s">
        <v>591</v>
      </c>
      <c r="H278" s="14" t="s">
        <v>335</v>
      </c>
      <c r="I278" s="14" t="s">
        <v>336</v>
      </c>
      <c r="J278" s="14" t="s">
        <v>342</v>
      </c>
    </row>
    <row r="279" customFormat="false" ht="15" hidden="false" customHeight="false" outlineLevel="0" collapsed="false">
      <c r="A279" s="14" t="s">
        <v>343</v>
      </c>
      <c r="B279" s="14" t="s">
        <v>344</v>
      </c>
      <c r="C279" s="14" t="n">
        <v>2010</v>
      </c>
      <c r="D279" s="14" t="s">
        <v>38</v>
      </c>
      <c r="E279" s="15" t="n">
        <v>7580</v>
      </c>
      <c r="F279" s="16" t="n">
        <v>0.000456203446033239</v>
      </c>
      <c r="G279" s="14" t="s">
        <v>591</v>
      </c>
      <c r="H279" s="14" t="s">
        <v>123</v>
      </c>
      <c r="I279" s="14" t="s">
        <v>124</v>
      </c>
      <c r="J279" s="14" t="s">
        <v>125</v>
      </c>
    </row>
    <row r="280" customFormat="false" ht="15" hidden="false" customHeight="false" outlineLevel="0" collapsed="false">
      <c r="A280" s="14" t="s">
        <v>343</v>
      </c>
      <c r="B280" s="14" t="s">
        <v>344</v>
      </c>
      <c r="C280" s="14" t="n">
        <v>2011</v>
      </c>
      <c r="D280" s="14" t="s">
        <v>38</v>
      </c>
      <c r="E280" s="15" t="n">
        <v>6145</v>
      </c>
      <c r="F280" s="16" t="n">
        <v>0.000368116741110715</v>
      </c>
      <c r="G280" s="14" t="s">
        <v>591</v>
      </c>
      <c r="H280" s="14" t="s">
        <v>123</v>
      </c>
      <c r="I280" s="14" t="s">
        <v>124</v>
      </c>
      <c r="J280" s="14" t="s">
        <v>125</v>
      </c>
    </row>
    <row r="281" customFormat="false" ht="15" hidden="false" customHeight="false" outlineLevel="0" collapsed="false">
      <c r="A281" s="14" t="s">
        <v>343</v>
      </c>
      <c r="B281" s="14" t="s">
        <v>344</v>
      </c>
      <c r="C281" s="14" t="n">
        <v>2012</v>
      </c>
      <c r="D281" s="14" t="s">
        <v>38</v>
      </c>
      <c r="E281" s="15" t="n">
        <v>4005</v>
      </c>
      <c r="F281" s="16" t="n">
        <v>0.000239033666563971</v>
      </c>
      <c r="G281" s="14" t="s">
        <v>591</v>
      </c>
      <c r="H281" s="14" t="s">
        <v>123</v>
      </c>
      <c r="I281" s="14" t="s">
        <v>124</v>
      </c>
      <c r="J281" s="14" t="s">
        <v>125</v>
      </c>
    </row>
    <row r="282" customFormat="false" ht="15" hidden="false" customHeight="false" outlineLevel="0" collapsed="false">
      <c r="A282" s="14" t="s">
        <v>343</v>
      </c>
      <c r="B282" s="14" t="s">
        <v>344</v>
      </c>
      <c r="C282" s="14" t="n">
        <v>2013</v>
      </c>
      <c r="D282" s="14" t="s">
        <v>38</v>
      </c>
      <c r="E282" s="15" t="n">
        <v>2715</v>
      </c>
      <c r="F282" s="16" t="n">
        <v>0.000161564520597899</v>
      </c>
      <c r="G282" s="14" t="s">
        <v>591</v>
      </c>
      <c r="H282" s="14" t="s">
        <v>123</v>
      </c>
      <c r="I282" s="14" t="s">
        <v>124</v>
      </c>
      <c r="J282" s="14" t="s">
        <v>125</v>
      </c>
    </row>
    <row r="283" customFormat="false" ht="15" hidden="false" customHeight="false" outlineLevel="0" collapsed="false">
      <c r="A283" s="14" t="s">
        <v>343</v>
      </c>
      <c r="B283" s="14" t="s">
        <v>344</v>
      </c>
      <c r="C283" s="14" t="n">
        <v>2014</v>
      </c>
      <c r="D283" s="14" t="s">
        <v>38</v>
      </c>
      <c r="E283" s="15" t="n">
        <v>2645</v>
      </c>
      <c r="F283" s="16" t="n">
        <v>0.000156833604822482</v>
      </c>
      <c r="G283" s="14" t="s">
        <v>591</v>
      </c>
      <c r="H283" s="14" t="s">
        <v>123</v>
      </c>
      <c r="I283" s="14" t="s">
        <v>124</v>
      </c>
      <c r="J283" s="14" t="s">
        <v>125</v>
      </c>
    </row>
    <row r="284" customFormat="false" ht="15" hidden="false" customHeight="false" outlineLevel="0" collapsed="false">
      <c r="A284" s="14" t="s">
        <v>343</v>
      </c>
      <c r="B284" s="14" t="s">
        <v>344</v>
      </c>
      <c r="C284" s="14" t="n">
        <v>2015</v>
      </c>
      <c r="D284" s="14" t="s">
        <v>38</v>
      </c>
      <c r="E284" s="15" t="n">
        <v>3150</v>
      </c>
      <c r="F284" s="16" t="n">
        <v>0.000185951258456134</v>
      </c>
      <c r="G284" s="14" t="s">
        <v>591</v>
      </c>
      <c r="H284" s="14" t="s">
        <v>123</v>
      </c>
      <c r="I284" s="14" t="s">
        <v>124</v>
      </c>
      <c r="J284" s="14" t="s">
        <v>125</v>
      </c>
    </row>
    <row r="285" customFormat="false" ht="15" hidden="false" customHeight="false" outlineLevel="0" collapsed="false">
      <c r="A285" s="14" t="s">
        <v>343</v>
      </c>
      <c r="B285" s="14" t="s">
        <v>344</v>
      </c>
      <c r="C285" s="14" t="n">
        <v>2016</v>
      </c>
      <c r="D285" s="14" t="s">
        <v>38</v>
      </c>
      <c r="E285" s="15" t="n">
        <v>2760</v>
      </c>
      <c r="F285" s="16" t="n">
        <v>0.000162063952549554</v>
      </c>
      <c r="G285" s="14" t="s">
        <v>591</v>
      </c>
      <c r="H285" s="14" t="s">
        <v>123</v>
      </c>
      <c r="I285" s="14" t="s">
        <v>124</v>
      </c>
      <c r="J285" s="14" t="s">
        <v>125</v>
      </c>
    </row>
    <row r="286" customFormat="false" ht="15" hidden="false" customHeight="false" outlineLevel="0" collapsed="false">
      <c r="A286" s="14" t="s">
        <v>343</v>
      </c>
      <c r="B286" s="14" t="s">
        <v>344</v>
      </c>
      <c r="C286" s="14" t="n">
        <v>2017</v>
      </c>
      <c r="D286" s="14" t="s">
        <v>38</v>
      </c>
      <c r="E286" s="15" t="n">
        <v>2120</v>
      </c>
      <c r="F286" s="16" t="n">
        <v>0.000123750123750124</v>
      </c>
      <c r="G286" s="14" t="s">
        <v>591</v>
      </c>
      <c r="H286" s="14" t="s">
        <v>123</v>
      </c>
      <c r="I286" s="14" t="s">
        <v>124</v>
      </c>
      <c r="J286" s="14" t="s">
        <v>125</v>
      </c>
    </row>
    <row r="287" customFormat="false" ht="15" hidden="false" customHeight="false" outlineLevel="0" collapsed="false">
      <c r="A287" s="14" t="s">
        <v>343</v>
      </c>
      <c r="B287" s="14" t="s">
        <v>344</v>
      </c>
      <c r="C287" s="14" t="n">
        <v>2018</v>
      </c>
      <c r="D287" s="14" t="s">
        <v>38</v>
      </c>
      <c r="E287" s="15" t="n">
        <v>2790</v>
      </c>
      <c r="F287" s="16" t="n">
        <v>0.000161911610884732</v>
      </c>
      <c r="G287" s="14" t="s">
        <v>591</v>
      </c>
      <c r="H287" s="14" t="s">
        <v>123</v>
      </c>
      <c r="I287" s="14" t="s">
        <v>124</v>
      </c>
      <c r="J287" s="14" t="s">
        <v>125</v>
      </c>
    </row>
    <row r="288" customFormat="false" ht="15" hidden="false" customHeight="false" outlineLevel="0" collapsed="false">
      <c r="A288" s="14" t="s">
        <v>343</v>
      </c>
      <c r="B288" s="14" t="s">
        <v>344</v>
      </c>
      <c r="C288" s="14" t="n">
        <v>2019</v>
      </c>
      <c r="D288" s="14" t="s">
        <v>38</v>
      </c>
      <c r="E288" s="15" t="n">
        <v>3565</v>
      </c>
      <c r="F288" s="16" t="n">
        <v>0.000205536229320547</v>
      </c>
      <c r="G288" s="14" t="s">
        <v>591</v>
      </c>
      <c r="H288" s="14" t="s">
        <v>123</v>
      </c>
      <c r="I288" s="14" t="s">
        <v>124</v>
      </c>
      <c r="J288" s="14" t="s">
        <v>125</v>
      </c>
    </row>
    <row r="289" customFormat="false" ht="15" hidden="false" customHeight="false" outlineLevel="0" collapsed="false">
      <c r="A289" s="14" t="s">
        <v>343</v>
      </c>
      <c r="B289" s="14" t="s">
        <v>344</v>
      </c>
      <c r="C289" s="14" t="n">
        <v>2020</v>
      </c>
      <c r="D289" s="14" t="s">
        <v>38</v>
      </c>
      <c r="E289" s="15" t="n">
        <v>3640</v>
      </c>
      <c r="F289" s="16" t="n">
        <v>0.000208697646418026</v>
      </c>
      <c r="G289" s="14" t="s">
        <v>591</v>
      </c>
      <c r="H289" s="14" t="s">
        <v>123</v>
      </c>
      <c r="I289" s="14" t="s">
        <v>124</v>
      </c>
      <c r="J289" s="14" t="s">
        <v>125</v>
      </c>
    </row>
    <row r="290" customFormat="false" ht="15" hidden="false" customHeight="false" outlineLevel="0" collapsed="false">
      <c r="A290" s="14" t="s">
        <v>343</v>
      </c>
      <c r="B290" s="14" t="s">
        <v>344</v>
      </c>
      <c r="C290" s="14" t="n">
        <v>2021</v>
      </c>
      <c r="D290" s="14" t="s">
        <v>38</v>
      </c>
      <c r="E290" s="15" t="n">
        <v>5010</v>
      </c>
      <c r="F290" s="16" t="n">
        <v>0.000285746160221808</v>
      </c>
      <c r="G290" s="14" t="s">
        <v>591</v>
      </c>
      <c r="H290" s="14" t="s">
        <v>123</v>
      </c>
      <c r="I290" s="14" t="s">
        <v>124</v>
      </c>
      <c r="J290" s="14" t="s">
        <v>125</v>
      </c>
    </row>
    <row r="291" customFormat="false" ht="15" hidden="false" customHeight="false" outlineLevel="0" collapsed="false">
      <c r="A291" s="14" t="s">
        <v>343</v>
      </c>
      <c r="B291" s="14" t="s">
        <v>344</v>
      </c>
      <c r="C291" s="14" t="n">
        <v>2022</v>
      </c>
      <c r="D291" s="14" t="s">
        <v>38</v>
      </c>
      <c r="E291" s="15" t="n">
        <v>5475</v>
      </c>
      <c r="F291" s="16" t="n">
        <v>0.000309304873594019</v>
      </c>
      <c r="G291" s="14" t="s">
        <v>591</v>
      </c>
      <c r="H291" s="14" t="s">
        <v>123</v>
      </c>
      <c r="I291" s="14" t="s">
        <v>124</v>
      </c>
      <c r="J291" s="14" t="s">
        <v>125</v>
      </c>
    </row>
    <row r="292" customFormat="false" ht="15" hidden="false" customHeight="false" outlineLevel="0" collapsed="false">
      <c r="A292" s="14" t="s">
        <v>343</v>
      </c>
      <c r="B292" s="14" t="s">
        <v>344</v>
      </c>
      <c r="C292" s="14" t="n">
        <v>2017</v>
      </c>
      <c r="D292" s="14" t="s">
        <v>30</v>
      </c>
      <c r="E292" s="15" t="n">
        <v>40500</v>
      </c>
      <c r="F292" s="16" t="n">
        <v>0.00236409434522642</v>
      </c>
      <c r="G292" s="14" t="s">
        <v>591</v>
      </c>
      <c r="H292" s="14" t="s">
        <v>349</v>
      </c>
      <c r="I292" s="14" t="s">
        <v>350</v>
      </c>
      <c r="J292" s="14" t="s">
        <v>351</v>
      </c>
    </row>
    <row r="293" customFormat="false" ht="15" hidden="false" customHeight="false" outlineLevel="0" collapsed="false">
      <c r="A293" s="14" t="s">
        <v>343</v>
      </c>
      <c r="B293" s="14" t="s">
        <v>344</v>
      </c>
      <c r="C293" s="14" t="n">
        <v>2018</v>
      </c>
      <c r="D293" s="14" t="s">
        <v>30</v>
      </c>
      <c r="E293" s="15" t="n">
        <v>34952</v>
      </c>
      <c r="F293" s="16" t="n">
        <v>0.00202836366438822</v>
      </c>
      <c r="G293" s="14" t="s">
        <v>591</v>
      </c>
      <c r="H293" s="14" t="s">
        <v>352</v>
      </c>
      <c r="I293" s="14" t="s">
        <v>353</v>
      </c>
      <c r="J293" s="14" t="s">
        <v>354</v>
      </c>
    </row>
    <row r="294" customFormat="false" ht="15" hidden="false" customHeight="false" outlineLevel="0" collapsed="false">
      <c r="A294" s="14" t="s">
        <v>343</v>
      </c>
      <c r="B294" s="14" t="s">
        <v>344</v>
      </c>
      <c r="C294" s="14" t="n">
        <v>2019</v>
      </c>
      <c r="D294" s="14" t="s">
        <v>30</v>
      </c>
      <c r="E294" s="15" t="n">
        <v>24124</v>
      </c>
      <c r="F294" s="16" t="n">
        <v>0.00139084319667009</v>
      </c>
      <c r="G294" s="14" t="s">
        <v>591</v>
      </c>
      <c r="H294" s="14" t="s">
        <v>352</v>
      </c>
      <c r="I294" s="14" t="s">
        <v>353</v>
      </c>
      <c r="J294" s="14" t="s">
        <v>355</v>
      </c>
    </row>
    <row r="295" customFormat="false" ht="15" hidden="false" customHeight="false" outlineLevel="0" collapsed="false">
      <c r="A295" s="14" t="s">
        <v>343</v>
      </c>
      <c r="B295" s="14" t="s">
        <v>344</v>
      </c>
      <c r="C295" s="14" t="n">
        <v>2020</v>
      </c>
      <c r="D295" s="14" t="s">
        <v>30</v>
      </c>
      <c r="E295" s="15" t="n">
        <v>24283</v>
      </c>
      <c r="F295" s="16" t="n">
        <v>0.00139225410658487</v>
      </c>
      <c r="G295" s="14" t="s">
        <v>591</v>
      </c>
      <c r="H295" s="14" t="s">
        <v>352</v>
      </c>
      <c r="I295" s="14" t="s">
        <v>353</v>
      </c>
      <c r="J295" s="14" t="s">
        <v>356</v>
      </c>
    </row>
    <row r="296" customFormat="false" ht="15" hidden="false" customHeight="false" outlineLevel="0" collapsed="false">
      <c r="A296" s="14" t="s">
        <v>343</v>
      </c>
      <c r="B296" s="14" t="s">
        <v>344</v>
      </c>
      <c r="C296" s="14" t="n">
        <v>2021</v>
      </c>
      <c r="D296" s="14" t="s">
        <v>30</v>
      </c>
      <c r="E296" s="15" t="n">
        <v>20197</v>
      </c>
      <c r="F296" s="16" t="n">
        <v>0.00115193916127741</v>
      </c>
      <c r="G296" s="14" t="s">
        <v>591</v>
      </c>
      <c r="H296" s="14" t="s">
        <v>352</v>
      </c>
      <c r="I296" s="14" t="s">
        <v>353</v>
      </c>
      <c r="J296" s="14" t="s">
        <v>357</v>
      </c>
    </row>
    <row r="297" customFormat="false" ht="15" hidden="false" customHeight="false" outlineLevel="0" collapsed="false">
      <c r="A297" s="14" t="s">
        <v>343</v>
      </c>
      <c r="B297" s="14" t="s">
        <v>344</v>
      </c>
      <c r="C297" s="14" t="n">
        <v>2022</v>
      </c>
      <c r="D297" s="14" t="s">
        <v>30</v>
      </c>
      <c r="E297" s="15" t="n">
        <v>20065</v>
      </c>
      <c r="F297" s="16" t="n">
        <v>0.00113355292943634</v>
      </c>
      <c r="G297" s="14" t="s">
        <v>591</v>
      </c>
      <c r="H297" s="14" t="s">
        <v>352</v>
      </c>
      <c r="I297" s="14" t="s">
        <v>353</v>
      </c>
      <c r="J297" s="14" t="s">
        <v>358</v>
      </c>
    </row>
    <row r="298" customFormat="false" ht="15" hidden="false" customHeight="false" outlineLevel="0" collapsed="false">
      <c r="A298" s="14" t="s">
        <v>378</v>
      </c>
      <c r="B298" s="14" t="s">
        <v>379</v>
      </c>
      <c r="C298" s="14" t="n">
        <v>2010</v>
      </c>
      <c r="D298" s="14" t="s">
        <v>38</v>
      </c>
      <c r="E298" s="15" t="n">
        <v>2410</v>
      </c>
      <c r="F298" s="16" t="n">
        <v>0.000492917935095184</v>
      </c>
      <c r="G298" s="14" t="s">
        <v>591</v>
      </c>
      <c r="H298" s="14" t="s">
        <v>123</v>
      </c>
      <c r="I298" s="14" t="s">
        <v>124</v>
      </c>
      <c r="J298" s="14" t="s">
        <v>125</v>
      </c>
    </row>
    <row r="299" customFormat="false" ht="15" hidden="false" customHeight="false" outlineLevel="0" collapsed="false">
      <c r="A299" s="14" t="s">
        <v>378</v>
      </c>
      <c r="B299" s="14" t="s">
        <v>379</v>
      </c>
      <c r="C299" s="14" t="n">
        <v>2011</v>
      </c>
      <c r="D299" s="14" t="s">
        <v>38</v>
      </c>
      <c r="E299" s="15" t="n">
        <v>1925</v>
      </c>
      <c r="F299" s="16" t="n">
        <v>0.000388646436324168</v>
      </c>
      <c r="G299" s="14" t="s">
        <v>591</v>
      </c>
      <c r="H299" s="14" t="s">
        <v>123</v>
      </c>
      <c r="I299" s="14" t="s">
        <v>124</v>
      </c>
      <c r="J299" s="14" t="s">
        <v>125</v>
      </c>
    </row>
    <row r="300" customFormat="false" ht="15" hidden="false" customHeight="false" outlineLevel="0" collapsed="false">
      <c r="A300" s="14" t="s">
        <v>378</v>
      </c>
      <c r="B300" s="14" t="s">
        <v>379</v>
      </c>
      <c r="C300" s="14" t="n">
        <v>2012</v>
      </c>
      <c r="D300" s="14" t="s">
        <v>38</v>
      </c>
      <c r="E300" s="15" t="n">
        <v>2760</v>
      </c>
      <c r="F300" s="16" t="n">
        <v>0.000549957129247697</v>
      </c>
      <c r="G300" s="14" t="s">
        <v>591</v>
      </c>
      <c r="H300" s="14" t="s">
        <v>123</v>
      </c>
      <c r="I300" s="14" t="s">
        <v>124</v>
      </c>
      <c r="J300" s="14" t="s">
        <v>125</v>
      </c>
    </row>
    <row r="301" customFormat="false" ht="15" hidden="false" customHeight="false" outlineLevel="0" collapsed="false">
      <c r="A301" s="14" t="s">
        <v>378</v>
      </c>
      <c r="B301" s="14" t="s">
        <v>379</v>
      </c>
      <c r="C301" s="14" t="n">
        <v>2013</v>
      </c>
      <c r="D301" s="14" t="s">
        <v>38</v>
      </c>
      <c r="E301" s="15" t="n">
        <v>3180</v>
      </c>
      <c r="F301" s="16" t="n">
        <v>0.000626030711334286</v>
      </c>
      <c r="G301" s="14" t="s">
        <v>591</v>
      </c>
      <c r="H301" s="14" t="s">
        <v>123</v>
      </c>
      <c r="I301" s="14" t="s">
        <v>124</v>
      </c>
      <c r="J301" s="14" t="s">
        <v>125</v>
      </c>
    </row>
    <row r="302" customFormat="false" ht="15" hidden="false" customHeight="false" outlineLevel="0" collapsed="false">
      <c r="A302" s="14" t="s">
        <v>378</v>
      </c>
      <c r="B302" s="14" t="s">
        <v>379</v>
      </c>
      <c r="C302" s="14" t="n">
        <v>2014</v>
      </c>
      <c r="D302" s="14" t="s">
        <v>38</v>
      </c>
      <c r="E302" s="15" t="n">
        <v>3720</v>
      </c>
      <c r="F302" s="16" t="n">
        <v>0.000724125365566515</v>
      </c>
      <c r="G302" s="14" t="s">
        <v>591</v>
      </c>
      <c r="H302" s="14" t="s">
        <v>123</v>
      </c>
      <c r="I302" s="14" t="s">
        <v>124</v>
      </c>
      <c r="J302" s="14" t="s">
        <v>125</v>
      </c>
    </row>
    <row r="303" customFormat="false" ht="15" hidden="false" customHeight="false" outlineLevel="0" collapsed="false">
      <c r="A303" s="14" t="s">
        <v>378</v>
      </c>
      <c r="B303" s="14" t="s">
        <v>379</v>
      </c>
      <c r="C303" s="14" t="n">
        <v>2015</v>
      </c>
      <c r="D303" s="14" t="s">
        <v>38</v>
      </c>
      <c r="E303" s="15" t="n">
        <v>5455</v>
      </c>
      <c r="F303" s="16" t="n">
        <v>0.00105134191122974</v>
      </c>
      <c r="G303" s="14" t="s">
        <v>591</v>
      </c>
      <c r="H303" s="14" t="s">
        <v>123</v>
      </c>
      <c r="I303" s="14" t="s">
        <v>124</v>
      </c>
      <c r="J303" s="14" t="s">
        <v>125</v>
      </c>
    </row>
    <row r="304" customFormat="false" ht="15" hidden="false" customHeight="false" outlineLevel="0" collapsed="false">
      <c r="A304" s="14" t="s">
        <v>378</v>
      </c>
      <c r="B304" s="14" t="s">
        <v>379</v>
      </c>
      <c r="C304" s="14" t="n">
        <v>2016</v>
      </c>
      <c r="D304" s="14" t="s">
        <v>38</v>
      </c>
      <c r="E304" s="15" t="n">
        <v>5330</v>
      </c>
      <c r="F304" s="16" t="n">
        <v>0.00101824064446036</v>
      </c>
      <c r="G304" s="14" t="s">
        <v>591</v>
      </c>
      <c r="H304" s="14" t="s">
        <v>123</v>
      </c>
      <c r="I304" s="14" t="s">
        <v>124</v>
      </c>
      <c r="J304" s="14" t="s">
        <v>125</v>
      </c>
    </row>
    <row r="305" customFormat="false" ht="15" hidden="false" customHeight="false" outlineLevel="0" collapsed="false">
      <c r="A305" s="14" t="s">
        <v>378</v>
      </c>
      <c r="B305" s="14" t="s">
        <v>379</v>
      </c>
      <c r="C305" s="14" t="n">
        <v>2017</v>
      </c>
      <c r="D305" s="14" t="s">
        <v>38</v>
      </c>
      <c r="E305" s="15" t="n">
        <v>3850</v>
      </c>
      <c r="F305" s="16" t="n">
        <v>0.000729585625685053</v>
      </c>
      <c r="G305" s="14" t="s">
        <v>591</v>
      </c>
      <c r="H305" s="14" t="s">
        <v>123</v>
      </c>
      <c r="I305" s="14" t="s">
        <v>124</v>
      </c>
      <c r="J305" s="14" t="s">
        <v>125</v>
      </c>
    </row>
    <row r="306" customFormat="false" ht="15" hidden="false" customHeight="false" outlineLevel="0" collapsed="false">
      <c r="A306" s="14" t="s">
        <v>378</v>
      </c>
      <c r="B306" s="14" t="s">
        <v>379</v>
      </c>
      <c r="C306" s="14" t="n">
        <v>2018</v>
      </c>
      <c r="D306" s="14" t="s">
        <v>38</v>
      </c>
      <c r="E306" s="15" t="n">
        <v>3230</v>
      </c>
      <c r="F306" s="16" t="n">
        <v>0.000608066844430522</v>
      </c>
      <c r="G306" s="14" t="s">
        <v>591</v>
      </c>
      <c r="H306" s="14" t="s">
        <v>123</v>
      </c>
      <c r="I306" s="14" t="s">
        <v>124</v>
      </c>
      <c r="J306" s="14" t="s">
        <v>125</v>
      </c>
    </row>
    <row r="307" customFormat="false" ht="15" hidden="false" customHeight="false" outlineLevel="0" collapsed="false">
      <c r="A307" s="14" t="s">
        <v>378</v>
      </c>
      <c r="B307" s="14" t="s">
        <v>379</v>
      </c>
      <c r="C307" s="14" t="n">
        <v>2019</v>
      </c>
      <c r="D307" s="14" t="s">
        <v>38</v>
      </c>
      <c r="E307" s="15" t="n">
        <v>2915</v>
      </c>
      <c r="F307" s="16" t="n">
        <v>0.000545074174965257</v>
      </c>
      <c r="G307" s="14" t="s">
        <v>591</v>
      </c>
      <c r="H307" s="14" t="s">
        <v>123</v>
      </c>
      <c r="I307" s="14" t="s">
        <v>124</v>
      </c>
      <c r="J307" s="14" t="s">
        <v>125</v>
      </c>
    </row>
    <row r="308" customFormat="false" ht="15" hidden="false" customHeight="false" outlineLevel="0" collapsed="false">
      <c r="A308" s="14" t="s">
        <v>378</v>
      </c>
      <c r="B308" s="14" t="s">
        <v>379</v>
      </c>
      <c r="C308" s="14" t="n">
        <v>2020</v>
      </c>
      <c r="D308" s="14" t="s">
        <v>38</v>
      </c>
      <c r="E308" s="15" t="n">
        <v>1900</v>
      </c>
      <c r="F308" s="16" t="n">
        <v>0.000353194317289327</v>
      </c>
      <c r="G308" s="14" t="s">
        <v>591</v>
      </c>
      <c r="H308" s="14" t="s">
        <v>123</v>
      </c>
      <c r="I308" s="14" t="s">
        <v>124</v>
      </c>
      <c r="J308" s="14" t="s">
        <v>125</v>
      </c>
    </row>
    <row r="309" customFormat="false" ht="15" hidden="false" customHeight="false" outlineLevel="0" collapsed="false">
      <c r="A309" s="14" t="s">
        <v>378</v>
      </c>
      <c r="B309" s="14" t="s">
        <v>379</v>
      </c>
      <c r="C309" s="14" t="n">
        <v>2021</v>
      </c>
      <c r="D309" s="14" t="s">
        <v>38</v>
      </c>
      <c r="E309" s="15" t="n">
        <v>1430</v>
      </c>
      <c r="F309" s="16" t="n">
        <v>0.000264407431512928</v>
      </c>
      <c r="G309" s="14" t="s">
        <v>591</v>
      </c>
      <c r="H309" s="14" t="s">
        <v>123</v>
      </c>
      <c r="I309" s="14" t="s">
        <v>124</v>
      </c>
      <c r="J309" s="14" t="s">
        <v>125</v>
      </c>
    </row>
    <row r="310" customFormat="false" ht="15" hidden="false" customHeight="false" outlineLevel="0" collapsed="false">
      <c r="A310" s="14" t="s">
        <v>378</v>
      </c>
      <c r="B310" s="14" t="s">
        <v>379</v>
      </c>
      <c r="C310" s="14" t="n">
        <v>2022</v>
      </c>
      <c r="D310" s="14" t="s">
        <v>38</v>
      </c>
      <c r="E310" s="15" t="n">
        <v>2305</v>
      </c>
      <c r="F310" s="16" t="n">
        <v>0.000422383426297391</v>
      </c>
      <c r="G310" s="14" t="s">
        <v>591</v>
      </c>
      <c r="H310" s="14" t="s">
        <v>123</v>
      </c>
      <c r="I310" s="14" t="s">
        <v>124</v>
      </c>
      <c r="J310" s="14" t="s">
        <v>125</v>
      </c>
    </row>
    <row r="311" customFormat="false" ht="15" hidden="false" customHeight="false" outlineLevel="0" collapsed="false">
      <c r="A311" s="14" t="s">
        <v>359</v>
      </c>
      <c r="B311" s="14" t="s">
        <v>360</v>
      </c>
      <c r="C311" s="14" t="n">
        <v>2010</v>
      </c>
      <c r="D311" s="14" t="s">
        <v>34</v>
      </c>
      <c r="E311" s="15" t="n">
        <v>15614</v>
      </c>
      <c r="F311" s="16" t="n">
        <v>0.00358884777162296</v>
      </c>
      <c r="G311" s="14" t="s">
        <v>591</v>
      </c>
      <c r="H311" s="14" t="s">
        <v>365</v>
      </c>
      <c r="I311" s="14" t="s">
        <v>366</v>
      </c>
      <c r="J311" s="14" t="s">
        <v>367</v>
      </c>
    </row>
    <row r="312" customFormat="false" ht="15" hidden="false" customHeight="false" outlineLevel="0" collapsed="false">
      <c r="A312" s="14" t="s">
        <v>359</v>
      </c>
      <c r="B312" s="14" t="s">
        <v>360</v>
      </c>
      <c r="C312" s="14" t="n">
        <v>2011</v>
      </c>
      <c r="D312" s="14" t="s">
        <v>34</v>
      </c>
      <c r="E312" s="15" t="n">
        <v>15030</v>
      </c>
      <c r="F312" s="16" t="n">
        <v>0.00342837591240876</v>
      </c>
      <c r="G312" s="14" t="s">
        <v>591</v>
      </c>
      <c r="H312" s="14" t="s">
        <v>365</v>
      </c>
      <c r="I312" s="14" t="s">
        <v>366</v>
      </c>
      <c r="J312" s="14" t="s">
        <v>368</v>
      </c>
    </row>
    <row r="313" customFormat="false" ht="15" hidden="false" customHeight="false" outlineLevel="0" collapsed="false">
      <c r="A313" s="14" t="s">
        <v>359</v>
      </c>
      <c r="B313" s="14" t="s">
        <v>360</v>
      </c>
      <c r="C313" s="14" t="n">
        <v>2012</v>
      </c>
      <c r="D313" s="14" t="s">
        <v>34</v>
      </c>
      <c r="E313" s="15" t="n">
        <v>14044</v>
      </c>
      <c r="F313" s="16" t="n">
        <v>0.00318595313173476</v>
      </c>
      <c r="G313" s="14" t="s">
        <v>591</v>
      </c>
      <c r="H313" s="14" t="s">
        <v>365</v>
      </c>
      <c r="I313" s="14" t="s">
        <v>366</v>
      </c>
      <c r="J313" s="14" t="s">
        <v>369</v>
      </c>
    </row>
    <row r="314" customFormat="false" ht="15" hidden="false" customHeight="false" outlineLevel="0" collapsed="false">
      <c r="A314" s="14" t="s">
        <v>359</v>
      </c>
      <c r="B314" s="14" t="s">
        <v>360</v>
      </c>
      <c r="C314" s="14" t="n">
        <v>2013</v>
      </c>
      <c r="D314" s="14" t="s">
        <v>34</v>
      </c>
      <c r="E314" s="15" t="n">
        <v>13151</v>
      </c>
      <c r="F314" s="16" t="n">
        <v>0.00296053668310034</v>
      </c>
      <c r="G314" s="14" t="s">
        <v>591</v>
      </c>
      <c r="H314" s="14" t="s">
        <v>365</v>
      </c>
      <c r="I314" s="14" t="s">
        <v>366</v>
      </c>
      <c r="J314" s="14" t="s">
        <v>372</v>
      </c>
    </row>
    <row r="315" customFormat="false" ht="15" hidden="false" customHeight="false" outlineLevel="0" collapsed="false">
      <c r="A315" s="14" t="s">
        <v>359</v>
      </c>
      <c r="B315" s="14" t="s">
        <v>360</v>
      </c>
      <c r="C315" s="14" t="n">
        <v>2014</v>
      </c>
      <c r="D315" s="14" t="s">
        <v>34</v>
      </c>
      <c r="E315" s="15" t="n">
        <v>12162</v>
      </c>
      <c r="F315" s="16" t="n">
        <v>0.00269279309199602</v>
      </c>
      <c r="G315" s="14" t="s">
        <v>591</v>
      </c>
      <c r="H315" s="14" t="s">
        <v>365</v>
      </c>
      <c r="I315" s="14" t="s">
        <v>366</v>
      </c>
      <c r="J315" s="14" t="s">
        <v>373</v>
      </c>
    </row>
    <row r="316" customFormat="false" ht="15" hidden="false" customHeight="false" outlineLevel="0" collapsed="false">
      <c r="A316" s="14" t="s">
        <v>359</v>
      </c>
      <c r="B316" s="14" t="s">
        <v>360</v>
      </c>
      <c r="C316" s="14" t="n">
        <v>2016</v>
      </c>
      <c r="D316" s="14" t="s">
        <v>34</v>
      </c>
      <c r="E316" s="15" t="n">
        <v>10894</v>
      </c>
      <c r="F316" s="16" t="n">
        <v>0.00231093952185995</v>
      </c>
      <c r="G316" s="14" t="s">
        <v>591</v>
      </c>
      <c r="H316" s="14" t="s">
        <v>365</v>
      </c>
      <c r="I316" s="14" t="s">
        <v>366</v>
      </c>
      <c r="J316" s="14" t="s">
        <v>374</v>
      </c>
    </row>
    <row r="317" customFormat="false" ht="15" hidden="false" customHeight="false" outlineLevel="0" collapsed="false">
      <c r="A317" s="14" t="s">
        <v>359</v>
      </c>
      <c r="B317" s="14" t="s">
        <v>360</v>
      </c>
      <c r="C317" s="14" t="n">
        <v>2017</v>
      </c>
      <c r="D317" s="14" t="s">
        <v>34</v>
      </c>
      <c r="E317" s="15" t="n">
        <v>14000</v>
      </c>
      <c r="F317" s="16" t="n">
        <v>0.0029084261259764</v>
      </c>
      <c r="G317" s="14" t="s">
        <v>591</v>
      </c>
      <c r="H317" s="14" t="s">
        <v>375</v>
      </c>
      <c r="I317" s="14" t="s">
        <v>376</v>
      </c>
      <c r="J317" s="14" t="s">
        <v>377</v>
      </c>
    </row>
    <row r="318" customFormat="false" ht="15" hidden="false" customHeight="false" outlineLevel="0" collapsed="false">
      <c r="A318" s="14" t="s">
        <v>394</v>
      </c>
      <c r="B318" s="14" t="s">
        <v>395</v>
      </c>
      <c r="C318" s="14" t="n">
        <v>2010</v>
      </c>
      <c r="D318" s="14" t="s">
        <v>38</v>
      </c>
      <c r="E318" s="15" t="n">
        <v>4005</v>
      </c>
      <c r="F318" s="16" t="n">
        <v>0.000105276179241725</v>
      </c>
      <c r="G318" s="14" t="s">
        <v>591</v>
      </c>
      <c r="H318" s="14" t="s">
        <v>123</v>
      </c>
      <c r="I318" s="14" t="s">
        <v>124</v>
      </c>
      <c r="J318" s="14" t="s">
        <v>125</v>
      </c>
    </row>
    <row r="319" customFormat="false" ht="15" hidden="false" customHeight="false" outlineLevel="0" collapsed="false">
      <c r="A319" s="14" t="s">
        <v>394</v>
      </c>
      <c r="B319" s="14" t="s">
        <v>395</v>
      </c>
      <c r="C319" s="14" t="n">
        <v>2011</v>
      </c>
      <c r="D319" s="14" t="s">
        <v>38</v>
      </c>
      <c r="E319" s="15" t="n">
        <v>6875</v>
      </c>
      <c r="F319" s="16" t="n">
        <v>0.000180620390978123</v>
      </c>
      <c r="G319" s="14" t="s">
        <v>591</v>
      </c>
      <c r="H319" s="14" t="s">
        <v>123</v>
      </c>
      <c r="I319" s="14" t="s">
        <v>124</v>
      </c>
      <c r="J319" s="14" t="s">
        <v>125</v>
      </c>
    </row>
    <row r="320" customFormat="false" ht="15" hidden="false" customHeight="false" outlineLevel="0" collapsed="false">
      <c r="A320" s="14" t="s">
        <v>394</v>
      </c>
      <c r="B320" s="14" t="s">
        <v>395</v>
      </c>
      <c r="C320" s="14" t="n">
        <v>2012</v>
      </c>
      <c r="D320" s="14" t="s">
        <v>38</v>
      </c>
      <c r="E320" s="15" t="n">
        <v>8140</v>
      </c>
      <c r="F320" s="16" t="n">
        <v>0.000213855054193603</v>
      </c>
      <c r="G320" s="14" t="s">
        <v>591</v>
      </c>
      <c r="H320" s="14" t="s">
        <v>123</v>
      </c>
      <c r="I320" s="14" t="s">
        <v>124</v>
      </c>
      <c r="J320" s="14" t="s">
        <v>125</v>
      </c>
    </row>
    <row r="321" customFormat="false" ht="15" hidden="false" customHeight="false" outlineLevel="0" collapsed="false">
      <c r="A321" s="14" t="s">
        <v>394</v>
      </c>
      <c r="B321" s="14" t="s">
        <v>395</v>
      </c>
      <c r="C321" s="14" t="n">
        <v>2013</v>
      </c>
      <c r="D321" s="14" t="s">
        <v>38</v>
      </c>
      <c r="E321" s="15" t="n">
        <v>9280</v>
      </c>
      <c r="F321" s="16" t="n">
        <v>0.000243952475954646</v>
      </c>
      <c r="G321" s="14" t="s">
        <v>591</v>
      </c>
      <c r="H321" s="14" t="s">
        <v>123</v>
      </c>
      <c r="I321" s="14" t="s">
        <v>124</v>
      </c>
      <c r="J321" s="14" t="s">
        <v>125</v>
      </c>
    </row>
    <row r="322" customFormat="false" ht="15" hidden="false" customHeight="false" outlineLevel="0" collapsed="false">
      <c r="A322" s="14" t="s">
        <v>394</v>
      </c>
      <c r="B322" s="14" t="s">
        <v>395</v>
      </c>
      <c r="C322" s="14" t="n">
        <v>2014</v>
      </c>
      <c r="D322" s="14" t="s">
        <v>38</v>
      </c>
      <c r="E322" s="15" t="n">
        <v>12050</v>
      </c>
      <c r="F322" s="16" t="n">
        <v>0.000317007366277809</v>
      </c>
      <c r="G322" s="14" t="s">
        <v>591</v>
      </c>
      <c r="H322" s="14" t="s">
        <v>123</v>
      </c>
      <c r="I322" s="14" t="s">
        <v>124</v>
      </c>
      <c r="J322" s="14" t="s">
        <v>125</v>
      </c>
    </row>
    <row r="323" customFormat="false" ht="15" hidden="false" customHeight="false" outlineLevel="0" collapsed="false">
      <c r="A323" s="14" t="s">
        <v>394</v>
      </c>
      <c r="B323" s="14" t="s">
        <v>395</v>
      </c>
      <c r="C323" s="14" t="n">
        <v>2015</v>
      </c>
      <c r="D323" s="14" t="s">
        <v>38</v>
      </c>
      <c r="E323" s="15" t="n">
        <v>16835</v>
      </c>
      <c r="F323" s="16" t="n">
        <v>0.000443184789339936</v>
      </c>
      <c r="G323" s="14" t="s">
        <v>591</v>
      </c>
      <c r="H323" s="14" t="s">
        <v>123</v>
      </c>
      <c r="I323" s="14" t="s">
        <v>124</v>
      </c>
      <c r="J323" s="14" t="s">
        <v>125</v>
      </c>
    </row>
    <row r="324" customFormat="false" ht="15" hidden="false" customHeight="false" outlineLevel="0" collapsed="false">
      <c r="A324" s="14" t="s">
        <v>394</v>
      </c>
      <c r="B324" s="14" t="s">
        <v>395</v>
      </c>
      <c r="C324" s="14" t="n">
        <v>2016</v>
      </c>
      <c r="D324" s="14" t="s">
        <v>38</v>
      </c>
      <c r="E324" s="15" t="n">
        <v>23375</v>
      </c>
      <c r="F324" s="16" t="n">
        <v>0.000615616182285808</v>
      </c>
      <c r="G324" s="14" t="s">
        <v>591</v>
      </c>
      <c r="H324" s="14" t="s">
        <v>123</v>
      </c>
      <c r="I324" s="14" t="s">
        <v>124</v>
      </c>
      <c r="J324" s="14" t="s">
        <v>125</v>
      </c>
    </row>
    <row r="325" customFormat="false" ht="15" hidden="false" customHeight="false" outlineLevel="0" collapsed="false">
      <c r="A325" s="14" t="s">
        <v>394</v>
      </c>
      <c r="B325" s="14" t="s">
        <v>395</v>
      </c>
      <c r="C325" s="14" t="n">
        <v>2017</v>
      </c>
      <c r="D325" s="14" t="s">
        <v>38</v>
      </c>
      <c r="E325" s="15" t="n">
        <v>28470</v>
      </c>
      <c r="F325" s="16" t="n">
        <v>0.000749707187598437</v>
      </c>
      <c r="G325" s="14" t="s">
        <v>591</v>
      </c>
      <c r="H325" s="14" t="s">
        <v>123</v>
      </c>
      <c r="I325" s="14" t="s">
        <v>124</v>
      </c>
      <c r="J325" s="14" t="s">
        <v>125</v>
      </c>
    </row>
    <row r="326" customFormat="false" ht="15" hidden="false" customHeight="false" outlineLevel="0" collapsed="false">
      <c r="A326" s="14" t="s">
        <v>394</v>
      </c>
      <c r="B326" s="14" t="s">
        <v>395</v>
      </c>
      <c r="C326" s="14" t="n">
        <v>2018</v>
      </c>
      <c r="D326" s="14" t="s">
        <v>38</v>
      </c>
      <c r="E326" s="15" t="n">
        <v>31245</v>
      </c>
      <c r="F326" s="16" t="n">
        <v>0.00082278356012877</v>
      </c>
      <c r="G326" s="14" t="s">
        <v>591</v>
      </c>
      <c r="H326" s="14" t="s">
        <v>123</v>
      </c>
      <c r="I326" s="14" t="s">
        <v>124</v>
      </c>
      <c r="J326" s="14" t="s">
        <v>125</v>
      </c>
    </row>
    <row r="327" customFormat="false" ht="15" hidden="false" customHeight="false" outlineLevel="0" collapsed="false">
      <c r="A327" s="14" t="s">
        <v>394</v>
      </c>
      <c r="B327" s="14" t="s">
        <v>395</v>
      </c>
      <c r="C327" s="14" t="n">
        <v>2019</v>
      </c>
      <c r="D327" s="14" t="s">
        <v>38</v>
      </c>
      <c r="E327" s="15" t="n">
        <v>30900</v>
      </c>
      <c r="F327" s="16" t="n">
        <v>0.000813897363328129</v>
      </c>
      <c r="G327" s="14" t="s">
        <v>591</v>
      </c>
      <c r="H327" s="14" t="s">
        <v>123</v>
      </c>
      <c r="I327" s="14" t="s">
        <v>124</v>
      </c>
      <c r="J327" s="14" t="s">
        <v>125</v>
      </c>
    </row>
    <row r="328" customFormat="false" ht="15" hidden="false" customHeight="false" outlineLevel="0" collapsed="false">
      <c r="A328" s="14" t="s">
        <v>394</v>
      </c>
      <c r="B328" s="14" t="s">
        <v>395</v>
      </c>
      <c r="C328" s="14" t="n">
        <v>2020</v>
      </c>
      <c r="D328" s="14" t="s">
        <v>38</v>
      </c>
      <c r="E328" s="15" t="n">
        <v>12170</v>
      </c>
      <c r="F328" s="16" t="n">
        <v>0.000324397103850895</v>
      </c>
      <c r="G328" s="14" t="s">
        <v>591</v>
      </c>
      <c r="H328" s="14" t="s">
        <v>123</v>
      </c>
      <c r="I328" s="14" t="s">
        <v>124</v>
      </c>
      <c r="J328" s="14" t="s">
        <v>125</v>
      </c>
    </row>
    <row r="329" customFormat="false" ht="15" hidden="false" customHeight="false" outlineLevel="0" collapsed="false">
      <c r="A329" s="14" t="s">
        <v>394</v>
      </c>
      <c r="B329" s="14" t="s">
        <v>395</v>
      </c>
      <c r="C329" s="14" t="n">
        <v>2021</v>
      </c>
      <c r="D329" s="14" t="s">
        <v>38</v>
      </c>
      <c r="E329" s="15" t="n">
        <v>12795</v>
      </c>
      <c r="F329" s="16" t="n">
        <v>0.000345983250733156</v>
      </c>
      <c r="G329" s="14" t="s">
        <v>591</v>
      </c>
      <c r="H329" s="14" t="s">
        <v>123</v>
      </c>
      <c r="I329" s="14" t="s">
        <v>124</v>
      </c>
      <c r="J329" s="14" t="s">
        <v>125</v>
      </c>
    </row>
    <row r="330" customFormat="false" ht="15" hidden="false" customHeight="false" outlineLevel="0" collapsed="false">
      <c r="A330" s="14" t="s">
        <v>394</v>
      </c>
      <c r="B330" s="14" t="s">
        <v>395</v>
      </c>
      <c r="C330" s="14" t="n">
        <v>2022</v>
      </c>
      <c r="D330" s="14" t="s">
        <v>38</v>
      </c>
      <c r="E330" s="15" t="n">
        <v>10510</v>
      </c>
      <c r="F330" s="16" t="n">
        <v>0.000285429135916385</v>
      </c>
      <c r="G330" s="14" t="s">
        <v>591</v>
      </c>
      <c r="H330" s="14" t="s">
        <v>123</v>
      </c>
      <c r="I330" s="14" t="s">
        <v>124</v>
      </c>
      <c r="J330" s="14" t="s">
        <v>125</v>
      </c>
    </row>
    <row r="331" customFormat="false" ht="15" hidden="false" customHeight="false" outlineLevel="0" collapsed="false">
      <c r="A331" s="14" t="s">
        <v>400</v>
      </c>
      <c r="B331" s="14" t="s">
        <v>401</v>
      </c>
      <c r="C331" s="14" t="n">
        <v>2010</v>
      </c>
      <c r="D331" s="14" t="s">
        <v>38</v>
      </c>
      <c r="E331" s="15" t="n">
        <v>9230</v>
      </c>
      <c r="F331" s="16" t="n">
        <v>0.000872970084459619</v>
      </c>
      <c r="G331" s="14" t="s">
        <v>591</v>
      </c>
      <c r="H331" s="14" t="s">
        <v>123</v>
      </c>
      <c r="I331" s="14" t="s">
        <v>124</v>
      </c>
      <c r="J331" s="14" t="s">
        <v>125</v>
      </c>
    </row>
    <row r="332" customFormat="false" ht="15" hidden="false" customHeight="false" outlineLevel="0" collapsed="false">
      <c r="A332" s="14" t="s">
        <v>400</v>
      </c>
      <c r="B332" s="14" t="s">
        <v>401</v>
      </c>
      <c r="C332" s="14" t="n">
        <v>2011</v>
      </c>
      <c r="D332" s="14" t="s">
        <v>38</v>
      </c>
      <c r="E332" s="15" t="n">
        <v>9110</v>
      </c>
      <c r="F332" s="16" t="n">
        <v>0.000862888773542372</v>
      </c>
      <c r="G332" s="14" t="s">
        <v>591</v>
      </c>
      <c r="H332" s="14" t="s">
        <v>123</v>
      </c>
      <c r="I332" s="14" t="s">
        <v>124</v>
      </c>
      <c r="J332" s="14" t="s">
        <v>125</v>
      </c>
    </row>
    <row r="333" customFormat="false" ht="15" hidden="false" customHeight="false" outlineLevel="0" collapsed="false">
      <c r="A333" s="14" t="s">
        <v>400</v>
      </c>
      <c r="B333" s="14" t="s">
        <v>401</v>
      </c>
      <c r="C333" s="14" t="n">
        <v>2012</v>
      </c>
      <c r="D333" s="14" t="s">
        <v>38</v>
      </c>
      <c r="E333" s="15" t="n">
        <v>5155</v>
      </c>
      <c r="F333" s="16" t="n">
        <v>0.000490259294384206</v>
      </c>
      <c r="G333" s="14" t="s">
        <v>591</v>
      </c>
      <c r="H333" s="14" t="s">
        <v>123</v>
      </c>
      <c r="I333" s="14" t="s">
        <v>124</v>
      </c>
      <c r="J333" s="14" t="s">
        <v>125</v>
      </c>
    </row>
    <row r="334" customFormat="false" ht="15" hidden="false" customHeight="false" outlineLevel="0" collapsed="false">
      <c r="A334" s="14" t="s">
        <v>400</v>
      </c>
      <c r="B334" s="14" t="s">
        <v>401</v>
      </c>
      <c r="C334" s="14" t="n">
        <v>2013</v>
      </c>
      <c r="D334" s="14" t="s">
        <v>38</v>
      </c>
      <c r="E334" s="15" t="n">
        <v>4530</v>
      </c>
      <c r="F334" s="16" t="n">
        <v>0.000433190418745957</v>
      </c>
      <c r="G334" s="14" t="s">
        <v>591</v>
      </c>
      <c r="H334" s="14" t="s">
        <v>123</v>
      </c>
      <c r="I334" s="14" t="s">
        <v>124</v>
      </c>
      <c r="J334" s="14" t="s">
        <v>125</v>
      </c>
    </row>
    <row r="335" customFormat="false" ht="15" hidden="false" customHeight="false" outlineLevel="0" collapsed="false">
      <c r="A335" s="14" t="s">
        <v>400</v>
      </c>
      <c r="B335" s="14" t="s">
        <v>401</v>
      </c>
      <c r="C335" s="14" t="n">
        <v>2014</v>
      </c>
      <c r="D335" s="14" t="s">
        <v>38</v>
      </c>
      <c r="E335" s="15" t="n">
        <v>5145</v>
      </c>
      <c r="F335" s="16" t="n">
        <v>0.000494661025960618</v>
      </c>
      <c r="G335" s="14" t="s">
        <v>591</v>
      </c>
      <c r="H335" s="14" t="s">
        <v>123</v>
      </c>
      <c r="I335" s="14" t="s">
        <v>124</v>
      </c>
      <c r="J335" s="14" t="s">
        <v>125</v>
      </c>
    </row>
    <row r="336" customFormat="false" ht="15" hidden="false" customHeight="false" outlineLevel="0" collapsed="false">
      <c r="A336" s="14" t="s">
        <v>400</v>
      </c>
      <c r="B336" s="14" t="s">
        <v>401</v>
      </c>
      <c r="C336" s="14" t="n">
        <v>2015</v>
      </c>
      <c r="D336" s="14" t="s">
        <v>38</v>
      </c>
      <c r="E336" s="15" t="n">
        <v>6500</v>
      </c>
      <c r="F336" s="16" t="n">
        <v>0.000627529668637303</v>
      </c>
      <c r="G336" s="14" t="s">
        <v>591</v>
      </c>
      <c r="H336" s="14" t="s">
        <v>123</v>
      </c>
      <c r="I336" s="14" t="s">
        <v>124</v>
      </c>
      <c r="J336" s="14" t="s">
        <v>125</v>
      </c>
    </row>
    <row r="337" customFormat="false" ht="15" hidden="false" customHeight="false" outlineLevel="0" collapsed="false">
      <c r="A337" s="14" t="s">
        <v>400</v>
      </c>
      <c r="B337" s="14" t="s">
        <v>401</v>
      </c>
      <c r="C337" s="14" t="n">
        <v>2016</v>
      </c>
      <c r="D337" s="14" t="s">
        <v>38</v>
      </c>
      <c r="E337" s="15" t="n">
        <v>6005</v>
      </c>
      <c r="F337" s="16" t="n">
        <v>0.000581572603310732</v>
      </c>
      <c r="G337" s="14" t="s">
        <v>591</v>
      </c>
      <c r="H337" s="14" t="s">
        <v>123</v>
      </c>
      <c r="I337" s="14" t="s">
        <v>124</v>
      </c>
      <c r="J337" s="14" t="s">
        <v>125</v>
      </c>
    </row>
    <row r="338" customFormat="false" ht="15" hidden="false" customHeight="false" outlineLevel="0" collapsed="false">
      <c r="A338" s="14" t="s">
        <v>400</v>
      </c>
      <c r="B338" s="14" t="s">
        <v>401</v>
      </c>
      <c r="C338" s="14" t="n">
        <v>2017</v>
      </c>
      <c r="D338" s="14" t="s">
        <v>38</v>
      </c>
      <c r="E338" s="15" t="n">
        <v>4760</v>
      </c>
      <c r="F338" s="16" t="n">
        <v>0.00046212246245255</v>
      </c>
      <c r="G338" s="14" t="s">
        <v>591</v>
      </c>
      <c r="H338" s="14" t="s">
        <v>123</v>
      </c>
      <c r="I338" s="14" t="s">
        <v>124</v>
      </c>
      <c r="J338" s="14" t="s">
        <v>125</v>
      </c>
    </row>
    <row r="339" customFormat="false" ht="15" hidden="false" customHeight="false" outlineLevel="0" collapsed="false">
      <c r="A339" s="14" t="s">
        <v>400</v>
      </c>
      <c r="B339" s="14" t="s">
        <v>401</v>
      </c>
      <c r="C339" s="14" t="n">
        <v>2018</v>
      </c>
      <c r="D339" s="14" t="s">
        <v>38</v>
      </c>
      <c r="E339" s="15" t="n">
        <v>5890</v>
      </c>
      <c r="F339" s="16" t="n">
        <v>0.000572744257922784</v>
      </c>
      <c r="G339" s="14" t="s">
        <v>591</v>
      </c>
      <c r="H339" s="14" t="s">
        <v>123</v>
      </c>
      <c r="I339" s="14" t="s">
        <v>124</v>
      </c>
      <c r="J339" s="14" t="s">
        <v>125</v>
      </c>
    </row>
    <row r="340" customFormat="false" ht="15" hidden="false" customHeight="false" outlineLevel="0" collapsed="false">
      <c r="A340" s="14" t="s">
        <v>400</v>
      </c>
      <c r="B340" s="14" t="s">
        <v>401</v>
      </c>
      <c r="C340" s="14" t="n">
        <v>2019</v>
      </c>
      <c r="D340" s="14" t="s">
        <v>38</v>
      </c>
      <c r="E340" s="15" t="n">
        <v>3145</v>
      </c>
      <c r="F340" s="16" t="n">
        <v>0.000305747578104896</v>
      </c>
      <c r="G340" s="14" t="s">
        <v>591</v>
      </c>
      <c r="H340" s="14" t="s">
        <v>123</v>
      </c>
      <c r="I340" s="14" t="s">
        <v>124</v>
      </c>
      <c r="J340" s="14" t="s">
        <v>125</v>
      </c>
    </row>
    <row r="341" customFormat="false" ht="15" hidden="false" customHeight="false" outlineLevel="0" collapsed="false">
      <c r="A341" s="14" t="s">
        <v>400</v>
      </c>
      <c r="B341" s="14" t="s">
        <v>401</v>
      </c>
      <c r="C341" s="14" t="n">
        <v>2020</v>
      </c>
      <c r="D341" s="14" t="s">
        <v>38</v>
      </c>
      <c r="E341" s="15" t="n">
        <v>1855</v>
      </c>
      <c r="F341" s="16" t="n">
        <v>0.000180148141012001</v>
      </c>
      <c r="G341" s="14" t="s">
        <v>591</v>
      </c>
      <c r="H341" s="14" t="s">
        <v>123</v>
      </c>
      <c r="I341" s="14" t="s">
        <v>124</v>
      </c>
      <c r="J341" s="14" t="s">
        <v>125</v>
      </c>
    </row>
    <row r="342" customFormat="false" ht="15" hidden="false" customHeight="false" outlineLevel="0" collapsed="false">
      <c r="A342" s="14" t="s">
        <v>400</v>
      </c>
      <c r="B342" s="14" t="s">
        <v>401</v>
      </c>
      <c r="C342" s="14" t="n">
        <v>2021</v>
      </c>
      <c r="D342" s="14" t="s">
        <v>38</v>
      </c>
      <c r="E342" s="15" t="n">
        <v>2170</v>
      </c>
      <c r="F342" s="16" t="n">
        <v>0.000209422446669898</v>
      </c>
      <c r="G342" s="14" t="s">
        <v>591</v>
      </c>
      <c r="H342" s="14" t="s">
        <v>123</v>
      </c>
      <c r="I342" s="14" t="s">
        <v>124</v>
      </c>
      <c r="J342" s="14" t="s">
        <v>125</v>
      </c>
    </row>
    <row r="343" customFormat="false" ht="15" hidden="false" customHeight="false" outlineLevel="0" collapsed="false">
      <c r="A343" s="14" t="s">
        <v>400</v>
      </c>
      <c r="B343" s="14" t="s">
        <v>401</v>
      </c>
      <c r="C343" s="14" t="n">
        <v>2022</v>
      </c>
      <c r="D343" s="14" t="s">
        <v>38</v>
      </c>
      <c r="E343" s="15" t="n">
        <v>1615</v>
      </c>
      <c r="F343" s="16" t="n">
        <v>0.000154777517142449</v>
      </c>
      <c r="G343" s="14" t="s">
        <v>591</v>
      </c>
      <c r="H343" s="14" t="s">
        <v>123</v>
      </c>
      <c r="I343" s="14" t="s">
        <v>124</v>
      </c>
      <c r="J343" s="14" t="s">
        <v>125</v>
      </c>
    </row>
    <row r="344" customFormat="false" ht="15" hidden="false" customHeight="false" outlineLevel="0" collapsed="false">
      <c r="A344" s="14" t="s">
        <v>406</v>
      </c>
      <c r="B344" s="14" t="s">
        <v>407</v>
      </c>
      <c r="C344" s="14" t="n">
        <v>2020</v>
      </c>
      <c r="D344" s="14" t="s">
        <v>30</v>
      </c>
      <c r="E344" s="15" t="n">
        <v>1200000</v>
      </c>
      <c r="F344" s="16" t="n">
        <v>0.00826189388440019</v>
      </c>
      <c r="G344" s="14" t="s">
        <v>591</v>
      </c>
      <c r="H344" s="14" t="s">
        <v>412</v>
      </c>
      <c r="I344" s="14" t="s">
        <v>413</v>
      </c>
      <c r="J344" s="14" t="s">
        <v>414</v>
      </c>
    </row>
    <row r="345" customFormat="false" ht="15" hidden="false" customHeight="false" outlineLevel="0" collapsed="false">
      <c r="A345" s="14" t="s">
        <v>415</v>
      </c>
      <c r="B345" s="14" t="s">
        <v>416</v>
      </c>
      <c r="C345" s="14" t="n">
        <v>2010</v>
      </c>
      <c r="D345" s="14" t="s">
        <v>38</v>
      </c>
      <c r="E345" s="15" t="n">
        <v>1440</v>
      </c>
      <c r="F345" s="16" t="n">
        <v>0.000267090648340291</v>
      </c>
      <c r="G345" s="14" t="s">
        <v>591</v>
      </c>
      <c r="H345" s="14" t="s">
        <v>123</v>
      </c>
      <c r="I345" s="14" t="s">
        <v>124</v>
      </c>
      <c r="J345" s="14" t="s">
        <v>125</v>
      </c>
    </row>
    <row r="346" customFormat="false" ht="15" hidden="false" customHeight="false" outlineLevel="0" collapsed="false">
      <c r="A346" s="14" t="s">
        <v>415</v>
      </c>
      <c r="B346" s="14" t="s">
        <v>416</v>
      </c>
      <c r="C346" s="14" t="n">
        <v>2011</v>
      </c>
      <c r="D346" s="14" t="s">
        <v>38</v>
      </c>
      <c r="E346" s="15" t="n">
        <v>1145</v>
      </c>
      <c r="F346" s="16" t="n">
        <v>0.000212100510078572</v>
      </c>
      <c r="G346" s="14" t="s">
        <v>591</v>
      </c>
      <c r="H346" s="14" t="s">
        <v>123</v>
      </c>
      <c r="I346" s="14" t="s">
        <v>124</v>
      </c>
      <c r="J346" s="14" t="s">
        <v>125</v>
      </c>
    </row>
    <row r="347" customFormat="false" ht="15" hidden="false" customHeight="false" outlineLevel="0" collapsed="false">
      <c r="A347" s="14" t="s">
        <v>415</v>
      </c>
      <c r="B347" s="14" t="s">
        <v>416</v>
      </c>
      <c r="C347" s="14" t="n">
        <v>2012</v>
      </c>
      <c r="D347" s="14" t="s">
        <v>38</v>
      </c>
      <c r="E347" s="15" t="n">
        <v>1395</v>
      </c>
      <c r="F347" s="16" t="n">
        <v>0.000257971265884419</v>
      </c>
      <c r="G347" s="14" t="s">
        <v>591</v>
      </c>
      <c r="H347" s="14" t="s">
        <v>123</v>
      </c>
      <c r="I347" s="14" t="s">
        <v>124</v>
      </c>
      <c r="J347" s="14" t="s">
        <v>125</v>
      </c>
    </row>
    <row r="348" customFormat="false" ht="15" hidden="false" customHeight="false" outlineLevel="0" collapsed="false">
      <c r="A348" s="14" t="s">
        <v>415</v>
      </c>
      <c r="B348" s="14" t="s">
        <v>416</v>
      </c>
      <c r="C348" s="14" t="n">
        <v>2013</v>
      </c>
      <c r="D348" s="14" t="s">
        <v>38</v>
      </c>
      <c r="E348" s="15" t="n">
        <v>1025</v>
      </c>
      <c r="F348" s="16" t="n">
        <v>0.000189345203645847</v>
      </c>
      <c r="G348" s="14" t="s">
        <v>591</v>
      </c>
      <c r="H348" s="14" t="s">
        <v>123</v>
      </c>
      <c r="I348" s="14" t="s">
        <v>124</v>
      </c>
      <c r="J348" s="14" t="s">
        <v>125</v>
      </c>
    </row>
    <row r="349" customFormat="false" ht="15" hidden="false" customHeight="false" outlineLevel="0" collapsed="false">
      <c r="A349" s="14" t="s">
        <v>415</v>
      </c>
      <c r="B349" s="14" t="s">
        <v>416</v>
      </c>
      <c r="C349" s="14" t="n">
        <v>2014</v>
      </c>
      <c r="D349" s="14" t="s">
        <v>38</v>
      </c>
      <c r="E349" s="15" t="n">
        <v>1155</v>
      </c>
      <c r="F349" s="16" t="n">
        <v>0.000213152761878468</v>
      </c>
      <c r="G349" s="14" t="s">
        <v>591</v>
      </c>
      <c r="H349" s="14" t="s">
        <v>123</v>
      </c>
      <c r="I349" s="14" t="s">
        <v>124</v>
      </c>
      <c r="J349" s="14" t="s">
        <v>125</v>
      </c>
    </row>
    <row r="350" customFormat="false" ht="15" hidden="false" customHeight="false" outlineLevel="0" collapsed="false">
      <c r="A350" s="14" t="s">
        <v>415</v>
      </c>
      <c r="B350" s="14" t="s">
        <v>416</v>
      </c>
      <c r="C350" s="14" t="n">
        <v>2015</v>
      </c>
      <c r="D350" s="14" t="s">
        <v>38</v>
      </c>
      <c r="E350" s="15" t="n">
        <v>1985</v>
      </c>
      <c r="F350" s="16" t="n">
        <v>0.000365979504041538</v>
      </c>
      <c r="G350" s="14" t="s">
        <v>591</v>
      </c>
      <c r="H350" s="14" t="s">
        <v>123</v>
      </c>
      <c r="I350" s="14" t="s">
        <v>124</v>
      </c>
      <c r="J350" s="14" t="s">
        <v>125</v>
      </c>
    </row>
    <row r="351" customFormat="false" ht="15" hidden="false" customHeight="false" outlineLevel="0" collapsed="false">
      <c r="A351" s="14" t="s">
        <v>415</v>
      </c>
      <c r="B351" s="14" t="s">
        <v>416</v>
      </c>
      <c r="C351" s="14" t="n">
        <v>2016</v>
      </c>
      <c r="D351" s="14" t="s">
        <v>38</v>
      </c>
      <c r="E351" s="15" t="n">
        <v>2035</v>
      </c>
      <c r="F351" s="16" t="n">
        <v>0.00037471472884832</v>
      </c>
      <c r="G351" s="14" t="s">
        <v>591</v>
      </c>
      <c r="H351" s="14" t="s">
        <v>123</v>
      </c>
      <c r="I351" s="14" t="s">
        <v>124</v>
      </c>
      <c r="J351" s="14" t="s">
        <v>125</v>
      </c>
    </row>
    <row r="352" customFormat="false" ht="15" hidden="false" customHeight="false" outlineLevel="0" collapsed="false">
      <c r="A352" s="14" t="s">
        <v>415</v>
      </c>
      <c r="B352" s="14" t="s">
        <v>416</v>
      </c>
      <c r="C352" s="14" t="n">
        <v>2017</v>
      </c>
      <c r="D352" s="14" t="s">
        <v>38</v>
      </c>
      <c r="E352" s="15" t="n">
        <v>2590</v>
      </c>
      <c r="F352" s="16" t="n">
        <v>0.000476170165199793</v>
      </c>
      <c r="G352" s="14" t="s">
        <v>591</v>
      </c>
      <c r="H352" s="14" t="s">
        <v>123</v>
      </c>
      <c r="I352" s="14" t="s">
        <v>124</v>
      </c>
      <c r="J352" s="14" t="s">
        <v>125</v>
      </c>
    </row>
    <row r="353" customFormat="false" ht="15" hidden="false" customHeight="false" outlineLevel="0" collapsed="false">
      <c r="A353" s="14" t="s">
        <v>415</v>
      </c>
      <c r="B353" s="14" t="s">
        <v>416</v>
      </c>
      <c r="C353" s="14" t="n">
        <v>2018</v>
      </c>
      <c r="D353" s="14" t="s">
        <v>38</v>
      </c>
      <c r="E353" s="15" t="n">
        <v>2635</v>
      </c>
      <c r="F353" s="16" t="n">
        <v>0.000483772862857645</v>
      </c>
      <c r="G353" s="14" t="s">
        <v>591</v>
      </c>
      <c r="H353" s="14" t="s">
        <v>123</v>
      </c>
      <c r="I353" s="14" t="s">
        <v>124</v>
      </c>
      <c r="J353" s="14" t="s">
        <v>125</v>
      </c>
    </row>
    <row r="354" customFormat="false" ht="15" hidden="false" customHeight="false" outlineLevel="0" collapsed="false">
      <c r="A354" s="14" t="s">
        <v>415</v>
      </c>
      <c r="B354" s="14" t="s">
        <v>416</v>
      </c>
      <c r="C354" s="14" t="n">
        <v>2019</v>
      </c>
      <c r="D354" s="14" t="s">
        <v>38</v>
      </c>
      <c r="E354" s="15" t="n">
        <v>2005</v>
      </c>
      <c r="F354" s="16" t="n">
        <v>0.000367610187257513</v>
      </c>
      <c r="G354" s="14" t="s">
        <v>591</v>
      </c>
      <c r="H354" s="14" t="s">
        <v>123</v>
      </c>
      <c r="I354" s="14" t="s">
        <v>124</v>
      </c>
      <c r="J354" s="14" t="s">
        <v>125</v>
      </c>
    </row>
    <row r="355" customFormat="false" ht="15" hidden="false" customHeight="false" outlineLevel="0" collapsed="false">
      <c r="A355" s="14" t="s">
        <v>415</v>
      </c>
      <c r="B355" s="14" t="s">
        <v>416</v>
      </c>
      <c r="C355" s="14" t="n">
        <v>2020</v>
      </c>
      <c r="D355" s="14" t="s">
        <v>38</v>
      </c>
      <c r="E355" s="15" t="n">
        <v>1215</v>
      </c>
      <c r="F355" s="16" t="n">
        <v>0.000222575289526486</v>
      </c>
      <c r="G355" s="14" t="s">
        <v>591</v>
      </c>
      <c r="H355" s="14" t="s">
        <v>123</v>
      </c>
      <c r="I355" s="14" t="s">
        <v>124</v>
      </c>
      <c r="J355" s="14" t="s">
        <v>125</v>
      </c>
    </row>
    <row r="356" customFormat="false" ht="15" hidden="false" customHeight="false" outlineLevel="0" collapsed="false">
      <c r="A356" s="14" t="s">
        <v>415</v>
      </c>
      <c r="B356" s="14" t="s">
        <v>416</v>
      </c>
      <c r="C356" s="14" t="n">
        <v>2021</v>
      </c>
      <c r="D356" s="14" t="s">
        <v>38</v>
      </c>
      <c r="E356" s="15" t="n">
        <v>1715</v>
      </c>
      <c r="F356" s="16" t="n">
        <v>0.000314837935566351</v>
      </c>
      <c r="G356" s="14" t="s">
        <v>591</v>
      </c>
      <c r="H356" s="14" t="s">
        <v>123</v>
      </c>
      <c r="I356" s="14" t="s">
        <v>124</v>
      </c>
      <c r="J356" s="14" t="s">
        <v>125</v>
      </c>
    </row>
    <row r="357" customFormat="false" ht="15" hidden="false" customHeight="false" outlineLevel="0" collapsed="false">
      <c r="A357" s="14" t="s">
        <v>415</v>
      </c>
      <c r="B357" s="14" t="s">
        <v>416</v>
      </c>
      <c r="C357" s="14" t="n">
        <v>2022</v>
      </c>
      <c r="D357" s="14" t="s">
        <v>38</v>
      </c>
      <c r="E357" s="15" t="n">
        <v>11705</v>
      </c>
      <c r="F357" s="16" t="n">
        <v>0.00215492165327136</v>
      </c>
      <c r="G357" s="14" t="s">
        <v>591</v>
      </c>
      <c r="H357" s="14" t="s">
        <v>123</v>
      </c>
      <c r="I357" s="14" t="s">
        <v>124</v>
      </c>
      <c r="J357" s="14" t="s">
        <v>125</v>
      </c>
    </row>
    <row r="358" customFormat="false" ht="15" hidden="false" customHeight="false" outlineLevel="0" collapsed="false">
      <c r="A358" s="14" t="s">
        <v>421</v>
      </c>
      <c r="B358" s="14" t="s">
        <v>422</v>
      </c>
      <c r="C358" s="14" t="n">
        <v>2010</v>
      </c>
      <c r="D358" s="14" t="s">
        <v>38</v>
      </c>
      <c r="E358" s="15" t="n">
        <v>3415</v>
      </c>
      <c r="F358" s="16" t="n">
        <v>0.00166700592555928</v>
      </c>
      <c r="G358" s="14" t="s">
        <v>591</v>
      </c>
      <c r="H358" s="14" t="s">
        <v>123</v>
      </c>
      <c r="I358" s="14" t="s">
        <v>124</v>
      </c>
      <c r="J358" s="14" t="s">
        <v>125</v>
      </c>
    </row>
    <row r="359" customFormat="false" ht="15" hidden="false" customHeight="false" outlineLevel="0" collapsed="false">
      <c r="A359" s="14" t="s">
        <v>421</v>
      </c>
      <c r="B359" s="14" t="s">
        <v>422</v>
      </c>
      <c r="C359" s="14" t="n">
        <v>2011</v>
      </c>
      <c r="D359" s="14" t="s">
        <v>38</v>
      </c>
      <c r="E359" s="15" t="n">
        <v>4350</v>
      </c>
      <c r="F359" s="16" t="n">
        <v>0.00211901251094214</v>
      </c>
      <c r="G359" s="14" t="s">
        <v>591</v>
      </c>
      <c r="H359" s="14" t="s">
        <v>123</v>
      </c>
      <c r="I359" s="14" t="s">
        <v>124</v>
      </c>
      <c r="J359" s="14" t="s">
        <v>125</v>
      </c>
    </row>
    <row r="360" customFormat="false" ht="15" hidden="false" customHeight="false" outlineLevel="0" collapsed="false">
      <c r="A360" s="14" t="s">
        <v>421</v>
      </c>
      <c r="B360" s="14" t="s">
        <v>422</v>
      </c>
      <c r="C360" s="14" t="n">
        <v>2012</v>
      </c>
      <c r="D360" s="14" t="s">
        <v>38</v>
      </c>
      <c r="E360" s="15" t="n">
        <v>1555</v>
      </c>
      <c r="F360" s="16" t="n">
        <v>0.00075589684608725</v>
      </c>
      <c r="G360" s="14" t="s">
        <v>591</v>
      </c>
      <c r="H360" s="14" t="s">
        <v>123</v>
      </c>
      <c r="I360" s="14" t="s">
        <v>124</v>
      </c>
      <c r="J360" s="14" t="s">
        <v>125</v>
      </c>
    </row>
    <row r="361" customFormat="false" ht="15" hidden="false" customHeight="false" outlineLevel="0" collapsed="false">
      <c r="A361" s="14" t="s">
        <v>421</v>
      </c>
      <c r="B361" s="14" t="s">
        <v>422</v>
      </c>
      <c r="C361" s="14" t="n">
        <v>2013</v>
      </c>
      <c r="D361" s="14" t="s">
        <v>38</v>
      </c>
      <c r="E361" s="15" t="n">
        <v>1040</v>
      </c>
      <c r="F361" s="16" t="n">
        <v>0.000504865887716856</v>
      </c>
      <c r="G361" s="14" t="s">
        <v>591</v>
      </c>
      <c r="H361" s="14" t="s">
        <v>123</v>
      </c>
      <c r="I361" s="14" t="s">
        <v>124</v>
      </c>
      <c r="J361" s="14" t="s">
        <v>125</v>
      </c>
    </row>
    <row r="362" customFormat="false" ht="15" hidden="false" customHeight="false" outlineLevel="0" collapsed="false">
      <c r="A362" s="14" t="s">
        <v>421</v>
      </c>
      <c r="B362" s="14" t="s">
        <v>422</v>
      </c>
      <c r="C362" s="14" t="n">
        <v>2014</v>
      </c>
      <c r="D362" s="14" t="s">
        <v>38</v>
      </c>
      <c r="E362" s="15" t="n">
        <v>1025</v>
      </c>
      <c r="F362" s="16" t="n">
        <v>0.000497095025169982</v>
      </c>
      <c r="G362" s="14" t="s">
        <v>591</v>
      </c>
      <c r="H362" s="14" t="s">
        <v>123</v>
      </c>
      <c r="I362" s="14" t="s">
        <v>124</v>
      </c>
      <c r="J362" s="14" t="s">
        <v>125</v>
      </c>
    </row>
    <row r="363" customFormat="false" ht="15" hidden="false" customHeight="false" outlineLevel="0" collapsed="false">
      <c r="A363" s="14" t="s">
        <v>421</v>
      </c>
      <c r="B363" s="14" t="s">
        <v>422</v>
      </c>
      <c r="C363" s="14" t="n">
        <v>2015</v>
      </c>
      <c r="D363" s="14" t="s">
        <v>38</v>
      </c>
      <c r="E363" s="15" t="n">
        <v>1025</v>
      </c>
      <c r="F363" s="16" t="n">
        <v>0.000496721396480111</v>
      </c>
      <c r="G363" s="14" t="s">
        <v>591</v>
      </c>
      <c r="H363" s="14" t="s">
        <v>123</v>
      </c>
      <c r="I363" s="14" t="s">
        <v>124</v>
      </c>
      <c r="J363" s="14" t="s">
        <v>125</v>
      </c>
    </row>
    <row r="364" customFormat="false" ht="15" hidden="false" customHeight="false" outlineLevel="0" collapsed="false">
      <c r="A364" s="14" t="s">
        <v>421</v>
      </c>
      <c r="B364" s="14" t="s">
        <v>422</v>
      </c>
      <c r="C364" s="14" t="n">
        <v>2016</v>
      </c>
      <c r="D364" s="14" t="s">
        <v>38</v>
      </c>
      <c r="E364" s="15" t="n">
        <v>2475</v>
      </c>
      <c r="F364" s="16" t="n">
        <v>0.00119852283876066</v>
      </c>
      <c r="G364" s="14" t="s">
        <v>591</v>
      </c>
      <c r="H364" s="14" t="s">
        <v>123</v>
      </c>
      <c r="I364" s="14" t="s">
        <v>124</v>
      </c>
      <c r="J364" s="14" t="s">
        <v>125</v>
      </c>
    </row>
    <row r="365" customFormat="false" ht="15" hidden="false" customHeight="false" outlineLevel="0" collapsed="false">
      <c r="A365" s="14" t="s">
        <v>421</v>
      </c>
      <c r="B365" s="14" t="s">
        <v>422</v>
      </c>
      <c r="C365" s="14" t="n">
        <v>2017</v>
      </c>
      <c r="D365" s="14" t="s">
        <v>38</v>
      </c>
      <c r="E365" s="15" t="n">
        <v>4180</v>
      </c>
      <c r="F365" s="16" t="n">
        <v>0.00202285340410417</v>
      </c>
      <c r="G365" s="14" t="s">
        <v>591</v>
      </c>
      <c r="H365" s="14" t="s">
        <v>123</v>
      </c>
      <c r="I365" s="14" t="s">
        <v>124</v>
      </c>
      <c r="J365" s="14" t="s">
        <v>125</v>
      </c>
    </row>
    <row r="366" customFormat="false" ht="15" hidden="false" customHeight="false" outlineLevel="0" collapsed="false">
      <c r="A366" s="14" t="s">
        <v>421</v>
      </c>
      <c r="B366" s="14" t="s">
        <v>422</v>
      </c>
      <c r="C366" s="14" t="n">
        <v>2018</v>
      </c>
      <c r="D366" s="14" t="s">
        <v>38</v>
      </c>
      <c r="E366" s="15" t="n">
        <v>4345</v>
      </c>
      <c r="F366" s="16" t="n">
        <v>0.00209509261321938</v>
      </c>
      <c r="G366" s="14" t="s">
        <v>591</v>
      </c>
      <c r="H366" s="14" t="s">
        <v>123</v>
      </c>
      <c r="I366" s="14" t="s">
        <v>124</v>
      </c>
      <c r="J366" s="14" t="s">
        <v>125</v>
      </c>
    </row>
    <row r="367" customFormat="false" ht="15" hidden="false" customHeight="false" outlineLevel="0" collapsed="false">
      <c r="A367" s="14" t="s">
        <v>421</v>
      </c>
      <c r="B367" s="14" t="s">
        <v>422</v>
      </c>
      <c r="C367" s="14" t="n">
        <v>2019</v>
      </c>
      <c r="D367" s="14" t="s">
        <v>38</v>
      </c>
      <c r="E367" s="15" t="n">
        <v>5765</v>
      </c>
      <c r="F367" s="16" t="n">
        <v>0.00276050632426492</v>
      </c>
      <c r="G367" s="14" t="s">
        <v>591</v>
      </c>
      <c r="H367" s="14" t="s">
        <v>123</v>
      </c>
      <c r="I367" s="14" t="s">
        <v>124</v>
      </c>
      <c r="J367" s="14" t="s">
        <v>125</v>
      </c>
    </row>
    <row r="368" customFormat="false" ht="15" hidden="false" customHeight="false" outlineLevel="0" collapsed="false">
      <c r="A368" s="14" t="s">
        <v>421</v>
      </c>
      <c r="B368" s="14" t="s">
        <v>422</v>
      </c>
      <c r="C368" s="14" t="n">
        <v>2020</v>
      </c>
      <c r="D368" s="14" t="s">
        <v>38</v>
      </c>
      <c r="E368" s="15" t="n">
        <v>4605</v>
      </c>
      <c r="F368" s="16" t="n">
        <v>0.00219033408659263</v>
      </c>
      <c r="G368" s="14" t="s">
        <v>591</v>
      </c>
      <c r="H368" s="14" t="s">
        <v>123</v>
      </c>
      <c r="I368" s="14" t="s">
        <v>124</v>
      </c>
      <c r="J368" s="14" t="s">
        <v>125</v>
      </c>
    </row>
    <row r="369" customFormat="false" ht="15" hidden="false" customHeight="false" outlineLevel="0" collapsed="false">
      <c r="A369" s="14" t="s">
        <v>421</v>
      </c>
      <c r="B369" s="14" t="s">
        <v>422</v>
      </c>
      <c r="C369" s="14" t="n">
        <v>2021</v>
      </c>
      <c r="D369" s="14" t="s">
        <v>38</v>
      </c>
      <c r="E369" s="15" t="n">
        <v>14430</v>
      </c>
      <c r="F369" s="16" t="n">
        <v>0.00684509451495888</v>
      </c>
      <c r="G369" s="14" t="s">
        <v>591</v>
      </c>
      <c r="H369" s="14" t="s">
        <v>123</v>
      </c>
      <c r="I369" s="14" t="s">
        <v>124</v>
      </c>
      <c r="J369" s="14" t="s">
        <v>125</v>
      </c>
    </row>
    <row r="370" customFormat="false" ht="15" hidden="false" customHeight="false" outlineLevel="0" collapsed="false">
      <c r="A370" s="14" t="s">
        <v>421</v>
      </c>
      <c r="B370" s="14" t="s">
        <v>422</v>
      </c>
      <c r="C370" s="14" t="n">
        <v>2022</v>
      </c>
      <c r="D370" s="14" t="s">
        <v>38</v>
      </c>
      <c r="E370" s="15" t="n">
        <v>35215</v>
      </c>
      <c r="F370" s="16" t="n">
        <v>0.0166731689579352</v>
      </c>
      <c r="G370" s="14" t="s">
        <v>591</v>
      </c>
      <c r="H370" s="14" t="s">
        <v>123</v>
      </c>
      <c r="I370" s="14" t="s">
        <v>124</v>
      </c>
      <c r="J370" s="14" t="s">
        <v>125</v>
      </c>
    </row>
    <row r="371" customFormat="false" ht="15" hidden="false" customHeight="false" outlineLevel="0" collapsed="false">
      <c r="A371" s="14" t="s">
        <v>463</v>
      </c>
      <c r="B371" s="14" t="s">
        <v>464</v>
      </c>
      <c r="C371" s="14" t="n">
        <v>2010</v>
      </c>
      <c r="D371" s="14" t="s">
        <v>38</v>
      </c>
      <c r="E371" s="15" t="n">
        <v>20765</v>
      </c>
      <c r="F371" s="16" t="n">
        <v>0.00221419503214182</v>
      </c>
      <c r="G371" s="14" t="s">
        <v>591</v>
      </c>
      <c r="H371" s="14" t="s">
        <v>123</v>
      </c>
      <c r="I371" s="14" t="s">
        <v>124</v>
      </c>
      <c r="J371" s="14" t="s">
        <v>469</v>
      </c>
    </row>
    <row r="372" customFormat="false" ht="15" hidden="false" customHeight="false" outlineLevel="0" collapsed="false">
      <c r="A372" s="14" t="s">
        <v>463</v>
      </c>
      <c r="B372" s="14" t="s">
        <v>464</v>
      </c>
      <c r="C372" s="14" t="n">
        <v>2011</v>
      </c>
      <c r="D372" s="14" t="s">
        <v>38</v>
      </c>
      <c r="E372" s="15" t="n">
        <v>23205</v>
      </c>
      <c r="F372" s="16" t="n">
        <v>0.00245576007229385</v>
      </c>
      <c r="G372" s="14" t="s">
        <v>591</v>
      </c>
      <c r="H372" s="14" t="s">
        <v>123</v>
      </c>
      <c r="I372" s="14" t="s">
        <v>124</v>
      </c>
      <c r="J372" s="14" t="s">
        <v>469</v>
      </c>
    </row>
    <row r="373" customFormat="false" ht="15" hidden="false" customHeight="false" outlineLevel="0" collapsed="false">
      <c r="A373" s="14" t="s">
        <v>463</v>
      </c>
      <c r="B373" s="14" t="s">
        <v>464</v>
      </c>
      <c r="C373" s="14" t="n">
        <v>2012</v>
      </c>
      <c r="D373" s="14" t="s">
        <v>38</v>
      </c>
      <c r="E373" s="15" t="n">
        <v>24400</v>
      </c>
      <c r="F373" s="16" t="n">
        <v>0.00256319375622809</v>
      </c>
      <c r="G373" s="14" t="s">
        <v>591</v>
      </c>
      <c r="H373" s="14" t="s">
        <v>123</v>
      </c>
      <c r="I373" s="14" t="s">
        <v>124</v>
      </c>
      <c r="J373" s="14" t="s">
        <v>469</v>
      </c>
    </row>
    <row r="374" customFormat="false" ht="15" hidden="false" customHeight="false" outlineLevel="0" collapsed="false">
      <c r="A374" s="14" t="s">
        <v>463</v>
      </c>
      <c r="B374" s="14" t="s">
        <v>464</v>
      </c>
      <c r="C374" s="14" t="n">
        <v>2013</v>
      </c>
      <c r="D374" s="14" t="s">
        <v>38</v>
      </c>
      <c r="E374" s="15" t="n">
        <v>72835</v>
      </c>
      <c r="F374" s="16" t="n">
        <v>0.00758667965087628</v>
      </c>
      <c r="G374" s="14" t="s">
        <v>591</v>
      </c>
      <c r="H374" s="14" t="s">
        <v>123</v>
      </c>
      <c r="I374" s="14" t="s">
        <v>124</v>
      </c>
      <c r="J374" s="14" t="s">
        <v>469</v>
      </c>
    </row>
    <row r="375" customFormat="false" ht="15" hidden="false" customHeight="false" outlineLevel="0" collapsed="false">
      <c r="A375" s="14" t="s">
        <v>463</v>
      </c>
      <c r="B375" s="14" t="s">
        <v>464</v>
      </c>
      <c r="C375" s="14" t="n">
        <v>2014</v>
      </c>
      <c r="D375" s="14" t="s">
        <v>38</v>
      </c>
      <c r="E375" s="15" t="n">
        <v>1445</v>
      </c>
      <c r="F375" s="16" t="n">
        <v>0.00014902883733786</v>
      </c>
      <c r="G375" s="14" t="s">
        <v>591</v>
      </c>
      <c r="H375" s="14" t="s">
        <v>123</v>
      </c>
      <c r="I375" s="14" t="s">
        <v>124</v>
      </c>
      <c r="J375" s="14" t="s">
        <v>469</v>
      </c>
    </row>
    <row r="376" customFormat="false" ht="15" hidden="false" customHeight="false" outlineLevel="0" collapsed="false">
      <c r="A376" s="14" t="s">
        <v>463</v>
      </c>
      <c r="B376" s="14" t="s">
        <v>464</v>
      </c>
      <c r="C376" s="14" t="n">
        <v>2015</v>
      </c>
      <c r="D376" s="14" t="s">
        <v>38</v>
      </c>
      <c r="E376" s="15" t="n">
        <v>1210</v>
      </c>
      <c r="F376" s="16" t="n">
        <v>0.000123479644125543</v>
      </c>
      <c r="G376" s="14" t="s">
        <v>591</v>
      </c>
      <c r="H376" s="14" t="s">
        <v>123</v>
      </c>
      <c r="I376" s="14" t="s">
        <v>124</v>
      </c>
      <c r="J376" s="14" t="s">
        <v>469</v>
      </c>
    </row>
    <row r="377" customFormat="false" ht="15" hidden="false" customHeight="false" outlineLevel="0" collapsed="false">
      <c r="A377" s="14" t="s">
        <v>463</v>
      </c>
      <c r="B377" s="14" t="s">
        <v>464</v>
      </c>
      <c r="C377" s="14" t="n">
        <v>2016</v>
      </c>
      <c r="D377" s="14" t="s">
        <v>38</v>
      </c>
      <c r="E377" s="15" t="n">
        <v>2145</v>
      </c>
      <c r="F377" s="16" t="n">
        <v>0.00021616261475136</v>
      </c>
      <c r="G377" s="14" t="s">
        <v>591</v>
      </c>
      <c r="H377" s="14" t="s">
        <v>123</v>
      </c>
      <c r="I377" s="14" t="s">
        <v>124</v>
      </c>
      <c r="J377" s="14" t="s">
        <v>469</v>
      </c>
    </row>
    <row r="378" customFormat="false" ht="15" hidden="false" customHeight="false" outlineLevel="0" collapsed="false">
      <c r="A378" s="14" t="s">
        <v>463</v>
      </c>
      <c r="B378" s="14" t="s">
        <v>464</v>
      </c>
      <c r="C378" s="14" t="n">
        <v>2017</v>
      </c>
      <c r="D378" s="14" t="s">
        <v>38</v>
      </c>
      <c r="E378" s="15" t="n">
        <v>1720</v>
      </c>
      <c r="F378" s="16" t="n">
        <v>0.000171013287533589</v>
      </c>
      <c r="G378" s="14" t="s">
        <v>591</v>
      </c>
      <c r="H378" s="14" t="s">
        <v>123</v>
      </c>
      <c r="I378" s="14" t="s">
        <v>124</v>
      </c>
      <c r="J378" s="14" t="s">
        <v>469</v>
      </c>
    </row>
    <row r="379" customFormat="false" ht="15" hidden="false" customHeight="false" outlineLevel="0" collapsed="false">
      <c r="A379" s="14" t="s">
        <v>463</v>
      </c>
      <c r="B379" s="14" t="s">
        <v>464</v>
      </c>
      <c r="C379" s="14" t="n">
        <v>2018</v>
      </c>
      <c r="D379" s="14" t="s">
        <v>38</v>
      </c>
      <c r="E379" s="15" t="n">
        <v>2170</v>
      </c>
      <c r="F379" s="16" t="n">
        <v>0.000213263327926076</v>
      </c>
      <c r="G379" s="14" t="s">
        <v>591</v>
      </c>
      <c r="H379" s="14" t="s">
        <v>123</v>
      </c>
      <c r="I379" s="14" t="s">
        <v>124</v>
      </c>
      <c r="J379" s="14" t="s">
        <v>469</v>
      </c>
    </row>
    <row r="380" customFormat="false" ht="15" hidden="false" customHeight="false" outlineLevel="0" collapsed="false">
      <c r="A380" s="14" t="s">
        <v>463</v>
      </c>
      <c r="B380" s="14" t="s">
        <v>464</v>
      </c>
      <c r="C380" s="14" t="n">
        <v>2019</v>
      </c>
      <c r="D380" s="14" t="s">
        <v>38</v>
      </c>
      <c r="E380" s="15" t="n">
        <v>2615</v>
      </c>
      <c r="F380" s="16" t="n">
        <v>0.000254404975947299</v>
      </c>
      <c r="G380" s="14" t="s">
        <v>591</v>
      </c>
      <c r="H380" s="14" t="s">
        <v>123</v>
      </c>
      <c r="I380" s="14" t="s">
        <v>124</v>
      </c>
      <c r="J380" s="14" t="s">
        <v>469</v>
      </c>
    </row>
    <row r="381" customFormat="false" ht="15" hidden="false" customHeight="false" outlineLevel="0" collapsed="false">
      <c r="A381" s="14" t="s">
        <v>463</v>
      </c>
      <c r="B381" s="14" t="s">
        <v>464</v>
      </c>
      <c r="C381" s="14" t="n">
        <v>2020</v>
      </c>
      <c r="D381" s="14" t="s">
        <v>38</v>
      </c>
      <c r="E381" s="15" t="n">
        <v>2635</v>
      </c>
      <c r="F381" s="16" t="n">
        <v>0.000254504733788049</v>
      </c>
      <c r="G381" s="14" t="s">
        <v>591</v>
      </c>
      <c r="H381" s="14" t="s">
        <v>123</v>
      </c>
      <c r="I381" s="14" t="s">
        <v>124</v>
      </c>
      <c r="J381" s="14" t="s">
        <v>469</v>
      </c>
    </row>
    <row r="382" customFormat="false" ht="15" hidden="false" customHeight="false" outlineLevel="0" collapsed="false">
      <c r="A382" s="14" t="s">
        <v>463</v>
      </c>
      <c r="B382" s="14" t="s">
        <v>464</v>
      </c>
      <c r="C382" s="14" t="n">
        <v>2021</v>
      </c>
      <c r="D382" s="14" t="s">
        <v>38</v>
      </c>
      <c r="E382" s="15" t="n">
        <v>2455</v>
      </c>
      <c r="F382" s="16" t="n">
        <v>0.000235699361288334</v>
      </c>
      <c r="G382" s="14" t="s">
        <v>591</v>
      </c>
      <c r="H382" s="14" t="s">
        <v>123</v>
      </c>
      <c r="I382" s="14" t="s">
        <v>124</v>
      </c>
      <c r="J382" s="14" t="s">
        <v>469</v>
      </c>
    </row>
    <row r="383" customFormat="false" ht="15" hidden="false" customHeight="false" outlineLevel="0" collapsed="false">
      <c r="A383" s="14" t="s">
        <v>463</v>
      </c>
      <c r="B383" s="14" t="s">
        <v>464</v>
      </c>
      <c r="C383" s="14" t="n">
        <v>2022</v>
      </c>
      <c r="D383" s="14" t="s">
        <v>38</v>
      </c>
      <c r="E383" s="15" t="n">
        <v>2510</v>
      </c>
      <c r="F383" s="16" t="n">
        <v>0.000239345296211736</v>
      </c>
      <c r="G383" s="14" t="s">
        <v>591</v>
      </c>
      <c r="H383" s="14" t="s">
        <v>123</v>
      </c>
      <c r="I383" s="14" t="s">
        <v>124</v>
      </c>
      <c r="J383" s="14" t="s">
        <v>469</v>
      </c>
    </row>
    <row r="384" customFormat="false" ht="15" hidden="false" customHeight="false" outlineLevel="0" collapsed="false">
      <c r="A384" s="14" t="s">
        <v>517</v>
      </c>
      <c r="B384" s="14" t="s">
        <v>518</v>
      </c>
      <c r="C384" s="14" t="n">
        <v>2010</v>
      </c>
      <c r="D384" s="14" t="s">
        <v>38</v>
      </c>
      <c r="E384" s="15" t="n">
        <v>32667</v>
      </c>
      <c r="F384" s="16" t="n">
        <v>0.00044662345856664</v>
      </c>
      <c r="G384" s="14" t="s">
        <v>591</v>
      </c>
      <c r="H384" s="14" t="s">
        <v>523</v>
      </c>
      <c r="I384" s="14" t="s">
        <v>524</v>
      </c>
      <c r="J384" s="14" t="s">
        <v>525</v>
      </c>
    </row>
    <row r="385" customFormat="false" ht="15" hidden="false" customHeight="false" outlineLevel="0" collapsed="false">
      <c r="A385" s="14" t="s">
        <v>517</v>
      </c>
      <c r="B385" s="14" t="s">
        <v>518</v>
      </c>
      <c r="C385" s="14" t="n">
        <v>2014</v>
      </c>
      <c r="D385" s="14" t="s">
        <v>38</v>
      </c>
      <c r="E385" s="15" t="n">
        <v>58647</v>
      </c>
      <c r="F385" s="16" t="n">
        <v>0.000759854475695359</v>
      </c>
      <c r="G385" s="14" t="s">
        <v>591</v>
      </c>
      <c r="H385" s="14" t="s">
        <v>523</v>
      </c>
      <c r="I385" s="14" t="s">
        <v>524</v>
      </c>
      <c r="J385" s="14" t="s">
        <v>528</v>
      </c>
    </row>
    <row r="386" customFormat="false" ht="15" hidden="false" customHeight="false" outlineLevel="0" collapsed="false">
      <c r="A386" s="14" t="s">
        <v>517</v>
      </c>
      <c r="B386" s="14" t="s">
        <v>518</v>
      </c>
      <c r="C386" s="14" t="n">
        <v>2015</v>
      </c>
      <c r="D386" s="14" t="s">
        <v>38</v>
      </c>
      <c r="E386" s="15" t="n">
        <v>146485</v>
      </c>
      <c r="F386" s="16" t="n">
        <v>0.00187276717564401</v>
      </c>
      <c r="G386" s="14" t="s">
        <v>591</v>
      </c>
      <c r="H386" s="14" t="s">
        <v>523</v>
      </c>
      <c r="I386" s="14" t="s">
        <v>524</v>
      </c>
      <c r="J386" s="14" t="s">
        <v>529</v>
      </c>
    </row>
    <row r="387" customFormat="false" ht="15" hidden="false" customHeight="false" outlineLevel="0" collapsed="false">
      <c r="A387" s="14" t="s">
        <v>517</v>
      </c>
      <c r="B387" s="14" t="s">
        <v>518</v>
      </c>
      <c r="C387" s="14" t="n">
        <v>2018</v>
      </c>
      <c r="D387" s="14" t="s">
        <v>38</v>
      </c>
      <c r="E387" s="15" t="n">
        <v>268003</v>
      </c>
      <c r="F387" s="16" t="n">
        <v>0.00329212878997785</v>
      </c>
      <c r="G387" s="14" t="s">
        <v>591</v>
      </c>
      <c r="H387" s="14" t="s">
        <v>523</v>
      </c>
      <c r="I387" s="14" t="s">
        <v>524</v>
      </c>
      <c r="J387" s="14" t="s">
        <v>530</v>
      </c>
    </row>
    <row r="388" customFormat="false" ht="15" hidden="false" customHeight="false" outlineLevel="0" collapsed="false">
      <c r="A388" s="14" t="s">
        <v>517</v>
      </c>
      <c r="B388" s="14" t="s">
        <v>518</v>
      </c>
      <c r="C388" s="14" t="n">
        <v>2019</v>
      </c>
      <c r="D388" s="14" t="s">
        <v>38</v>
      </c>
      <c r="E388" s="15" t="n">
        <v>454662</v>
      </c>
      <c r="F388" s="16" t="n">
        <v>0.00550575300583293</v>
      </c>
      <c r="G388" s="14" t="s">
        <v>591</v>
      </c>
      <c r="H388" s="14" t="s">
        <v>523</v>
      </c>
      <c r="I388" s="14" t="s">
        <v>524</v>
      </c>
      <c r="J388" s="14" t="s">
        <v>531</v>
      </c>
    </row>
    <row r="389" customFormat="false" ht="15" hidden="false" customHeight="false" outlineLevel="0" collapsed="false">
      <c r="A389" s="14" t="s">
        <v>517</v>
      </c>
      <c r="B389" s="14" t="s">
        <v>518</v>
      </c>
      <c r="C389" s="14" t="n">
        <v>2020</v>
      </c>
      <c r="D389" s="14" t="s">
        <v>38</v>
      </c>
      <c r="E389" s="15" t="n">
        <v>122302</v>
      </c>
      <c r="F389" s="16" t="n">
        <v>0.00146672026564112</v>
      </c>
      <c r="G389" s="14" t="s">
        <v>591</v>
      </c>
      <c r="H389" s="14" t="s">
        <v>523</v>
      </c>
      <c r="I389" s="14" t="s">
        <v>524</v>
      </c>
      <c r="J389" s="14" t="s">
        <v>532</v>
      </c>
    </row>
    <row r="390" customFormat="false" ht="15" hidden="false" customHeight="false" outlineLevel="0" collapsed="false">
      <c r="A390" s="14" t="s">
        <v>517</v>
      </c>
      <c r="B390" s="14" t="s">
        <v>518</v>
      </c>
      <c r="C390" s="14" t="n">
        <v>2021</v>
      </c>
      <c r="D390" s="14" t="s">
        <v>38</v>
      </c>
      <c r="E390" s="15" t="n">
        <v>162996</v>
      </c>
      <c r="F390" s="16" t="n">
        <v>0.0019370314333726</v>
      </c>
      <c r="G390" s="14" t="s">
        <v>591</v>
      </c>
      <c r="H390" s="14" t="s">
        <v>533</v>
      </c>
      <c r="I390" s="14" t="s">
        <v>534</v>
      </c>
      <c r="J390" s="14" t="s">
        <v>535</v>
      </c>
    </row>
    <row r="391" customFormat="false" ht="15" hidden="false" customHeight="false" outlineLevel="0" collapsed="false">
      <c r="A391" s="14" t="s">
        <v>517</v>
      </c>
      <c r="B391" s="14" t="s">
        <v>518</v>
      </c>
      <c r="C391" s="14" t="n">
        <v>2022</v>
      </c>
      <c r="D391" s="14" t="s">
        <v>38</v>
      </c>
      <c r="E391" s="15" t="n">
        <v>285027</v>
      </c>
      <c r="F391" s="16" t="n">
        <v>0.00335405144507503</v>
      </c>
      <c r="G391" s="14" t="s">
        <v>591</v>
      </c>
      <c r="H391" s="14" t="s">
        <v>523</v>
      </c>
      <c r="I391" s="14" t="s">
        <v>524</v>
      </c>
      <c r="J391" s="14" t="s">
        <v>536</v>
      </c>
    </row>
    <row r="392" customFormat="false" ht="15" hidden="false" customHeight="false" outlineLevel="0" collapsed="false">
      <c r="A392" s="14" t="s">
        <v>480</v>
      </c>
      <c r="B392" s="14" t="s">
        <v>481</v>
      </c>
      <c r="C392" s="14" t="n">
        <v>2011</v>
      </c>
      <c r="D392" s="14" t="s">
        <v>34</v>
      </c>
      <c r="E392" s="15" t="n">
        <v>33730</v>
      </c>
      <c r="F392" s="16" t="n">
        <v>0.00145231431646932</v>
      </c>
      <c r="G392" s="14" t="s">
        <v>591</v>
      </c>
      <c r="H392" s="14" t="s">
        <v>486</v>
      </c>
      <c r="I392" s="14" t="s">
        <v>487</v>
      </c>
      <c r="J392" s="14" t="s">
        <v>488</v>
      </c>
    </row>
    <row r="393" customFormat="false" ht="15" hidden="false" customHeight="false" outlineLevel="0" collapsed="false">
      <c r="A393" s="14" t="s">
        <v>480</v>
      </c>
      <c r="B393" s="14" t="s">
        <v>481</v>
      </c>
      <c r="C393" s="14" t="n">
        <v>2012</v>
      </c>
      <c r="D393" s="14" t="s">
        <v>34</v>
      </c>
      <c r="E393" s="15" t="n">
        <v>37177</v>
      </c>
      <c r="F393" s="16" t="n">
        <v>0.00159448447418082</v>
      </c>
      <c r="G393" s="14" t="s">
        <v>591</v>
      </c>
      <c r="H393" s="14" t="s">
        <v>486</v>
      </c>
      <c r="I393" s="14" t="s">
        <v>487</v>
      </c>
      <c r="J393" s="14" t="s">
        <v>492</v>
      </c>
    </row>
    <row r="394" customFormat="false" ht="15" hidden="false" customHeight="false" outlineLevel="0" collapsed="false">
      <c r="A394" s="14" t="s">
        <v>480</v>
      </c>
      <c r="B394" s="14" t="s">
        <v>481</v>
      </c>
      <c r="C394" s="14" t="n">
        <v>2013</v>
      </c>
      <c r="D394" s="14" t="s">
        <v>34</v>
      </c>
      <c r="E394" s="15" t="n">
        <v>41724</v>
      </c>
      <c r="F394" s="16" t="n">
        <v>0.0017850603234363</v>
      </c>
      <c r="G394" s="14" t="s">
        <v>591</v>
      </c>
      <c r="H394" s="14" t="s">
        <v>486</v>
      </c>
      <c r="I394" s="14" t="s">
        <v>487</v>
      </c>
      <c r="J394" s="14" t="s">
        <v>493</v>
      </c>
    </row>
    <row r="395" customFormat="false" ht="15" hidden="false" customHeight="false" outlineLevel="0" collapsed="false">
      <c r="A395" s="14" t="s">
        <v>480</v>
      </c>
      <c r="B395" s="14" t="s">
        <v>481</v>
      </c>
      <c r="C395" s="14" t="n">
        <v>2014</v>
      </c>
      <c r="D395" s="14" t="s">
        <v>34</v>
      </c>
      <c r="E395" s="15" t="n">
        <v>68998</v>
      </c>
      <c r="F395" s="16" t="n">
        <v>0.0029443543569173</v>
      </c>
      <c r="G395" s="14" t="s">
        <v>591</v>
      </c>
      <c r="H395" s="14" t="s">
        <v>494</v>
      </c>
      <c r="I395" s="14" t="s">
        <v>495</v>
      </c>
      <c r="J395" s="14" t="s">
        <v>496</v>
      </c>
    </row>
    <row r="396" customFormat="false" ht="15" hidden="false" customHeight="false" outlineLevel="0" collapsed="false">
      <c r="A396" s="14" t="s">
        <v>480</v>
      </c>
      <c r="B396" s="14" t="s">
        <v>481</v>
      </c>
      <c r="C396" s="14" t="n">
        <v>2015</v>
      </c>
      <c r="D396" s="14" t="s">
        <v>34</v>
      </c>
      <c r="E396" s="15" t="n">
        <v>77422</v>
      </c>
      <c r="F396" s="16" t="n">
        <v>0.00329567512344628</v>
      </c>
      <c r="G396" s="14" t="s">
        <v>591</v>
      </c>
      <c r="H396" s="14" t="s">
        <v>494</v>
      </c>
      <c r="I396" s="14" t="s">
        <v>495</v>
      </c>
      <c r="J396" s="14" t="s">
        <v>497</v>
      </c>
    </row>
    <row r="397" customFormat="false" ht="15" hidden="false" customHeight="false" outlineLevel="0" collapsed="false">
      <c r="A397" s="14" t="s">
        <v>480</v>
      </c>
      <c r="B397" s="14" t="s">
        <v>481</v>
      </c>
      <c r="C397" s="14" t="n">
        <v>2016</v>
      </c>
      <c r="D397" s="14" t="s">
        <v>34</v>
      </c>
      <c r="E397" s="15" t="n">
        <v>79392</v>
      </c>
      <c r="F397" s="16" t="n">
        <v>0.00337264231096007</v>
      </c>
      <c r="G397" s="14" t="s">
        <v>591</v>
      </c>
      <c r="H397" s="14" t="s">
        <v>494</v>
      </c>
      <c r="I397" s="14" t="s">
        <v>495</v>
      </c>
      <c r="J397" s="14" t="s">
        <v>498</v>
      </c>
    </row>
    <row r="398" customFormat="false" ht="15" hidden="false" customHeight="false" outlineLevel="0" collapsed="false">
      <c r="A398" s="14" t="s">
        <v>480</v>
      </c>
      <c r="B398" s="14" t="s">
        <v>481</v>
      </c>
      <c r="C398" s="14" t="n">
        <v>2017</v>
      </c>
      <c r="D398" s="14" t="s">
        <v>34</v>
      </c>
      <c r="E398" s="15" t="n">
        <v>79909</v>
      </c>
      <c r="F398" s="16" t="n">
        <v>0.00339010777843682</v>
      </c>
      <c r="G398" s="14" t="s">
        <v>591</v>
      </c>
      <c r="H398" s="14" t="s">
        <v>494</v>
      </c>
      <c r="I398" s="14" t="s">
        <v>495</v>
      </c>
      <c r="J398" s="14" t="s">
        <v>501</v>
      </c>
    </row>
    <row r="399" customFormat="false" ht="15" hidden="false" customHeight="false" outlineLevel="0" collapsed="false">
      <c r="A399" s="14" t="s">
        <v>480</v>
      </c>
      <c r="B399" s="14" t="s">
        <v>481</v>
      </c>
      <c r="C399" s="14" t="n">
        <v>2018</v>
      </c>
      <c r="D399" s="14" t="s">
        <v>34</v>
      </c>
      <c r="E399" s="15" t="n">
        <v>89965</v>
      </c>
      <c r="F399" s="16" t="n">
        <v>0.00381386490918707</v>
      </c>
      <c r="G399" s="14" t="s">
        <v>591</v>
      </c>
      <c r="H399" s="14" t="s">
        <v>494</v>
      </c>
      <c r="I399" s="14" t="s">
        <v>495</v>
      </c>
      <c r="J399" s="14" t="s">
        <v>502</v>
      </c>
    </row>
    <row r="400" customFormat="false" ht="15" hidden="false" customHeight="false" outlineLevel="0" collapsed="false">
      <c r="A400" s="14" t="s">
        <v>480</v>
      </c>
      <c r="B400" s="14" t="s">
        <v>481</v>
      </c>
      <c r="C400" s="14" t="n">
        <v>2019</v>
      </c>
      <c r="D400" s="14" t="s">
        <v>34</v>
      </c>
      <c r="E400" s="15" t="n">
        <v>47632</v>
      </c>
      <c r="F400" s="16" t="n">
        <v>0.0020180382077438</v>
      </c>
      <c r="G400" s="14" t="s">
        <v>591</v>
      </c>
      <c r="H400" s="14" t="s">
        <v>504</v>
      </c>
      <c r="I400" s="14" t="s">
        <v>495</v>
      </c>
      <c r="J400" s="14" t="s">
        <v>505</v>
      </c>
    </row>
    <row r="401" customFormat="false" ht="15" hidden="false" customHeight="false" outlineLevel="0" collapsed="false">
      <c r="A401" s="11" t="s">
        <v>480</v>
      </c>
      <c r="B401" s="11" t="s">
        <v>481</v>
      </c>
      <c r="C401" s="11" t="n">
        <v>2019</v>
      </c>
      <c r="D401" s="11" t="s">
        <v>34</v>
      </c>
      <c r="E401" s="17" t="n">
        <v>48491</v>
      </c>
      <c r="F401" s="18" t="n">
        <v>0.00205443169994341</v>
      </c>
      <c r="G401" s="11" t="s">
        <v>592</v>
      </c>
      <c r="H401" s="11" t="s">
        <v>486</v>
      </c>
      <c r="I401" s="11" t="s">
        <v>487</v>
      </c>
      <c r="J401" s="11" t="s">
        <v>629</v>
      </c>
    </row>
    <row r="402" customFormat="false" ht="15" hidden="false" customHeight="false" outlineLevel="0" collapsed="false">
      <c r="A402" s="14" t="s">
        <v>480</v>
      </c>
      <c r="B402" s="14" t="s">
        <v>481</v>
      </c>
      <c r="C402" s="14" t="n">
        <v>2020</v>
      </c>
      <c r="D402" s="14" t="s">
        <v>34</v>
      </c>
      <c r="E402" s="15" t="n">
        <v>52199</v>
      </c>
      <c r="F402" s="16" t="n">
        <v>0.00221546102250323</v>
      </c>
      <c r="G402" s="14" t="s">
        <v>591</v>
      </c>
      <c r="H402" s="14" t="s">
        <v>486</v>
      </c>
      <c r="I402" s="14" t="s">
        <v>487</v>
      </c>
      <c r="J402" s="14" t="s">
        <v>506</v>
      </c>
    </row>
    <row r="403" customFormat="false" ht="15" hidden="false" customHeight="false" outlineLevel="0" collapsed="false">
      <c r="A403" s="14" t="s">
        <v>480</v>
      </c>
      <c r="B403" s="14" t="s">
        <v>481</v>
      </c>
      <c r="C403" s="14" t="n">
        <v>2021</v>
      </c>
      <c r="D403" s="14" t="s">
        <v>34</v>
      </c>
      <c r="E403" s="15" t="n">
        <v>55805</v>
      </c>
      <c r="F403" s="16" t="n">
        <v>0.00238734760953372</v>
      </c>
      <c r="G403" s="14" t="s">
        <v>591</v>
      </c>
      <c r="H403" s="14" t="s">
        <v>486</v>
      </c>
      <c r="I403" s="14" t="s">
        <v>487</v>
      </c>
      <c r="J403" s="14" t="s">
        <v>507</v>
      </c>
    </row>
    <row r="404" customFormat="false" ht="15" hidden="false" customHeight="false" outlineLevel="0" collapsed="false">
      <c r="A404" s="14" t="s">
        <v>480</v>
      </c>
      <c r="B404" s="14" t="s">
        <v>481</v>
      </c>
      <c r="C404" s="14" t="n">
        <v>2022</v>
      </c>
      <c r="D404" s="14" t="s">
        <v>34</v>
      </c>
      <c r="E404" s="15" t="n">
        <v>80331</v>
      </c>
      <c r="F404" s="16" t="n">
        <v>0.00345292254683503</v>
      </c>
      <c r="G404" s="14" t="s">
        <v>591</v>
      </c>
      <c r="H404" s="14" t="s">
        <v>486</v>
      </c>
      <c r="I404" s="14" t="s">
        <v>487</v>
      </c>
      <c r="J404" s="14" t="s">
        <v>509</v>
      </c>
    </row>
    <row r="405" customFormat="false" ht="15" hidden="false" customHeight="false" outlineLevel="0" collapsed="false">
      <c r="A405" s="14" t="s">
        <v>557</v>
      </c>
      <c r="B405" s="14" t="s">
        <v>558</v>
      </c>
      <c r="C405" s="14" t="n">
        <v>2010</v>
      </c>
      <c r="D405" s="14" t="s">
        <v>30</v>
      </c>
      <c r="E405" s="15" t="n">
        <v>11590000</v>
      </c>
      <c r="F405" s="16" t="n">
        <v>0.0374622355050215</v>
      </c>
      <c r="G405" s="14" t="s">
        <v>591</v>
      </c>
      <c r="H405" s="14" t="s">
        <v>565</v>
      </c>
      <c r="I405" s="14" t="s">
        <v>566</v>
      </c>
      <c r="J405" s="14" t="s">
        <v>567</v>
      </c>
    </row>
    <row r="406" customFormat="false" ht="15" hidden="false" customHeight="false" outlineLevel="0" collapsed="false">
      <c r="A406" s="11" t="s">
        <v>557</v>
      </c>
      <c r="B406" s="11" t="s">
        <v>558</v>
      </c>
      <c r="C406" s="11" t="n">
        <v>2010</v>
      </c>
      <c r="D406" s="11" t="s">
        <v>30</v>
      </c>
      <c r="E406" s="17" t="n">
        <v>11200000</v>
      </c>
      <c r="F406" s="18" t="n">
        <v>0.0362016425932908</v>
      </c>
      <c r="G406" s="11" t="s">
        <v>592</v>
      </c>
      <c r="H406" s="11" t="s">
        <v>630</v>
      </c>
      <c r="I406" s="11" t="s">
        <v>631</v>
      </c>
      <c r="J406" s="11" t="s">
        <v>632</v>
      </c>
    </row>
    <row r="407" customFormat="false" ht="15" hidden="false" customHeight="false" outlineLevel="0" collapsed="false">
      <c r="A407" s="11" t="s">
        <v>557</v>
      </c>
      <c r="B407" s="11" t="s">
        <v>558</v>
      </c>
      <c r="C407" s="11" t="n">
        <v>2010</v>
      </c>
      <c r="D407" s="11" t="s">
        <v>30</v>
      </c>
      <c r="E407" s="17" t="n">
        <v>10790000</v>
      </c>
      <c r="F407" s="18" t="n">
        <v>0.034876403891215</v>
      </c>
      <c r="G407" s="11" t="s">
        <v>607</v>
      </c>
      <c r="H407" s="11" t="s">
        <v>633</v>
      </c>
      <c r="I407" s="11" t="s">
        <v>566</v>
      </c>
      <c r="J407" s="11" t="s">
        <v>634</v>
      </c>
    </row>
    <row r="408" customFormat="false" ht="15" hidden="false" customHeight="false" outlineLevel="0" collapsed="false">
      <c r="A408" s="14" t="s">
        <v>557</v>
      </c>
      <c r="B408" s="14" t="s">
        <v>558</v>
      </c>
      <c r="C408" s="14" t="n">
        <v>2011</v>
      </c>
      <c r="D408" s="14" t="s">
        <v>30</v>
      </c>
      <c r="E408" s="15" t="n">
        <v>11510000</v>
      </c>
      <c r="F408" s="16" t="n">
        <v>0.036910017619611</v>
      </c>
      <c r="G408" s="14" t="s">
        <v>591</v>
      </c>
      <c r="H408" s="14" t="s">
        <v>565</v>
      </c>
      <c r="I408" s="14" t="s">
        <v>566</v>
      </c>
      <c r="J408" s="14" t="s">
        <v>568</v>
      </c>
    </row>
    <row r="409" customFormat="false" ht="15" hidden="false" customHeight="false" outlineLevel="0" collapsed="false">
      <c r="A409" s="11" t="s">
        <v>557</v>
      </c>
      <c r="B409" s="11" t="s">
        <v>558</v>
      </c>
      <c r="C409" s="11" t="n">
        <v>2011</v>
      </c>
      <c r="D409" s="11" t="s">
        <v>30</v>
      </c>
      <c r="E409" s="17" t="n">
        <v>10300000</v>
      </c>
      <c r="F409" s="18" t="n">
        <v>0.0330298159410941</v>
      </c>
      <c r="G409" s="11" t="s">
        <v>592</v>
      </c>
      <c r="H409" s="11" t="s">
        <v>635</v>
      </c>
      <c r="I409" s="11" t="s">
        <v>636</v>
      </c>
      <c r="J409" s="11" t="s">
        <v>637</v>
      </c>
    </row>
    <row r="410" customFormat="false" ht="15" hidden="false" customHeight="false" outlineLevel="0" collapsed="false">
      <c r="A410" s="14" t="s">
        <v>557</v>
      </c>
      <c r="B410" s="14" t="s">
        <v>558</v>
      </c>
      <c r="C410" s="14" t="n">
        <v>2012</v>
      </c>
      <c r="D410" s="14" t="s">
        <v>30</v>
      </c>
      <c r="E410" s="15" t="n">
        <v>11430000</v>
      </c>
      <c r="F410" s="16" t="n">
        <v>0.0363620053514246</v>
      </c>
      <c r="G410" s="14" t="s">
        <v>591</v>
      </c>
      <c r="H410" s="14" t="s">
        <v>565</v>
      </c>
      <c r="I410" s="14" t="s">
        <v>566</v>
      </c>
      <c r="J410" s="14" t="s">
        <v>569</v>
      </c>
    </row>
    <row r="411" customFormat="false" ht="15" hidden="false" customHeight="false" outlineLevel="0" collapsed="false">
      <c r="A411" s="14" t="s">
        <v>557</v>
      </c>
      <c r="B411" s="14" t="s">
        <v>558</v>
      </c>
      <c r="C411" s="14" t="n">
        <v>2013</v>
      </c>
      <c r="D411" s="14" t="s">
        <v>30</v>
      </c>
      <c r="E411" s="15" t="n">
        <v>11210000</v>
      </c>
      <c r="F411" s="16" t="n">
        <v>0.0353933368876537</v>
      </c>
      <c r="G411" s="14" t="s">
        <v>591</v>
      </c>
      <c r="H411" s="14" t="s">
        <v>565</v>
      </c>
      <c r="I411" s="14" t="s">
        <v>566</v>
      </c>
      <c r="J411" s="14" t="s">
        <v>570</v>
      </c>
    </row>
    <row r="412" customFormat="false" ht="15" hidden="false" customHeight="false" outlineLevel="0" collapsed="false">
      <c r="A412" s="14" t="s">
        <v>557</v>
      </c>
      <c r="B412" s="14" t="s">
        <v>558</v>
      </c>
      <c r="C412" s="14" t="n">
        <v>2014</v>
      </c>
      <c r="D412" s="14" t="s">
        <v>30</v>
      </c>
      <c r="E412" s="15" t="n">
        <v>11460000</v>
      </c>
      <c r="F412" s="16" t="n">
        <v>0.0358957827028434</v>
      </c>
      <c r="G412" s="14" t="s">
        <v>591</v>
      </c>
      <c r="H412" s="14" t="s">
        <v>565</v>
      </c>
      <c r="I412" s="14" t="s">
        <v>566</v>
      </c>
      <c r="J412" s="14" t="s">
        <v>571</v>
      </c>
    </row>
    <row r="413" customFormat="false" ht="15" hidden="false" customHeight="false" outlineLevel="0" collapsed="false">
      <c r="A413" s="14" t="s">
        <v>557</v>
      </c>
      <c r="B413" s="14" t="s">
        <v>558</v>
      </c>
      <c r="C413" s="14" t="n">
        <v>2015</v>
      </c>
      <c r="D413" s="14" t="s">
        <v>30</v>
      </c>
      <c r="E413" s="15" t="n">
        <v>11440000</v>
      </c>
      <c r="F413" s="16" t="n">
        <v>0.0355483606999312</v>
      </c>
      <c r="G413" s="14" t="s">
        <v>591</v>
      </c>
      <c r="H413" s="14" t="s">
        <v>565</v>
      </c>
      <c r="I413" s="14" t="s">
        <v>566</v>
      </c>
      <c r="J413" s="14" t="s">
        <v>572</v>
      </c>
    </row>
    <row r="414" customFormat="false" ht="15" hidden="false" customHeight="false" outlineLevel="0" collapsed="false">
      <c r="A414" s="11" t="s">
        <v>557</v>
      </c>
      <c r="B414" s="11" t="s">
        <v>558</v>
      </c>
      <c r="C414" s="11" t="n">
        <v>2015</v>
      </c>
      <c r="D414" s="11" t="s">
        <v>30</v>
      </c>
      <c r="E414" s="17" t="n">
        <v>11960000</v>
      </c>
      <c r="F414" s="18" t="n">
        <v>0.0371641952772008</v>
      </c>
      <c r="G414" s="11" t="s">
        <v>592</v>
      </c>
      <c r="H414" s="11" t="s">
        <v>638</v>
      </c>
      <c r="I414" s="11" t="s">
        <v>566</v>
      </c>
      <c r="J414" s="11" t="s">
        <v>639</v>
      </c>
    </row>
    <row r="415" customFormat="false" ht="15" hidden="false" customHeight="false" outlineLevel="0" collapsed="false">
      <c r="A415" s="14" t="s">
        <v>557</v>
      </c>
      <c r="B415" s="14" t="s">
        <v>558</v>
      </c>
      <c r="C415" s="14" t="n">
        <v>2016</v>
      </c>
      <c r="D415" s="14" t="s">
        <v>30</v>
      </c>
      <c r="E415" s="15" t="n">
        <v>11750000</v>
      </c>
      <c r="F415" s="16" t="n">
        <v>0.0362259257142227</v>
      </c>
      <c r="G415" s="14" t="s">
        <v>591</v>
      </c>
      <c r="H415" s="14" t="s">
        <v>565</v>
      </c>
      <c r="I415" s="14" t="s">
        <v>566</v>
      </c>
      <c r="J415" s="14" t="s">
        <v>573</v>
      </c>
    </row>
    <row r="416" customFormat="false" ht="15" hidden="false" customHeight="false" outlineLevel="0" collapsed="false">
      <c r="A416" s="14" t="s">
        <v>557</v>
      </c>
      <c r="B416" s="14" t="s">
        <v>558</v>
      </c>
      <c r="C416" s="14" t="n">
        <v>2017</v>
      </c>
      <c r="D416" s="14" t="s">
        <v>30</v>
      </c>
      <c r="E416" s="15" t="n">
        <v>11410000</v>
      </c>
      <c r="F416" s="16" t="n">
        <v>0.0349347803015199</v>
      </c>
      <c r="G416" s="14" t="s">
        <v>591</v>
      </c>
      <c r="H416" s="14" t="s">
        <v>565</v>
      </c>
      <c r="I416" s="14" t="s">
        <v>566</v>
      </c>
      <c r="J416" s="14" t="s">
        <v>574</v>
      </c>
    </row>
    <row r="417" customFormat="false" ht="15" hidden="false" customHeight="false" outlineLevel="0" collapsed="false">
      <c r="A417" s="11" t="s">
        <v>557</v>
      </c>
      <c r="B417" s="11" t="s">
        <v>558</v>
      </c>
      <c r="C417" s="11" t="n">
        <v>2017</v>
      </c>
      <c r="D417" s="11" t="s">
        <v>30</v>
      </c>
      <c r="E417" s="17" t="n">
        <v>10500000</v>
      </c>
      <c r="F417" s="18" t="n">
        <v>0.0321485708296195</v>
      </c>
      <c r="G417" s="11" t="s">
        <v>592</v>
      </c>
      <c r="H417" s="11" t="s">
        <v>640</v>
      </c>
      <c r="I417" s="11" t="s">
        <v>641</v>
      </c>
      <c r="J417" s="11" t="s">
        <v>642</v>
      </c>
    </row>
    <row r="418" customFormat="false" ht="15" hidden="false" customHeight="false" outlineLevel="0" collapsed="false">
      <c r="A418" s="14" t="s">
        <v>557</v>
      </c>
      <c r="B418" s="14" t="s">
        <v>558</v>
      </c>
      <c r="C418" s="14" t="n">
        <v>2018</v>
      </c>
      <c r="D418" s="14" t="s">
        <v>30</v>
      </c>
      <c r="E418" s="15" t="n">
        <v>11390000</v>
      </c>
      <c r="F418" s="16" t="n">
        <v>0.0346696334132497</v>
      </c>
      <c r="G418" s="14" t="s">
        <v>591</v>
      </c>
      <c r="H418" s="14" t="s">
        <v>565</v>
      </c>
      <c r="I418" s="14" t="s">
        <v>566</v>
      </c>
      <c r="J418" s="14" t="s">
        <v>575</v>
      </c>
    </row>
    <row r="419" customFormat="false" ht="15" hidden="false" customHeight="false" outlineLevel="0" collapsed="false">
      <c r="A419" s="11" t="s">
        <v>557</v>
      </c>
      <c r="B419" s="11" t="s">
        <v>558</v>
      </c>
      <c r="C419" s="11" t="n">
        <v>2018</v>
      </c>
      <c r="D419" s="11" t="s">
        <v>30</v>
      </c>
      <c r="E419" s="17" t="n">
        <v>11000000</v>
      </c>
      <c r="F419" s="18" t="n">
        <v>0.0334825256844379</v>
      </c>
      <c r="G419" s="11" t="s">
        <v>592</v>
      </c>
      <c r="H419" s="11" t="s">
        <v>635</v>
      </c>
      <c r="I419" s="11" t="s">
        <v>636</v>
      </c>
      <c r="J419" s="11" t="s">
        <v>643</v>
      </c>
    </row>
    <row r="420" customFormat="false" ht="15" hidden="false" customHeight="false" outlineLevel="0" collapsed="false">
      <c r="A420" s="14" t="s">
        <v>557</v>
      </c>
      <c r="B420" s="14" t="s">
        <v>558</v>
      </c>
      <c r="C420" s="14" t="n">
        <v>2019</v>
      </c>
      <c r="D420" s="14" t="s">
        <v>30</v>
      </c>
      <c r="E420" s="15" t="n">
        <v>11110000</v>
      </c>
      <c r="F420" s="16" t="n">
        <v>0.0336436027535754</v>
      </c>
      <c r="G420" s="14" t="s">
        <v>591</v>
      </c>
      <c r="H420" s="14" t="s">
        <v>576</v>
      </c>
      <c r="I420" s="14" t="s">
        <v>577</v>
      </c>
      <c r="J420" s="14" t="s">
        <v>578</v>
      </c>
    </row>
    <row r="421" customFormat="false" ht="15" hidden="false" customHeight="false" outlineLevel="0" collapsed="false">
      <c r="A421" s="11" t="s">
        <v>557</v>
      </c>
      <c r="B421" s="11" t="s">
        <v>558</v>
      </c>
      <c r="C421" s="11" t="n">
        <v>2019</v>
      </c>
      <c r="D421" s="11" t="s">
        <v>30</v>
      </c>
      <c r="E421" s="17" t="n">
        <v>11000000</v>
      </c>
      <c r="F421" s="18" t="n">
        <v>0.0333104977758172</v>
      </c>
      <c r="G421" s="11" t="s">
        <v>592</v>
      </c>
      <c r="H421" s="11" t="s">
        <v>644</v>
      </c>
      <c r="I421" s="11" t="s">
        <v>645</v>
      </c>
      <c r="J421" s="11" t="s">
        <v>646</v>
      </c>
    </row>
    <row r="422" customFormat="false" ht="15" hidden="false" customHeight="false" outlineLevel="0" collapsed="false">
      <c r="A422" s="11" t="s">
        <v>557</v>
      </c>
      <c r="B422" s="11" t="s">
        <v>558</v>
      </c>
      <c r="C422" s="11" t="n">
        <v>2019</v>
      </c>
      <c r="D422" s="11" t="s">
        <v>30</v>
      </c>
      <c r="E422" s="17" t="n">
        <v>10350000</v>
      </c>
      <c r="F422" s="18" t="n">
        <v>0.0313421501799734</v>
      </c>
      <c r="G422" s="11" t="s">
        <v>607</v>
      </c>
      <c r="H422" s="11" t="s">
        <v>647</v>
      </c>
      <c r="I422" s="11" t="s">
        <v>648</v>
      </c>
      <c r="J422" s="11" t="s">
        <v>649</v>
      </c>
    </row>
    <row r="423" customFormat="false" ht="15" hidden="false" customHeight="false" outlineLevel="0" collapsed="false">
      <c r="A423" s="14" t="s">
        <v>557</v>
      </c>
      <c r="B423" s="14" t="s">
        <v>558</v>
      </c>
      <c r="C423" s="14" t="n">
        <v>2020</v>
      </c>
      <c r="D423" s="14" t="s">
        <v>30</v>
      </c>
      <c r="E423" s="15" t="n">
        <v>10510000</v>
      </c>
      <c r="F423" s="16" t="n">
        <v>0.0316969060176543</v>
      </c>
      <c r="G423" s="14" t="s">
        <v>591</v>
      </c>
      <c r="H423" s="14" t="s">
        <v>576</v>
      </c>
      <c r="I423" s="14" t="s">
        <v>577</v>
      </c>
      <c r="J423" s="14" t="s">
        <v>579</v>
      </c>
    </row>
    <row r="424" customFormat="false" ht="15" hidden="false" customHeight="false" outlineLevel="0" collapsed="false">
      <c r="A424" s="11" t="s">
        <v>557</v>
      </c>
      <c r="B424" s="11" t="s">
        <v>558</v>
      </c>
      <c r="C424" s="11" t="n">
        <v>2020</v>
      </c>
      <c r="D424" s="11" t="s">
        <v>30</v>
      </c>
      <c r="E424" s="17" t="n">
        <v>10210000</v>
      </c>
      <c r="F424" s="18" t="n">
        <v>0.0307921418116318</v>
      </c>
      <c r="G424" s="11" t="s">
        <v>592</v>
      </c>
      <c r="H424" s="11" t="s">
        <v>647</v>
      </c>
      <c r="I424" s="11" t="s">
        <v>648</v>
      </c>
      <c r="J424" s="11" t="s">
        <v>650</v>
      </c>
    </row>
    <row r="425" customFormat="false" ht="15" hidden="false" customHeight="false" outlineLevel="0" collapsed="false">
      <c r="A425" s="11" t="s">
        <v>557</v>
      </c>
      <c r="B425" s="11" t="s">
        <v>558</v>
      </c>
      <c r="C425" s="11" t="n">
        <v>2020</v>
      </c>
      <c r="D425" s="11" t="s">
        <v>30</v>
      </c>
      <c r="E425" s="17" t="n">
        <v>10000000</v>
      </c>
      <c r="F425" s="18" t="n">
        <v>0.0301588068674161</v>
      </c>
      <c r="G425" s="11" t="s">
        <v>607</v>
      </c>
      <c r="H425" s="11" t="s">
        <v>651</v>
      </c>
      <c r="I425" s="11" t="s">
        <v>652</v>
      </c>
      <c r="J425" s="11" t="s">
        <v>653</v>
      </c>
    </row>
    <row r="426" customFormat="false" ht="15" hidden="false" customHeight="false" outlineLevel="0" collapsed="false">
      <c r="A426" s="14" t="s">
        <v>557</v>
      </c>
      <c r="B426" s="14" t="s">
        <v>558</v>
      </c>
      <c r="C426" s="14" t="n">
        <v>2021</v>
      </c>
      <c r="D426" s="14" t="s">
        <v>30</v>
      </c>
      <c r="E426" s="15" t="n">
        <v>10500000</v>
      </c>
      <c r="F426" s="16" t="n">
        <v>0.0316169670327717</v>
      </c>
      <c r="G426" s="14" t="s">
        <v>591</v>
      </c>
      <c r="H426" s="14" t="s">
        <v>580</v>
      </c>
      <c r="I426" s="14" t="s">
        <v>581</v>
      </c>
      <c r="J426" s="14" t="s">
        <v>582</v>
      </c>
    </row>
    <row r="427" customFormat="false" ht="15" hidden="false" customHeight="false" outlineLevel="0" collapsed="false">
      <c r="A427" s="11" t="s">
        <v>557</v>
      </c>
      <c r="B427" s="11" t="s">
        <v>558</v>
      </c>
      <c r="C427" s="11" t="n">
        <v>2021</v>
      </c>
      <c r="D427" s="11" t="s">
        <v>30</v>
      </c>
      <c r="E427" s="17" t="n">
        <v>11200000</v>
      </c>
      <c r="F427" s="18" t="n">
        <v>0.0337247648349565</v>
      </c>
      <c r="G427" s="11" t="s">
        <v>592</v>
      </c>
      <c r="H427" s="11" t="s">
        <v>644</v>
      </c>
      <c r="I427" s="11" t="s">
        <v>645</v>
      </c>
      <c r="J427" s="11" t="s">
        <v>654</v>
      </c>
    </row>
    <row r="428" customFormat="false" ht="15" hidden="false" customHeight="false" outlineLevel="0" collapsed="false">
      <c r="A428" s="11" t="s">
        <v>557</v>
      </c>
      <c r="B428" s="11" t="s">
        <v>558</v>
      </c>
      <c r="C428" s="11" t="n">
        <v>2021</v>
      </c>
      <c r="D428" s="11" t="s">
        <v>30</v>
      </c>
      <c r="E428" s="17" t="n">
        <v>10500000</v>
      </c>
      <c r="F428" s="18" t="n">
        <v>0.0316169670327717</v>
      </c>
      <c r="G428" s="11" t="s">
        <v>607</v>
      </c>
      <c r="H428" s="11" t="s">
        <v>655</v>
      </c>
      <c r="I428" s="11" t="s">
        <v>656</v>
      </c>
      <c r="J428" s="11" t="s">
        <v>657</v>
      </c>
    </row>
    <row r="429" customFormat="false" ht="15" hidden="false" customHeight="false" outlineLevel="0" collapsed="false">
      <c r="A429" s="11" t="s">
        <v>557</v>
      </c>
      <c r="B429" s="11" t="s">
        <v>558</v>
      </c>
      <c r="C429" s="11" t="n">
        <v>2021</v>
      </c>
      <c r="D429" s="11" t="s">
        <v>30</v>
      </c>
      <c r="E429" s="17" t="n">
        <v>10290000</v>
      </c>
      <c r="F429" s="18" t="n">
        <v>0.0309846276921162</v>
      </c>
      <c r="G429" s="11" t="s">
        <v>658</v>
      </c>
      <c r="H429" s="11" t="s">
        <v>647</v>
      </c>
      <c r="I429" s="11" t="s">
        <v>648</v>
      </c>
      <c r="J429" s="11" t="s">
        <v>659</v>
      </c>
    </row>
    <row r="430" customFormat="false" ht="15" hidden="false" customHeight="false" outlineLevel="0" collapsed="false">
      <c r="A430" s="14" t="s">
        <v>557</v>
      </c>
      <c r="B430" s="14" t="s">
        <v>558</v>
      </c>
      <c r="C430" s="14" t="n">
        <v>2022</v>
      </c>
      <c r="D430" s="14" t="s">
        <v>30</v>
      </c>
      <c r="E430" s="15" t="n">
        <v>10990000</v>
      </c>
      <c r="F430" s="16" t="n">
        <v>0.0329045557342455</v>
      </c>
      <c r="G430" s="14" t="s">
        <v>591</v>
      </c>
      <c r="H430" s="14" t="s">
        <v>576</v>
      </c>
      <c r="I430" s="14" t="s">
        <v>577</v>
      </c>
      <c r="J430" s="14" t="s">
        <v>583</v>
      </c>
    </row>
    <row r="431" customFormat="false" ht="15" hidden="false" customHeight="false" outlineLevel="0" collapsed="false">
      <c r="A431" s="11" t="s">
        <v>557</v>
      </c>
      <c r="B431" s="11" t="s">
        <v>558</v>
      </c>
      <c r="C431" s="11" t="n">
        <v>2022</v>
      </c>
      <c r="D431" s="11" t="s">
        <v>30</v>
      </c>
      <c r="E431" s="17" t="n">
        <v>11800000</v>
      </c>
      <c r="F431" s="18" t="n">
        <v>0.0353297322715284</v>
      </c>
      <c r="G431" s="11" t="s">
        <v>592</v>
      </c>
      <c r="H431" s="11" t="s">
        <v>580</v>
      </c>
      <c r="I431" s="11" t="s">
        <v>581</v>
      </c>
      <c r="J431" s="11" t="s">
        <v>660</v>
      </c>
    </row>
    <row r="432" customFormat="false" ht="15" hidden="false" customHeight="false" outlineLevel="0" collapsed="false">
      <c r="A432" s="11" t="s">
        <v>557</v>
      </c>
      <c r="B432" s="11" t="s">
        <v>558</v>
      </c>
      <c r="C432" s="11" t="n">
        <v>2022</v>
      </c>
      <c r="D432" s="11" t="s">
        <v>30</v>
      </c>
      <c r="E432" s="17" t="n">
        <v>11300000</v>
      </c>
      <c r="F432" s="18" t="n">
        <v>0.0338327097176501</v>
      </c>
      <c r="G432" s="11" t="s">
        <v>607</v>
      </c>
      <c r="H432" s="11" t="s">
        <v>644</v>
      </c>
      <c r="I432" s="11" t="s">
        <v>645</v>
      </c>
      <c r="J432" s="11" t="s">
        <v>661</v>
      </c>
    </row>
    <row r="433" customFormat="false" ht="15" hidden="false" customHeight="false" outlineLevel="0" collapsed="false">
      <c r="A433" s="11" t="s">
        <v>557</v>
      </c>
      <c r="B433" s="11" t="s">
        <v>558</v>
      </c>
      <c r="C433" s="11" t="n">
        <v>2022</v>
      </c>
      <c r="D433" s="11" t="s">
        <v>30</v>
      </c>
      <c r="E433" s="17" t="n">
        <v>11000000</v>
      </c>
      <c r="F433" s="18" t="n">
        <v>0.0329344961853231</v>
      </c>
      <c r="G433" s="11" t="s">
        <v>658</v>
      </c>
      <c r="H433" s="11" t="s">
        <v>655</v>
      </c>
      <c r="I433" s="11" t="s">
        <v>656</v>
      </c>
      <c r="J433" s="11" t="s">
        <v>662</v>
      </c>
    </row>
    <row r="434" customFormat="false" ht="15" hidden="false" customHeight="false" outlineLevel="0" collapsed="false">
      <c r="A434" s="11" t="s">
        <v>557</v>
      </c>
      <c r="B434" s="11" t="s">
        <v>558</v>
      </c>
      <c r="C434" s="11" t="n">
        <v>2022</v>
      </c>
      <c r="D434" s="11" t="s">
        <v>30</v>
      </c>
      <c r="E434" s="17" t="n">
        <v>10940000</v>
      </c>
      <c r="F434" s="18" t="n">
        <v>0.0327548534788577</v>
      </c>
      <c r="G434" s="11" t="s">
        <v>663</v>
      </c>
      <c r="H434" s="11" t="s">
        <v>647</v>
      </c>
      <c r="I434" s="11" t="s">
        <v>648</v>
      </c>
      <c r="J434" s="11" t="s">
        <v>664</v>
      </c>
    </row>
  </sheetData>
  <autoFilter ref="A1:J4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7"/>
    <col collapsed="false" customWidth="true" hidden="false" outlineLevel="0" max="4" min="4" style="0" width="26"/>
    <col collapsed="false" customWidth="true" hidden="false" outlineLevel="0" max="5" min="5" style="0" width="14"/>
    <col collapsed="false" customWidth="true" hidden="false" outlineLevel="0" max="6" min="6" style="0" width="60"/>
    <col collapsed="false" customWidth="true" hidden="false" outlineLevel="0" max="7" min="7" style="0" width="46"/>
    <col collapsed="false" customWidth="true" hidden="false" outlineLevel="0" max="8" min="8" style="0" width="80"/>
    <col collapsed="false" customWidth="true" hidden="false" outlineLevel="0" max="9" min="9" style="0" width="12"/>
    <col collapsed="false" customWidth="true" hidden="false" outlineLevel="0" max="10" min="10" style="0" width="20"/>
  </cols>
  <sheetData>
    <row r="1" customFormat="false" ht="15" hidden="false" customHeight="false" outlineLevel="0" collapsed="false">
      <c r="A1" s="6" t="s">
        <v>61</v>
      </c>
      <c r="B1" s="6" t="s">
        <v>62</v>
      </c>
      <c r="C1" s="6" t="s">
        <v>67</v>
      </c>
      <c r="D1" s="6" t="s">
        <v>584</v>
      </c>
      <c r="E1" s="6" t="s">
        <v>585</v>
      </c>
      <c r="F1" s="6" t="s">
        <v>588</v>
      </c>
      <c r="G1" s="6" t="s">
        <v>589</v>
      </c>
      <c r="H1" s="6" t="s">
        <v>590</v>
      </c>
      <c r="I1" s="6" t="s">
        <v>665</v>
      </c>
      <c r="J1" s="6" t="s">
        <v>666</v>
      </c>
    </row>
    <row r="2" customFormat="false" ht="15" hidden="false" customHeight="false" outlineLevel="0" collapsed="false">
      <c r="A2" s="11" t="s">
        <v>94</v>
      </c>
      <c r="B2" s="11" t="s">
        <v>95</v>
      </c>
      <c r="C2" s="11" t="n">
        <v>2010</v>
      </c>
      <c r="D2" s="11" t="s">
        <v>22</v>
      </c>
      <c r="E2" s="17" t="n">
        <v>5881360</v>
      </c>
      <c r="F2" s="11" t="s">
        <v>101</v>
      </c>
      <c r="G2" s="11" t="s">
        <v>102</v>
      </c>
      <c r="H2" s="11" t="s">
        <v>103</v>
      </c>
      <c r="I2" s="11" t="s">
        <v>667</v>
      </c>
      <c r="J2" s="11" t="s">
        <v>668</v>
      </c>
    </row>
    <row r="3" customFormat="false" ht="15" hidden="false" customHeight="false" outlineLevel="0" collapsed="false">
      <c r="A3" s="11" t="s">
        <v>94</v>
      </c>
      <c r="B3" s="11" t="s">
        <v>95</v>
      </c>
      <c r="C3" s="11" t="n">
        <v>2011</v>
      </c>
      <c r="D3" s="11" t="s">
        <v>22</v>
      </c>
      <c r="E3" s="17" t="n">
        <v>6018180</v>
      </c>
      <c r="F3" s="11" t="s">
        <v>101</v>
      </c>
      <c r="G3" s="11" t="s">
        <v>102</v>
      </c>
      <c r="H3" s="11" t="s">
        <v>103</v>
      </c>
      <c r="I3" s="11" t="s">
        <v>667</v>
      </c>
      <c r="J3" s="11" t="s">
        <v>668</v>
      </c>
    </row>
    <row r="4" customFormat="false" ht="15" hidden="false" customHeight="false" outlineLevel="0" collapsed="false">
      <c r="A4" s="11" t="s">
        <v>94</v>
      </c>
      <c r="B4" s="11" t="s">
        <v>95</v>
      </c>
      <c r="C4" s="11" t="n">
        <v>2012</v>
      </c>
      <c r="D4" s="11" t="s">
        <v>22</v>
      </c>
      <c r="E4" s="17" t="n">
        <v>6214010</v>
      </c>
      <c r="F4" s="11" t="s">
        <v>101</v>
      </c>
      <c r="G4" s="11" t="s">
        <v>102</v>
      </c>
      <c r="H4" s="11" t="s">
        <v>103</v>
      </c>
      <c r="I4" s="11" t="s">
        <v>667</v>
      </c>
      <c r="J4" s="11" t="s">
        <v>668</v>
      </c>
    </row>
    <row r="5" customFormat="false" ht="15" hidden="false" customHeight="false" outlineLevel="0" collapsed="false">
      <c r="A5" s="11" t="s">
        <v>94</v>
      </c>
      <c r="B5" s="11" t="s">
        <v>95</v>
      </c>
      <c r="C5" s="11" t="n">
        <v>2013</v>
      </c>
      <c r="D5" s="11" t="s">
        <v>22</v>
      </c>
      <c r="E5" s="17" t="n">
        <v>6408740</v>
      </c>
      <c r="F5" s="11" t="s">
        <v>101</v>
      </c>
      <c r="G5" s="11" t="s">
        <v>102</v>
      </c>
      <c r="H5" s="11" t="s">
        <v>103</v>
      </c>
      <c r="I5" s="11" t="s">
        <v>667</v>
      </c>
      <c r="J5" s="11" t="s">
        <v>668</v>
      </c>
    </row>
    <row r="6" customFormat="false" ht="15" hidden="false" customHeight="false" outlineLevel="0" collapsed="false">
      <c r="A6" s="11" t="s">
        <v>94</v>
      </c>
      <c r="B6" s="11" t="s">
        <v>95</v>
      </c>
      <c r="C6" s="11" t="n">
        <v>2014</v>
      </c>
      <c r="D6" s="11" t="s">
        <v>22</v>
      </c>
      <c r="E6" s="17" t="n">
        <v>6570240</v>
      </c>
      <c r="F6" s="11" t="s">
        <v>101</v>
      </c>
      <c r="G6" s="11" t="s">
        <v>102</v>
      </c>
      <c r="H6" s="11" t="s">
        <v>103</v>
      </c>
      <c r="I6" s="11" t="s">
        <v>667</v>
      </c>
      <c r="J6" s="11" t="s">
        <v>668</v>
      </c>
    </row>
    <row r="7" customFormat="false" ht="15" hidden="false" customHeight="false" outlineLevel="0" collapsed="false">
      <c r="A7" s="11" t="s">
        <v>94</v>
      </c>
      <c r="B7" s="11" t="s">
        <v>95</v>
      </c>
      <c r="C7" s="11" t="n">
        <v>2015</v>
      </c>
      <c r="D7" s="11" t="s">
        <v>22</v>
      </c>
      <c r="E7" s="17" t="n">
        <v>6729730</v>
      </c>
      <c r="F7" s="11" t="s">
        <v>101</v>
      </c>
      <c r="G7" s="11" t="s">
        <v>102</v>
      </c>
      <c r="H7" s="11" t="s">
        <v>103</v>
      </c>
      <c r="I7" s="11" t="s">
        <v>667</v>
      </c>
      <c r="J7" s="11" t="s">
        <v>668</v>
      </c>
    </row>
    <row r="8" customFormat="false" ht="15" hidden="false" customHeight="false" outlineLevel="0" collapsed="false">
      <c r="A8" s="11" t="s">
        <v>94</v>
      </c>
      <c r="B8" s="11" t="s">
        <v>95</v>
      </c>
      <c r="C8" s="11" t="n">
        <v>2016</v>
      </c>
      <c r="D8" s="11" t="s">
        <v>22</v>
      </c>
      <c r="E8" s="17" t="n">
        <v>6912110</v>
      </c>
      <c r="F8" s="11" t="s">
        <v>101</v>
      </c>
      <c r="G8" s="11" t="s">
        <v>102</v>
      </c>
      <c r="H8" s="11" t="s">
        <v>103</v>
      </c>
      <c r="I8" s="11" t="s">
        <v>667</v>
      </c>
      <c r="J8" s="11" t="s">
        <v>668</v>
      </c>
    </row>
    <row r="9" customFormat="false" ht="15" hidden="false" customHeight="false" outlineLevel="0" collapsed="false">
      <c r="A9" s="11" t="s">
        <v>94</v>
      </c>
      <c r="B9" s="11" t="s">
        <v>95</v>
      </c>
      <c r="C9" s="11" t="n">
        <v>2017</v>
      </c>
      <c r="D9" s="11" t="s">
        <v>22</v>
      </c>
      <c r="E9" s="17" t="n">
        <v>7142030</v>
      </c>
      <c r="F9" s="11" t="s">
        <v>101</v>
      </c>
      <c r="G9" s="11" t="s">
        <v>102</v>
      </c>
      <c r="H9" s="11" t="s">
        <v>103</v>
      </c>
      <c r="I9" s="11" t="s">
        <v>667</v>
      </c>
      <c r="J9" s="11" t="s">
        <v>668</v>
      </c>
    </row>
    <row r="10" customFormat="false" ht="15" hidden="false" customHeight="false" outlineLevel="0" collapsed="false">
      <c r="A10" s="11" t="s">
        <v>94</v>
      </c>
      <c r="B10" s="11" t="s">
        <v>95</v>
      </c>
      <c r="C10" s="11" t="n">
        <v>2018</v>
      </c>
      <c r="D10" s="11" t="s">
        <v>22</v>
      </c>
      <c r="E10" s="17" t="n">
        <v>7346520</v>
      </c>
      <c r="F10" s="11" t="s">
        <v>101</v>
      </c>
      <c r="G10" s="11" t="s">
        <v>102</v>
      </c>
      <c r="H10" s="11" t="s">
        <v>103</v>
      </c>
      <c r="I10" s="11" t="s">
        <v>667</v>
      </c>
      <c r="J10" s="11" t="s">
        <v>668</v>
      </c>
    </row>
    <row r="11" customFormat="false" ht="15" hidden="false" customHeight="false" outlineLevel="0" collapsed="false">
      <c r="A11" s="11" t="s">
        <v>94</v>
      </c>
      <c r="B11" s="11" t="s">
        <v>95</v>
      </c>
      <c r="C11" s="11" t="n">
        <v>2019</v>
      </c>
      <c r="D11" s="11" t="s">
        <v>22</v>
      </c>
      <c r="E11" s="17" t="n">
        <v>7549660</v>
      </c>
      <c r="F11" s="11" t="s">
        <v>101</v>
      </c>
      <c r="G11" s="11" t="s">
        <v>102</v>
      </c>
      <c r="H11" s="11" t="s">
        <v>103</v>
      </c>
      <c r="I11" s="11" t="s">
        <v>667</v>
      </c>
      <c r="J11" s="11" t="s">
        <v>668</v>
      </c>
    </row>
    <row r="12" customFormat="false" ht="15" hidden="false" customHeight="false" outlineLevel="0" collapsed="false">
      <c r="A12" s="11" t="s">
        <v>94</v>
      </c>
      <c r="B12" s="11" t="s">
        <v>95</v>
      </c>
      <c r="C12" s="11" t="n">
        <v>2020</v>
      </c>
      <c r="D12" s="11" t="s">
        <v>22</v>
      </c>
      <c r="E12" s="17" t="n">
        <v>7672450</v>
      </c>
      <c r="F12" s="11" t="s">
        <v>101</v>
      </c>
      <c r="G12" s="11" t="s">
        <v>102</v>
      </c>
      <c r="H12" s="11" t="s">
        <v>103</v>
      </c>
      <c r="I12" s="11" t="s">
        <v>667</v>
      </c>
      <c r="J12" s="11" t="s">
        <v>668</v>
      </c>
    </row>
    <row r="13" customFormat="false" ht="15" hidden="false" customHeight="false" outlineLevel="0" collapsed="false">
      <c r="A13" s="11" t="s">
        <v>94</v>
      </c>
      <c r="B13" s="11" t="s">
        <v>95</v>
      </c>
      <c r="C13" s="11" t="n">
        <v>2021</v>
      </c>
      <c r="D13" s="11" t="s">
        <v>22</v>
      </c>
      <c r="E13" s="17" t="n">
        <v>7525860</v>
      </c>
      <c r="F13" s="11" t="s">
        <v>101</v>
      </c>
      <c r="G13" s="11" t="s">
        <v>102</v>
      </c>
      <c r="H13" s="11" t="s">
        <v>103</v>
      </c>
      <c r="I13" s="11" t="s">
        <v>667</v>
      </c>
      <c r="J13" s="11" t="s">
        <v>668</v>
      </c>
    </row>
    <row r="14" customFormat="false" ht="15" hidden="false" customHeight="false" outlineLevel="0" collapsed="false">
      <c r="A14" s="11" t="s">
        <v>94</v>
      </c>
      <c r="B14" s="11" t="s">
        <v>95</v>
      </c>
      <c r="C14" s="11" t="n">
        <v>2022</v>
      </c>
      <c r="D14" s="11" t="s">
        <v>22</v>
      </c>
      <c r="E14" s="17" t="n">
        <v>7681720</v>
      </c>
      <c r="F14" s="11" t="s">
        <v>101</v>
      </c>
      <c r="G14" s="11" t="s">
        <v>102</v>
      </c>
      <c r="H14" s="11" t="s">
        <v>103</v>
      </c>
      <c r="I14" s="11" t="s">
        <v>667</v>
      </c>
      <c r="J14" s="11" t="s">
        <v>668</v>
      </c>
    </row>
    <row r="15" customFormat="false" ht="15" hidden="false" customHeight="false" outlineLevel="0" collapsed="false">
      <c r="A15" s="11" t="s">
        <v>94</v>
      </c>
      <c r="B15" s="11" t="s">
        <v>95</v>
      </c>
      <c r="C15" s="11" t="n">
        <v>2010</v>
      </c>
      <c r="D15" s="11" t="s">
        <v>34</v>
      </c>
      <c r="E15" s="17" t="n">
        <v>53900</v>
      </c>
      <c r="F15" s="11" t="s">
        <v>104</v>
      </c>
      <c r="G15" s="11" t="s">
        <v>105</v>
      </c>
      <c r="H15" s="11" t="s">
        <v>106</v>
      </c>
      <c r="I15" s="11" t="s">
        <v>667</v>
      </c>
      <c r="J15" s="11" t="s">
        <v>669</v>
      </c>
    </row>
    <row r="16" customFormat="false" ht="15" hidden="false" customHeight="false" outlineLevel="0" collapsed="false">
      <c r="A16" s="11" t="s">
        <v>94</v>
      </c>
      <c r="B16" s="11" t="s">
        <v>95</v>
      </c>
      <c r="C16" s="11" t="n">
        <v>2011</v>
      </c>
      <c r="D16" s="11" t="s">
        <v>34</v>
      </c>
      <c r="E16" s="17" t="n">
        <v>58400</v>
      </c>
      <c r="F16" s="11" t="s">
        <v>104</v>
      </c>
      <c r="G16" s="11" t="s">
        <v>105</v>
      </c>
      <c r="H16" s="11" t="s">
        <v>107</v>
      </c>
      <c r="I16" s="11" t="s">
        <v>667</v>
      </c>
      <c r="J16" s="11" t="s">
        <v>669</v>
      </c>
    </row>
    <row r="17" customFormat="false" ht="15" hidden="false" customHeight="false" outlineLevel="0" collapsed="false">
      <c r="A17" s="11" t="s">
        <v>94</v>
      </c>
      <c r="B17" s="11" t="s">
        <v>95</v>
      </c>
      <c r="C17" s="11" t="n">
        <v>2016</v>
      </c>
      <c r="D17" s="11" t="s">
        <v>34</v>
      </c>
      <c r="E17" s="17" t="n">
        <v>64600</v>
      </c>
      <c r="F17" s="11" t="s">
        <v>108</v>
      </c>
      <c r="G17" s="11" t="s">
        <v>109</v>
      </c>
      <c r="H17" s="11" t="s">
        <v>110</v>
      </c>
      <c r="I17" s="11" t="s">
        <v>667</v>
      </c>
      <c r="J17" s="11" t="s">
        <v>670</v>
      </c>
    </row>
    <row r="18" customFormat="false" ht="15" hidden="false" customHeight="false" outlineLevel="0" collapsed="false">
      <c r="A18" s="11" t="s">
        <v>94</v>
      </c>
      <c r="B18" s="11" t="s">
        <v>95</v>
      </c>
      <c r="C18" s="11" t="n">
        <v>2010</v>
      </c>
      <c r="D18" s="11" t="s">
        <v>18</v>
      </c>
      <c r="E18" s="17" t="n">
        <v>22031750</v>
      </c>
      <c r="F18" s="11" t="s">
        <v>98</v>
      </c>
      <c r="G18" s="11" t="s">
        <v>99</v>
      </c>
      <c r="H18" s="11" t="s">
        <v>671</v>
      </c>
      <c r="I18" s="11" t="s">
        <v>667</v>
      </c>
      <c r="J18" s="11" t="s">
        <v>672</v>
      </c>
    </row>
    <row r="19" customFormat="false" ht="15" hidden="false" customHeight="false" outlineLevel="0" collapsed="false">
      <c r="A19" s="11" t="s">
        <v>94</v>
      </c>
      <c r="B19" s="11" t="s">
        <v>95</v>
      </c>
      <c r="C19" s="11" t="n">
        <v>2011</v>
      </c>
      <c r="D19" s="11" t="s">
        <v>18</v>
      </c>
      <c r="E19" s="17" t="n">
        <v>22340024</v>
      </c>
      <c r="F19" s="11" t="s">
        <v>98</v>
      </c>
      <c r="G19" s="11" t="s">
        <v>99</v>
      </c>
      <c r="H19" s="11" t="s">
        <v>671</v>
      </c>
      <c r="I19" s="11" t="s">
        <v>667</v>
      </c>
      <c r="J19" s="11" t="s">
        <v>672</v>
      </c>
    </row>
    <row r="20" customFormat="false" ht="15" hidden="false" customHeight="false" outlineLevel="0" collapsed="false">
      <c r="A20" s="11" t="s">
        <v>94</v>
      </c>
      <c r="B20" s="11" t="s">
        <v>95</v>
      </c>
      <c r="C20" s="11" t="n">
        <v>2012</v>
      </c>
      <c r="D20" s="11" t="s">
        <v>18</v>
      </c>
      <c r="E20" s="17" t="n">
        <v>22733465</v>
      </c>
      <c r="F20" s="11" t="s">
        <v>98</v>
      </c>
      <c r="G20" s="11" t="s">
        <v>99</v>
      </c>
      <c r="H20" s="11" t="s">
        <v>671</v>
      </c>
      <c r="I20" s="11" t="s">
        <v>667</v>
      </c>
      <c r="J20" s="11" t="s">
        <v>672</v>
      </c>
    </row>
    <row r="21" customFormat="false" ht="15" hidden="false" customHeight="false" outlineLevel="0" collapsed="false">
      <c r="A21" s="11" t="s">
        <v>94</v>
      </c>
      <c r="B21" s="11" t="s">
        <v>95</v>
      </c>
      <c r="C21" s="11" t="n">
        <v>2013</v>
      </c>
      <c r="D21" s="11" t="s">
        <v>18</v>
      </c>
      <c r="E21" s="17" t="n">
        <v>23128129</v>
      </c>
      <c r="F21" s="11" t="s">
        <v>98</v>
      </c>
      <c r="G21" s="11" t="s">
        <v>99</v>
      </c>
      <c r="H21" s="11" t="s">
        <v>671</v>
      </c>
      <c r="I21" s="11" t="s">
        <v>667</v>
      </c>
      <c r="J21" s="11" t="s">
        <v>672</v>
      </c>
    </row>
    <row r="22" customFormat="false" ht="15" hidden="false" customHeight="false" outlineLevel="0" collapsed="false">
      <c r="A22" s="11" t="s">
        <v>94</v>
      </c>
      <c r="B22" s="11" t="s">
        <v>95</v>
      </c>
      <c r="C22" s="11" t="n">
        <v>2014</v>
      </c>
      <c r="D22" s="11" t="s">
        <v>18</v>
      </c>
      <c r="E22" s="17" t="n">
        <v>23475686</v>
      </c>
      <c r="F22" s="11" t="s">
        <v>98</v>
      </c>
      <c r="G22" s="11" t="s">
        <v>99</v>
      </c>
      <c r="H22" s="11" t="s">
        <v>671</v>
      </c>
      <c r="I22" s="11" t="s">
        <v>667</v>
      </c>
      <c r="J22" s="11" t="s">
        <v>672</v>
      </c>
    </row>
    <row r="23" customFormat="false" ht="15" hidden="false" customHeight="false" outlineLevel="0" collapsed="false">
      <c r="A23" s="11" t="s">
        <v>94</v>
      </c>
      <c r="B23" s="11" t="s">
        <v>95</v>
      </c>
      <c r="C23" s="11" t="n">
        <v>2015</v>
      </c>
      <c r="D23" s="11" t="s">
        <v>18</v>
      </c>
      <c r="E23" s="17" t="n">
        <v>23815995</v>
      </c>
      <c r="F23" s="11" t="s">
        <v>98</v>
      </c>
      <c r="G23" s="11" t="s">
        <v>99</v>
      </c>
      <c r="H23" s="11" t="s">
        <v>671</v>
      </c>
      <c r="I23" s="11" t="s">
        <v>667</v>
      </c>
      <c r="J23" s="11" t="s">
        <v>672</v>
      </c>
    </row>
    <row r="24" customFormat="false" ht="15" hidden="false" customHeight="false" outlineLevel="0" collapsed="false">
      <c r="A24" s="11" t="s">
        <v>94</v>
      </c>
      <c r="B24" s="11" t="s">
        <v>95</v>
      </c>
      <c r="C24" s="11" t="n">
        <v>2016</v>
      </c>
      <c r="D24" s="11" t="s">
        <v>18</v>
      </c>
      <c r="E24" s="17" t="n">
        <v>24190907</v>
      </c>
      <c r="F24" s="11" t="s">
        <v>98</v>
      </c>
      <c r="G24" s="11" t="s">
        <v>99</v>
      </c>
      <c r="H24" s="11" t="s">
        <v>671</v>
      </c>
      <c r="I24" s="11" t="s">
        <v>667</v>
      </c>
      <c r="J24" s="11" t="s">
        <v>672</v>
      </c>
    </row>
    <row r="25" customFormat="false" ht="15" hidden="false" customHeight="false" outlineLevel="0" collapsed="false">
      <c r="A25" s="11" t="s">
        <v>94</v>
      </c>
      <c r="B25" s="11" t="s">
        <v>95</v>
      </c>
      <c r="C25" s="11" t="n">
        <v>2017</v>
      </c>
      <c r="D25" s="11" t="s">
        <v>18</v>
      </c>
      <c r="E25" s="17" t="n">
        <v>24592588</v>
      </c>
      <c r="F25" s="11" t="s">
        <v>98</v>
      </c>
      <c r="G25" s="11" t="s">
        <v>99</v>
      </c>
      <c r="H25" s="11" t="s">
        <v>671</v>
      </c>
      <c r="I25" s="11" t="s">
        <v>667</v>
      </c>
      <c r="J25" s="11" t="s">
        <v>672</v>
      </c>
    </row>
    <row r="26" customFormat="false" ht="15" hidden="false" customHeight="false" outlineLevel="0" collapsed="false">
      <c r="A26" s="11" t="s">
        <v>94</v>
      </c>
      <c r="B26" s="11" t="s">
        <v>95</v>
      </c>
      <c r="C26" s="11" t="n">
        <v>2018</v>
      </c>
      <c r="D26" s="11" t="s">
        <v>18</v>
      </c>
      <c r="E26" s="17" t="n">
        <v>24963258</v>
      </c>
      <c r="F26" s="11" t="s">
        <v>98</v>
      </c>
      <c r="G26" s="11" t="s">
        <v>99</v>
      </c>
      <c r="H26" s="11" t="s">
        <v>671</v>
      </c>
      <c r="I26" s="11" t="s">
        <v>667</v>
      </c>
      <c r="J26" s="11" t="s">
        <v>672</v>
      </c>
    </row>
    <row r="27" customFormat="false" ht="15" hidden="false" customHeight="false" outlineLevel="0" collapsed="false">
      <c r="A27" s="11" t="s">
        <v>94</v>
      </c>
      <c r="B27" s="11" t="s">
        <v>95</v>
      </c>
      <c r="C27" s="11" t="n">
        <v>2019</v>
      </c>
      <c r="D27" s="11" t="s">
        <v>18</v>
      </c>
      <c r="E27" s="17" t="n">
        <v>25334826</v>
      </c>
      <c r="F27" s="11" t="s">
        <v>98</v>
      </c>
      <c r="G27" s="11" t="s">
        <v>99</v>
      </c>
      <c r="H27" s="11" t="s">
        <v>671</v>
      </c>
      <c r="I27" s="11" t="s">
        <v>667</v>
      </c>
      <c r="J27" s="11" t="s">
        <v>672</v>
      </c>
    </row>
    <row r="28" customFormat="false" ht="15" hidden="false" customHeight="false" outlineLevel="0" collapsed="false">
      <c r="A28" s="11" t="s">
        <v>94</v>
      </c>
      <c r="B28" s="11" t="s">
        <v>95</v>
      </c>
      <c r="C28" s="11" t="n">
        <v>2020</v>
      </c>
      <c r="D28" s="11" t="s">
        <v>18</v>
      </c>
      <c r="E28" s="17" t="n">
        <v>25649248</v>
      </c>
      <c r="F28" s="11" t="s">
        <v>98</v>
      </c>
      <c r="G28" s="11" t="s">
        <v>99</v>
      </c>
      <c r="H28" s="11" t="s">
        <v>671</v>
      </c>
      <c r="I28" s="11" t="s">
        <v>667</v>
      </c>
      <c r="J28" s="11" t="s">
        <v>672</v>
      </c>
    </row>
    <row r="29" customFormat="false" ht="15" hidden="false" customHeight="false" outlineLevel="0" collapsed="false">
      <c r="A29" s="11" t="s">
        <v>94</v>
      </c>
      <c r="B29" s="11" t="s">
        <v>95</v>
      </c>
      <c r="C29" s="11" t="n">
        <v>2021</v>
      </c>
      <c r="D29" s="11" t="s">
        <v>18</v>
      </c>
      <c r="E29" s="17" t="n">
        <v>25685412</v>
      </c>
      <c r="F29" s="11" t="s">
        <v>98</v>
      </c>
      <c r="G29" s="11" t="s">
        <v>99</v>
      </c>
      <c r="H29" s="11" t="s">
        <v>671</v>
      </c>
      <c r="I29" s="11" t="s">
        <v>667</v>
      </c>
      <c r="J29" s="11" t="s">
        <v>672</v>
      </c>
    </row>
    <row r="30" customFormat="false" ht="15" hidden="false" customHeight="false" outlineLevel="0" collapsed="false">
      <c r="A30" s="11" t="s">
        <v>94</v>
      </c>
      <c r="B30" s="11" t="s">
        <v>95</v>
      </c>
      <c r="C30" s="11" t="n">
        <v>2022</v>
      </c>
      <c r="D30" s="11" t="s">
        <v>18</v>
      </c>
      <c r="E30" s="17" t="n">
        <v>26018721</v>
      </c>
      <c r="F30" s="11" t="s">
        <v>98</v>
      </c>
      <c r="G30" s="11" t="s">
        <v>99</v>
      </c>
      <c r="H30" s="11" t="s">
        <v>671</v>
      </c>
      <c r="I30" s="11" t="s">
        <v>667</v>
      </c>
      <c r="J30" s="11" t="s">
        <v>672</v>
      </c>
    </row>
    <row r="31" customFormat="false" ht="15" hidden="false" customHeight="false" outlineLevel="0" collapsed="false">
      <c r="A31" s="11" t="s">
        <v>111</v>
      </c>
      <c r="B31" s="11" t="s">
        <v>112</v>
      </c>
      <c r="C31" s="11" t="n">
        <v>2010</v>
      </c>
      <c r="D31" s="11" t="s">
        <v>22</v>
      </c>
      <c r="E31" s="17" t="n">
        <v>1274901</v>
      </c>
      <c r="F31" s="11" t="s">
        <v>116</v>
      </c>
      <c r="G31" s="11" t="s">
        <v>117</v>
      </c>
      <c r="H31" s="11" t="s">
        <v>118</v>
      </c>
      <c r="I31" s="11" t="s">
        <v>667</v>
      </c>
      <c r="J31" s="11" t="s">
        <v>673</v>
      </c>
    </row>
    <row r="32" customFormat="false" ht="15" hidden="false" customHeight="false" outlineLevel="0" collapsed="false">
      <c r="A32" s="11" t="s">
        <v>111</v>
      </c>
      <c r="B32" s="11" t="s">
        <v>112</v>
      </c>
      <c r="C32" s="11" t="n">
        <v>2011</v>
      </c>
      <c r="D32" s="11" t="s">
        <v>22</v>
      </c>
      <c r="E32" s="17" t="n">
        <v>1294224</v>
      </c>
      <c r="F32" s="11" t="s">
        <v>116</v>
      </c>
      <c r="G32" s="11" t="s">
        <v>117</v>
      </c>
      <c r="H32" s="11" t="s">
        <v>118</v>
      </c>
      <c r="I32" s="11" t="s">
        <v>667</v>
      </c>
      <c r="J32" s="11" t="s">
        <v>673</v>
      </c>
    </row>
    <row r="33" customFormat="false" ht="15" hidden="false" customHeight="false" outlineLevel="0" collapsed="false">
      <c r="A33" s="11" t="s">
        <v>111</v>
      </c>
      <c r="B33" s="11" t="s">
        <v>112</v>
      </c>
      <c r="C33" s="11" t="n">
        <v>2012</v>
      </c>
      <c r="D33" s="11" t="s">
        <v>22</v>
      </c>
      <c r="E33" s="17" t="n">
        <v>1322656</v>
      </c>
      <c r="F33" s="11" t="s">
        <v>116</v>
      </c>
      <c r="G33" s="11" t="s">
        <v>117</v>
      </c>
      <c r="H33" s="11" t="s">
        <v>118</v>
      </c>
      <c r="I33" s="11" t="s">
        <v>667</v>
      </c>
      <c r="J33" s="11" t="s">
        <v>673</v>
      </c>
    </row>
    <row r="34" customFormat="false" ht="15" hidden="false" customHeight="false" outlineLevel="0" collapsed="false">
      <c r="A34" s="11" t="s">
        <v>111</v>
      </c>
      <c r="B34" s="11" t="s">
        <v>112</v>
      </c>
      <c r="C34" s="11" t="n">
        <v>2013</v>
      </c>
      <c r="D34" s="11" t="s">
        <v>22</v>
      </c>
      <c r="E34" s="17" t="n">
        <v>1364003</v>
      </c>
      <c r="F34" s="11" t="s">
        <v>116</v>
      </c>
      <c r="G34" s="11" t="s">
        <v>117</v>
      </c>
      <c r="H34" s="11" t="s">
        <v>118</v>
      </c>
      <c r="I34" s="11" t="s">
        <v>667</v>
      </c>
      <c r="J34" s="11" t="s">
        <v>673</v>
      </c>
    </row>
    <row r="35" customFormat="false" ht="15" hidden="false" customHeight="false" outlineLevel="0" collapsed="false">
      <c r="A35" s="11" t="s">
        <v>111</v>
      </c>
      <c r="B35" s="11" t="s">
        <v>112</v>
      </c>
      <c r="C35" s="11" t="n">
        <v>2014</v>
      </c>
      <c r="D35" s="11" t="s">
        <v>22</v>
      </c>
      <c r="E35" s="17" t="n">
        <v>1414215</v>
      </c>
      <c r="F35" s="11" t="s">
        <v>116</v>
      </c>
      <c r="G35" s="11" t="s">
        <v>117</v>
      </c>
      <c r="H35" s="11" t="s">
        <v>118</v>
      </c>
      <c r="I35" s="11" t="s">
        <v>667</v>
      </c>
      <c r="J35" s="11" t="s">
        <v>673</v>
      </c>
    </row>
    <row r="36" customFormat="false" ht="15" hidden="false" customHeight="false" outlineLevel="0" collapsed="false">
      <c r="A36" s="11" t="s">
        <v>111</v>
      </c>
      <c r="B36" s="11" t="s">
        <v>112</v>
      </c>
      <c r="C36" s="11" t="n">
        <v>2015</v>
      </c>
      <c r="D36" s="11" t="s">
        <v>22</v>
      </c>
      <c r="E36" s="17" t="n">
        <v>1483123</v>
      </c>
      <c r="F36" s="11" t="s">
        <v>116</v>
      </c>
      <c r="G36" s="11" t="s">
        <v>117</v>
      </c>
      <c r="H36" s="11" t="s">
        <v>118</v>
      </c>
      <c r="I36" s="11" t="s">
        <v>667</v>
      </c>
      <c r="J36" s="11" t="s">
        <v>673</v>
      </c>
    </row>
    <row r="37" customFormat="false" ht="15" hidden="false" customHeight="false" outlineLevel="0" collapsed="false">
      <c r="A37" s="11" t="s">
        <v>111</v>
      </c>
      <c r="B37" s="11" t="s">
        <v>112</v>
      </c>
      <c r="C37" s="11" t="n">
        <v>2016</v>
      </c>
      <c r="D37" s="11" t="s">
        <v>22</v>
      </c>
      <c r="E37" s="17" t="n">
        <v>1588209</v>
      </c>
      <c r="F37" s="11" t="s">
        <v>116</v>
      </c>
      <c r="G37" s="11" t="s">
        <v>117</v>
      </c>
      <c r="H37" s="11" t="s">
        <v>118</v>
      </c>
      <c r="I37" s="11" t="s">
        <v>667</v>
      </c>
      <c r="J37" s="11" t="s">
        <v>673</v>
      </c>
    </row>
    <row r="38" customFormat="false" ht="15" hidden="false" customHeight="false" outlineLevel="0" collapsed="false">
      <c r="A38" s="11" t="s">
        <v>111</v>
      </c>
      <c r="B38" s="11" t="s">
        <v>112</v>
      </c>
      <c r="C38" s="11" t="n">
        <v>2017</v>
      </c>
      <c r="D38" s="11" t="s">
        <v>22</v>
      </c>
      <c r="E38" s="17" t="n">
        <v>1649008</v>
      </c>
      <c r="F38" s="11" t="s">
        <v>116</v>
      </c>
      <c r="G38" s="11" t="s">
        <v>117</v>
      </c>
      <c r="H38" s="11" t="s">
        <v>118</v>
      </c>
      <c r="I38" s="11" t="s">
        <v>667</v>
      </c>
      <c r="J38" s="11" t="s">
        <v>673</v>
      </c>
    </row>
    <row r="39" customFormat="false" ht="15" hidden="false" customHeight="false" outlineLevel="0" collapsed="false">
      <c r="A39" s="11" t="s">
        <v>111</v>
      </c>
      <c r="B39" s="11" t="s">
        <v>112</v>
      </c>
      <c r="C39" s="11" t="n">
        <v>2018</v>
      </c>
      <c r="D39" s="11" t="s">
        <v>22</v>
      </c>
      <c r="E39" s="17" t="n">
        <v>1690619</v>
      </c>
      <c r="F39" s="11" t="s">
        <v>116</v>
      </c>
      <c r="G39" s="11" t="s">
        <v>117</v>
      </c>
      <c r="H39" s="11" t="s">
        <v>118</v>
      </c>
      <c r="I39" s="11" t="s">
        <v>667</v>
      </c>
      <c r="J39" s="11" t="s">
        <v>673</v>
      </c>
    </row>
    <row r="40" customFormat="false" ht="15" hidden="false" customHeight="false" outlineLevel="0" collapsed="false">
      <c r="A40" s="11" t="s">
        <v>111</v>
      </c>
      <c r="B40" s="11" t="s">
        <v>112</v>
      </c>
      <c r="C40" s="11" t="n">
        <v>2019</v>
      </c>
      <c r="D40" s="11" t="s">
        <v>22</v>
      </c>
      <c r="E40" s="17" t="n">
        <v>1722833</v>
      </c>
      <c r="F40" s="11" t="s">
        <v>116</v>
      </c>
      <c r="G40" s="11" t="s">
        <v>117</v>
      </c>
      <c r="H40" s="11" t="s">
        <v>118</v>
      </c>
      <c r="I40" s="11" t="s">
        <v>667</v>
      </c>
      <c r="J40" s="11" t="s">
        <v>673</v>
      </c>
    </row>
    <row r="41" customFormat="false" ht="15" hidden="false" customHeight="false" outlineLevel="0" collapsed="false">
      <c r="A41" s="11" t="s">
        <v>111</v>
      </c>
      <c r="B41" s="11" t="s">
        <v>112</v>
      </c>
      <c r="C41" s="11" t="n">
        <v>2020</v>
      </c>
      <c r="D41" s="11" t="s">
        <v>22</v>
      </c>
      <c r="E41" s="17" t="n">
        <v>1760595</v>
      </c>
      <c r="F41" s="11" t="s">
        <v>116</v>
      </c>
      <c r="G41" s="11" t="s">
        <v>117</v>
      </c>
      <c r="H41" s="11" t="s">
        <v>118</v>
      </c>
      <c r="I41" s="11" t="s">
        <v>667</v>
      </c>
      <c r="J41" s="11" t="s">
        <v>673</v>
      </c>
    </row>
    <row r="42" customFormat="false" ht="15" hidden="false" customHeight="false" outlineLevel="0" collapsed="false">
      <c r="A42" s="11" t="s">
        <v>111</v>
      </c>
      <c r="B42" s="11" t="s">
        <v>112</v>
      </c>
      <c r="C42" s="11" t="n">
        <v>2021</v>
      </c>
      <c r="D42" s="11" t="s">
        <v>22</v>
      </c>
      <c r="E42" s="17" t="n">
        <v>1792053</v>
      </c>
      <c r="F42" s="11" t="s">
        <v>116</v>
      </c>
      <c r="G42" s="11" t="s">
        <v>117</v>
      </c>
      <c r="H42" s="11" t="s">
        <v>118</v>
      </c>
      <c r="I42" s="11" t="s">
        <v>667</v>
      </c>
      <c r="J42" s="11" t="s">
        <v>673</v>
      </c>
    </row>
    <row r="43" customFormat="false" ht="15" hidden="false" customHeight="false" outlineLevel="0" collapsed="false">
      <c r="A43" s="11" t="s">
        <v>111</v>
      </c>
      <c r="B43" s="11" t="s">
        <v>112</v>
      </c>
      <c r="C43" s="11" t="n">
        <v>2022</v>
      </c>
      <c r="D43" s="11" t="s">
        <v>22</v>
      </c>
      <c r="E43" s="17" t="n">
        <v>1834342</v>
      </c>
      <c r="F43" s="11" t="s">
        <v>116</v>
      </c>
      <c r="G43" s="11" t="s">
        <v>117</v>
      </c>
      <c r="H43" s="11" t="s">
        <v>118</v>
      </c>
      <c r="I43" s="11" t="s">
        <v>667</v>
      </c>
      <c r="J43" s="11" t="s">
        <v>673</v>
      </c>
    </row>
    <row r="44" customFormat="false" ht="15" hidden="false" customHeight="false" outlineLevel="0" collapsed="false">
      <c r="A44" s="11" t="s">
        <v>111</v>
      </c>
      <c r="B44" s="11" t="s">
        <v>112</v>
      </c>
      <c r="C44" s="11" t="n">
        <v>2010</v>
      </c>
      <c r="D44" s="11" t="s">
        <v>26</v>
      </c>
      <c r="E44" s="17" t="n">
        <v>879102</v>
      </c>
      <c r="F44" s="11" t="s">
        <v>119</v>
      </c>
      <c r="G44" s="11" t="s">
        <v>120</v>
      </c>
      <c r="H44" s="11" t="s">
        <v>121</v>
      </c>
      <c r="I44" s="11" t="s">
        <v>667</v>
      </c>
      <c r="J44" s="11" t="s">
        <v>673</v>
      </c>
    </row>
    <row r="45" customFormat="false" ht="15" hidden="false" customHeight="false" outlineLevel="0" collapsed="false">
      <c r="A45" s="11" t="s">
        <v>111</v>
      </c>
      <c r="B45" s="11" t="s">
        <v>112</v>
      </c>
      <c r="C45" s="11" t="n">
        <v>2011</v>
      </c>
      <c r="D45" s="11" t="s">
        <v>26</v>
      </c>
      <c r="E45" s="17" t="n">
        <v>908591</v>
      </c>
      <c r="F45" s="11" t="s">
        <v>119</v>
      </c>
      <c r="G45" s="11" t="s">
        <v>120</v>
      </c>
      <c r="H45" s="11" t="s">
        <v>121</v>
      </c>
      <c r="I45" s="11" t="s">
        <v>667</v>
      </c>
      <c r="J45" s="11" t="s">
        <v>673</v>
      </c>
    </row>
    <row r="46" customFormat="false" ht="15" hidden="false" customHeight="false" outlineLevel="0" collapsed="false">
      <c r="A46" s="11" t="s">
        <v>111</v>
      </c>
      <c r="B46" s="11" t="s">
        <v>112</v>
      </c>
      <c r="C46" s="11" t="n">
        <v>2012</v>
      </c>
      <c r="D46" s="11" t="s">
        <v>26</v>
      </c>
      <c r="E46" s="17" t="n">
        <v>946610</v>
      </c>
      <c r="F46" s="11" t="s">
        <v>119</v>
      </c>
      <c r="G46" s="11" t="s">
        <v>120</v>
      </c>
      <c r="H46" s="11" t="s">
        <v>121</v>
      </c>
      <c r="I46" s="11" t="s">
        <v>667</v>
      </c>
      <c r="J46" s="11" t="s">
        <v>673</v>
      </c>
    </row>
    <row r="47" customFormat="false" ht="15" hidden="false" customHeight="false" outlineLevel="0" collapsed="false">
      <c r="A47" s="11" t="s">
        <v>111</v>
      </c>
      <c r="B47" s="11" t="s">
        <v>112</v>
      </c>
      <c r="C47" s="11" t="n">
        <v>2013</v>
      </c>
      <c r="D47" s="11" t="s">
        <v>26</v>
      </c>
      <c r="E47" s="17" t="n">
        <v>999095</v>
      </c>
      <c r="F47" s="11" t="s">
        <v>119</v>
      </c>
      <c r="G47" s="11" t="s">
        <v>120</v>
      </c>
      <c r="H47" s="11" t="s">
        <v>121</v>
      </c>
      <c r="I47" s="11" t="s">
        <v>667</v>
      </c>
      <c r="J47" s="11" t="s">
        <v>673</v>
      </c>
    </row>
    <row r="48" customFormat="false" ht="15" hidden="false" customHeight="false" outlineLevel="0" collapsed="false">
      <c r="A48" s="11" t="s">
        <v>111</v>
      </c>
      <c r="B48" s="11" t="s">
        <v>112</v>
      </c>
      <c r="C48" s="11" t="n">
        <v>2014</v>
      </c>
      <c r="D48" s="11" t="s">
        <v>26</v>
      </c>
      <c r="E48" s="17" t="n">
        <v>1060446</v>
      </c>
      <c r="F48" s="11" t="s">
        <v>119</v>
      </c>
      <c r="G48" s="11" t="s">
        <v>120</v>
      </c>
      <c r="H48" s="11" t="s">
        <v>121</v>
      </c>
      <c r="I48" s="11" t="s">
        <v>667</v>
      </c>
      <c r="J48" s="11" t="s">
        <v>673</v>
      </c>
    </row>
    <row r="49" customFormat="false" ht="15" hidden="false" customHeight="false" outlineLevel="0" collapsed="false">
      <c r="A49" s="11" t="s">
        <v>111</v>
      </c>
      <c r="B49" s="11" t="s">
        <v>112</v>
      </c>
      <c r="C49" s="11" t="n">
        <v>2015</v>
      </c>
      <c r="D49" s="11" t="s">
        <v>26</v>
      </c>
      <c r="E49" s="17" t="n">
        <v>1139736</v>
      </c>
      <c r="F49" s="11" t="s">
        <v>119</v>
      </c>
      <c r="G49" s="11" t="s">
        <v>120</v>
      </c>
      <c r="H49" s="11" t="s">
        <v>121</v>
      </c>
      <c r="I49" s="11" t="s">
        <v>667</v>
      </c>
      <c r="J49" s="11" t="s">
        <v>673</v>
      </c>
    </row>
    <row r="50" customFormat="false" ht="15" hidden="false" customHeight="false" outlineLevel="0" collapsed="false">
      <c r="A50" s="11" t="s">
        <v>111</v>
      </c>
      <c r="B50" s="11" t="s">
        <v>112</v>
      </c>
      <c r="C50" s="11" t="n">
        <v>2016</v>
      </c>
      <c r="D50" s="11" t="s">
        <v>26</v>
      </c>
      <c r="E50" s="17" t="n">
        <v>1260188</v>
      </c>
      <c r="F50" s="11" t="s">
        <v>119</v>
      </c>
      <c r="G50" s="11" t="s">
        <v>120</v>
      </c>
      <c r="H50" s="11" t="s">
        <v>121</v>
      </c>
      <c r="I50" s="11" t="s">
        <v>667</v>
      </c>
      <c r="J50" s="11" t="s">
        <v>673</v>
      </c>
    </row>
    <row r="51" customFormat="false" ht="15" hidden="false" customHeight="false" outlineLevel="0" collapsed="false">
      <c r="A51" s="11" t="s">
        <v>111</v>
      </c>
      <c r="B51" s="11" t="s">
        <v>112</v>
      </c>
      <c r="C51" s="11" t="n">
        <v>2017</v>
      </c>
      <c r="D51" s="11" t="s">
        <v>26</v>
      </c>
      <c r="E51" s="17" t="n">
        <v>1333239</v>
      </c>
      <c r="F51" s="11" t="s">
        <v>119</v>
      </c>
      <c r="G51" s="11" t="s">
        <v>120</v>
      </c>
      <c r="H51" s="11" t="s">
        <v>121</v>
      </c>
      <c r="I51" s="11" t="s">
        <v>667</v>
      </c>
      <c r="J51" s="11" t="s">
        <v>673</v>
      </c>
    </row>
    <row r="52" customFormat="false" ht="15" hidden="false" customHeight="false" outlineLevel="0" collapsed="false">
      <c r="A52" s="11" t="s">
        <v>111</v>
      </c>
      <c r="B52" s="11" t="s">
        <v>112</v>
      </c>
      <c r="C52" s="11" t="n">
        <v>2018</v>
      </c>
      <c r="D52" s="11" t="s">
        <v>26</v>
      </c>
      <c r="E52" s="17" t="n">
        <v>1385823</v>
      </c>
      <c r="F52" s="11" t="s">
        <v>119</v>
      </c>
      <c r="G52" s="11" t="s">
        <v>120</v>
      </c>
      <c r="H52" s="11" t="s">
        <v>121</v>
      </c>
      <c r="I52" s="11" t="s">
        <v>667</v>
      </c>
      <c r="J52" s="11" t="s">
        <v>673</v>
      </c>
    </row>
    <row r="53" customFormat="false" ht="15" hidden="false" customHeight="false" outlineLevel="0" collapsed="false">
      <c r="A53" s="11" t="s">
        <v>111</v>
      </c>
      <c r="B53" s="11" t="s">
        <v>112</v>
      </c>
      <c r="C53" s="11" t="n">
        <v>2019</v>
      </c>
      <c r="D53" s="11" t="s">
        <v>26</v>
      </c>
      <c r="E53" s="17" t="n">
        <v>1427105</v>
      </c>
      <c r="F53" s="11" t="s">
        <v>119</v>
      </c>
      <c r="G53" s="11" t="s">
        <v>120</v>
      </c>
      <c r="H53" s="11" t="s">
        <v>121</v>
      </c>
      <c r="I53" s="11" t="s">
        <v>667</v>
      </c>
      <c r="J53" s="11" t="s">
        <v>673</v>
      </c>
    </row>
    <row r="54" customFormat="false" ht="15" hidden="false" customHeight="false" outlineLevel="0" collapsed="false">
      <c r="A54" s="11" t="s">
        <v>111</v>
      </c>
      <c r="B54" s="11" t="s">
        <v>112</v>
      </c>
      <c r="C54" s="11" t="n">
        <v>2020</v>
      </c>
      <c r="D54" s="11" t="s">
        <v>26</v>
      </c>
      <c r="E54" s="17" t="n">
        <v>1473453</v>
      </c>
      <c r="F54" s="11" t="s">
        <v>119</v>
      </c>
      <c r="G54" s="11" t="s">
        <v>120</v>
      </c>
      <c r="H54" s="11" t="s">
        <v>121</v>
      </c>
      <c r="I54" s="11" t="s">
        <v>667</v>
      </c>
      <c r="J54" s="11" t="s">
        <v>673</v>
      </c>
    </row>
    <row r="55" customFormat="false" ht="15" hidden="false" customHeight="false" outlineLevel="0" collapsed="false">
      <c r="A55" s="11" t="s">
        <v>111</v>
      </c>
      <c r="B55" s="11" t="s">
        <v>112</v>
      </c>
      <c r="C55" s="11" t="n">
        <v>2021</v>
      </c>
      <c r="D55" s="11" t="s">
        <v>26</v>
      </c>
      <c r="E55" s="17" t="n">
        <v>1517372</v>
      </c>
      <c r="F55" s="11" t="s">
        <v>119</v>
      </c>
      <c r="G55" s="11" t="s">
        <v>120</v>
      </c>
      <c r="H55" s="11" t="s">
        <v>121</v>
      </c>
      <c r="I55" s="11" t="s">
        <v>667</v>
      </c>
      <c r="J55" s="11" t="s">
        <v>673</v>
      </c>
    </row>
    <row r="56" customFormat="false" ht="15" hidden="false" customHeight="false" outlineLevel="0" collapsed="false">
      <c r="A56" s="11" t="s">
        <v>111</v>
      </c>
      <c r="B56" s="11" t="s">
        <v>112</v>
      </c>
      <c r="C56" s="11" t="n">
        <v>2022</v>
      </c>
      <c r="D56" s="11" t="s">
        <v>26</v>
      </c>
      <c r="E56" s="17" t="n">
        <v>1572316</v>
      </c>
      <c r="F56" s="11" t="s">
        <v>119</v>
      </c>
      <c r="G56" s="11" t="s">
        <v>120</v>
      </c>
      <c r="H56" s="11" t="s">
        <v>121</v>
      </c>
      <c r="I56" s="11" t="s">
        <v>667</v>
      </c>
      <c r="J56" s="11" t="s">
        <v>673</v>
      </c>
    </row>
    <row r="57" customFormat="false" ht="15" hidden="false" customHeight="false" outlineLevel="0" collapsed="false">
      <c r="A57" s="11" t="s">
        <v>111</v>
      </c>
      <c r="B57" s="11" t="s">
        <v>112</v>
      </c>
      <c r="C57" s="11" t="n">
        <v>2010</v>
      </c>
      <c r="D57" s="11" t="s">
        <v>38</v>
      </c>
      <c r="E57" s="17" t="n">
        <v>15220</v>
      </c>
      <c r="F57" s="11" t="s">
        <v>123</v>
      </c>
      <c r="G57" s="11" t="s">
        <v>124</v>
      </c>
      <c r="H57" s="11" t="s">
        <v>125</v>
      </c>
      <c r="I57" s="11" t="s">
        <v>667</v>
      </c>
      <c r="J57" s="11" t="s">
        <v>674</v>
      </c>
    </row>
    <row r="58" customFormat="false" ht="15" hidden="false" customHeight="false" outlineLevel="0" collapsed="false">
      <c r="A58" s="11" t="s">
        <v>111</v>
      </c>
      <c r="B58" s="11" t="s">
        <v>112</v>
      </c>
      <c r="C58" s="11" t="n">
        <v>2011</v>
      </c>
      <c r="D58" s="11" t="s">
        <v>38</v>
      </c>
      <c r="E58" s="17" t="n">
        <v>20080</v>
      </c>
      <c r="F58" s="11" t="s">
        <v>123</v>
      </c>
      <c r="G58" s="11" t="s">
        <v>124</v>
      </c>
      <c r="H58" s="11" t="s">
        <v>125</v>
      </c>
      <c r="I58" s="11" t="s">
        <v>667</v>
      </c>
      <c r="J58" s="11" t="s">
        <v>674</v>
      </c>
    </row>
    <row r="59" customFormat="false" ht="15" hidden="false" customHeight="false" outlineLevel="0" collapsed="false">
      <c r="A59" s="11" t="s">
        <v>111</v>
      </c>
      <c r="B59" s="11" t="s">
        <v>112</v>
      </c>
      <c r="C59" s="11" t="n">
        <v>2012</v>
      </c>
      <c r="D59" s="11" t="s">
        <v>38</v>
      </c>
      <c r="E59" s="17" t="n">
        <v>23135</v>
      </c>
      <c r="F59" s="11" t="s">
        <v>123</v>
      </c>
      <c r="G59" s="11" t="s">
        <v>124</v>
      </c>
      <c r="H59" s="11" t="s">
        <v>125</v>
      </c>
      <c r="I59" s="11" t="s">
        <v>667</v>
      </c>
      <c r="J59" s="11" t="s">
        <v>674</v>
      </c>
    </row>
    <row r="60" customFormat="false" ht="15" hidden="false" customHeight="false" outlineLevel="0" collapsed="false">
      <c r="A60" s="11" t="s">
        <v>111</v>
      </c>
      <c r="B60" s="11" t="s">
        <v>112</v>
      </c>
      <c r="C60" s="11" t="n">
        <v>2013</v>
      </c>
      <c r="D60" s="11" t="s">
        <v>38</v>
      </c>
      <c r="E60" s="17" t="n">
        <v>25960</v>
      </c>
      <c r="F60" s="11" t="s">
        <v>123</v>
      </c>
      <c r="G60" s="11" t="s">
        <v>124</v>
      </c>
      <c r="H60" s="11" t="s">
        <v>125</v>
      </c>
      <c r="I60" s="11" t="s">
        <v>667</v>
      </c>
      <c r="J60" s="11" t="s">
        <v>674</v>
      </c>
    </row>
    <row r="61" customFormat="false" ht="15" hidden="false" customHeight="false" outlineLevel="0" collapsed="false">
      <c r="A61" s="11" t="s">
        <v>111</v>
      </c>
      <c r="B61" s="11" t="s">
        <v>112</v>
      </c>
      <c r="C61" s="11" t="n">
        <v>2014</v>
      </c>
      <c r="D61" s="11" t="s">
        <v>38</v>
      </c>
      <c r="E61" s="17" t="n">
        <v>33055</v>
      </c>
      <c r="F61" s="11" t="s">
        <v>123</v>
      </c>
      <c r="G61" s="11" t="s">
        <v>124</v>
      </c>
      <c r="H61" s="11" t="s">
        <v>125</v>
      </c>
      <c r="I61" s="11" t="s">
        <v>667</v>
      </c>
      <c r="J61" s="11" t="s">
        <v>674</v>
      </c>
    </row>
    <row r="62" customFormat="false" ht="15" hidden="false" customHeight="false" outlineLevel="0" collapsed="false">
      <c r="A62" s="11" t="s">
        <v>111</v>
      </c>
      <c r="B62" s="11" t="s">
        <v>112</v>
      </c>
      <c r="C62" s="11" t="n">
        <v>2015</v>
      </c>
      <c r="D62" s="11" t="s">
        <v>38</v>
      </c>
      <c r="E62" s="17" t="n">
        <v>86220</v>
      </c>
      <c r="F62" s="11" t="s">
        <v>123</v>
      </c>
      <c r="G62" s="11" t="s">
        <v>124</v>
      </c>
      <c r="H62" s="11" t="s">
        <v>125</v>
      </c>
      <c r="I62" s="11" t="s">
        <v>667</v>
      </c>
      <c r="J62" s="11" t="s">
        <v>674</v>
      </c>
    </row>
    <row r="63" customFormat="false" ht="15" hidden="false" customHeight="false" outlineLevel="0" collapsed="false">
      <c r="A63" s="11" t="s">
        <v>111</v>
      </c>
      <c r="B63" s="11" t="s">
        <v>112</v>
      </c>
      <c r="C63" s="11" t="n">
        <v>2016</v>
      </c>
      <c r="D63" s="11" t="s">
        <v>38</v>
      </c>
      <c r="E63" s="17" t="n">
        <v>49810</v>
      </c>
      <c r="F63" s="11" t="s">
        <v>123</v>
      </c>
      <c r="G63" s="11" t="s">
        <v>124</v>
      </c>
      <c r="H63" s="11" t="s">
        <v>125</v>
      </c>
      <c r="I63" s="11" t="s">
        <v>667</v>
      </c>
      <c r="J63" s="11" t="s">
        <v>674</v>
      </c>
    </row>
    <row r="64" customFormat="false" ht="15" hidden="false" customHeight="false" outlineLevel="0" collapsed="false">
      <c r="A64" s="11" t="s">
        <v>111</v>
      </c>
      <c r="B64" s="11" t="s">
        <v>112</v>
      </c>
      <c r="C64" s="11" t="n">
        <v>2017</v>
      </c>
      <c r="D64" s="11" t="s">
        <v>38</v>
      </c>
      <c r="E64" s="17" t="n">
        <v>26660</v>
      </c>
      <c r="F64" s="11" t="s">
        <v>123</v>
      </c>
      <c r="G64" s="11" t="s">
        <v>124</v>
      </c>
      <c r="H64" s="11" t="s">
        <v>125</v>
      </c>
      <c r="I64" s="11" t="s">
        <v>667</v>
      </c>
      <c r="J64" s="11" t="s">
        <v>674</v>
      </c>
    </row>
    <row r="65" customFormat="false" ht="15" hidden="false" customHeight="false" outlineLevel="0" collapsed="false">
      <c r="A65" s="11" t="s">
        <v>111</v>
      </c>
      <c r="B65" s="11" t="s">
        <v>112</v>
      </c>
      <c r="C65" s="11" t="n">
        <v>2018</v>
      </c>
      <c r="D65" s="11" t="s">
        <v>38</v>
      </c>
      <c r="E65" s="17" t="n">
        <v>18840</v>
      </c>
      <c r="F65" s="11" t="s">
        <v>123</v>
      </c>
      <c r="G65" s="11" t="s">
        <v>124</v>
      </c>
      <c r="H65" s="11" t="s">
        <v>125</v>
      </c>
      <c r="I65" s="11" t="s">
        <v>667</v>
      </c>
      <c r="J65" s="11" t="s">
        <v>674</v>
      </c>
    </row>
    <row r="66" customFormat="false" ht="15" hidden="false" customHeight="false" outlineLevel="0" collapsed="false">
      <c r="A66" s="11" t="s">
        <v>111</v>
      </c>
      <c r="B66" s="11" t="s">
        <v>112</v>
      </c>
      <c r="C66" s="11" t="n">
        <v>2019</v>
      </c>
      <c r="D66" s="11" t="s">
        <v>38</v>
      </c>
      <c r="E66" s="17" t="n">
        <v>16090</v>
      </c>
      <c r="F66" s="11" t="s">
        <v>123</v>
      </c>
      <c r="G66" s="11" t="s">
        <v>124</v>
      </c>
      <c r="H66" s="11" t="s">
        <v>125</v>
      </c>
      <c r="I66" s="11" t="s">
        <v>667</v>
      </c>
      <c r="J66" s="11" t="s">
        <v>674</v>
      </c>
    </row>
    <row r="67" customFormat="false" ht="15" hidden="false" customHeight="false" outlineLevel="0" collapsed="false">
      <c r="A67" s="11" t="s">
        <v>111</v>
      </c>
      <c r="B67" s="11" t="s">
        <v>112</v>
      </c>
      <c r="C67" s="11" t="n">
        <v>2020</v>
      </c>
      <c r="D67" s="11" t="s">
        <v>38</v>
      </c>
      <c r="E67" s="17" t="n">
        <v>18715</v>
      </c>
      <c r="F67" s="11" t="s">
        <v>123</v>
      </c>
      <c r="G67" s="11" t="s">
        <v>124</v>
      </c>
      <c r="H67" s="11" t="s">
        <v>125</v>
      </c>
      <c r="I67" s="11" t="s">
        <v>667</v>
      </c>
      <c r="J67" s="11" t="s">
        <v>674</v>
      </c>
    </row>
    <row r="68" customFormat="false" ht="15" hidden="false" customHeight="false" outlineLevel="0" collapsed="false">
      <c r="A68" s="11" t="s">
        <v>111</v>
      </c>
      <c r="B68" s="11" t="s">
        <v>112</v>
      </c>
      <c r="C68" s="11" t="n">
        <v>2021</v>
      </c>
      <c r="D68" s="11" t="s">
        <v>38</v>
      </c>
      <c r="E68" s="17" t="n">
        <v>38410</v>
      </c>
      <c r="F68" s="11" t="s">
        <v>123</v>
      </c>
      <c r="G68" s="11" t="s">
        <v>124</v>
      </c>
      <c r="H68" s="11" t="s">
        <v>125</v>
      </c>
      <c r="I68" s="11" t="s">
        <v>667</v>
      </c>
      <c r="J68" s="11" t="s">
        <v>674</v>
      </c>
    </row>
    <row r="69" customFormat="false" ht="15" hidden="false" customHeight="false" outlineLevel="0" collapsed="false">
      <c r="A69" s="11" t="s">
        <v>111</v>
      </c>
      <c r="B69" s="11" t="s">
        <v>112</v>
      </c>
      <c r="C69" s="11" t="n">
        <v>2022</v>
      </c>
      <c r="D69" s="11" t="s">
        <v>38</v>
      </c>
      <c r="E69" s="17" t="n">
        <v>105545</v>
      </c>
      <c r="F69" s="11" t="s">
        <v>123</v>
      </c>
      <c r="G69" s="11" t="s">
        <v>124</v>
      </c>
      <c r="H69" s="11" t="s">
        <v>125</v>
      </c>
      <c r="I69" s="11" t="s">
        <v>667</v>
      </c>
      <c r="J69" s="11" t="s">
        <v>674</v>
      </c>
    </row>
    <row r="70" customFormat="false" ht="15" hidden="false" customHeight="false" outlineLevel="0" collapsed="false">
      <c r="A70" s="11" t="s">
        <v>111</v>
      </c>
      <c r="B70" s="11" t="s">
        <v>112</v>
      </c>
      <c r="C70" s="11" t="n">
        <v>2017</v>
      </c>
      <c r="D70" s="11" t="s">
        <v>30</v>
      </c>
      <c r="E70" s="17" t="n">
        <v>150000</v>
      </c>
      <c r="F70" s="11" t="s">
        <v>127</v>
      </c>
      <c r="G70" s="11" t="s">
        <v>128</v>
      </c>
      <c r="H70" s="11" t="s">
        <v>129</v>
      </c>
      <c r="I70" s="11" t="s">
        <v>667</v>
      </c>
      <c r="J70" s="11" t="s">
        <v>674</v>
      </c>
    </row>
    <row r="71" customFormat="false" ht="15" hidden="false" customHeight="false" outlineLevel="0" collapsed="false">
      <c r="A71" s="11" t="s">
        <v>111</v>
      </c>
      <c r="B71" s="11" t="s">
        <v>112</v>
      </c>
      <c r="C71" s="11" t="n">
        <v>2010</v>
      </c>
      <c r="D71" s="11" t="s">
        <v>18</v>
      </c>
      <c r="E71" s="17" t="n">
        <v>8363404</v>
      </c>
      <c r="F71" s="11" t="s">
        <v>98</v>
      </c>
      <c r="G71" s="11" t="s">
        <v>99</v>
      </c>
      <c r="H71" s="11" t="s">
        <v>671</v>
      </c>
      <c r="I71" s="11" t="s">
        <v>667</v>
      </c>
      <c r="J71" s="11" t="s">
        <v>672</v>
      </c>
    </row>
    <row r="72" customFormat="false" ht="15" hidden="false" customHeight="false" outlineLevel="0" collapsed="false">
      <c r="A72" s="11" t="s">
        <v>111</v>
      </c>
      <c r="B72" s="11" t="s">
        <v>112</v>
      </c>
      <c r="C72" s="11" t="n">
        <v>2011</v>
      </c>
      <c r="D72" s="11" t="s">
        <v>18</v>
      </c>
      <c r="E72" s="17" t="n">
        <v>8391643</v>
      </c>
      <c r="F72" s="11" t="s">
        <v>98</v>
      </c>
      <c r="G72" s="11" t="s">
        <v>99</v>
      </c>
      <c r="H72" s="11" t="s">
        <v>671</v>
      </c>
      <c r="I72" s="11" t="s">
        <v>667</v>
      </c>
      <c r="J72" s="11" t="s">
        <v>672</v>
      </c>
    </row>
    <row r="73" customFormat="false" ht="15" hidden="false" customHeight="false" outlineLevel="0" collapsed="false">
      <c r="A73" s="11" t="s">
        <v>111</v>
      </c>
      <c r="B73" s="11" t="s">
        <v>112</v>
      </c>
      <c r="C73" s="11" t="n">
        <v>2012</v>
      </c>
      <c r="D73" s="11" t="s">
        <v>18</v>
      </c>
      <c r="E73" s="17" t="n">
        <v>8429991</v>
      </c>
      <c r="F73" s="11" t="s">
        <v>98</v>
      </c>
      <c r="G73" s="11" t="s">
        <v>99</v>
      </c>
      <c r="H73" s="11" t="s">
        <v>671</v>
      </c>
      <c r="I73" s="11" t="s">
        <v>667</v>
      </c>
      <c r="J73" s="11" t="s">
        <v>672</v>
      </c>
    </row>
    <row r="74" customFormat="false" ht="15" hidden="false" customHeight="false" outlineLevel="0" collapsed="false">
      <c r="A74" s="11" t="s">
        <v>111</v>
      </c>
      <c r="B74" s="11" t="s">
        <v>112</v>
      </c>
      <c r="C74" s="11" t="n">
        <v>2013</v>
      </c>
      <c r="D74" s="11" t="s">
        <v>18</v>
      </c>
      <c r="E74" s="17" t="n">
        <v>8479823</v>
      </c>
      <c r="F74" s="11" t="s">
        <v>98</v>
      </c>
      <c r="G74" s="11" t="s">
        <v>99</v>
      </c>
      <c r="H74" s="11" t="s">
        <v>671</v>
      </c>
      <c r="I74" s="11" t="s">
        <v>667</v>
      </c>
      <c r="J74" s="11" t="s">
        <v>672</v>
      </c>
    </row>
    <row r="75" customFormat="false" ht="15" hidden="false" customHeight="false" outlineLevel="0" collapsed="false">
      <c r="A75" s="11" t="s">
        <v>111</v>
      </c>
      <c r="B75" s="11" t="s">
        <v>112</v>
      </c>
      <c r="C75" s="11" t="n">
        <v>2014</v>
      </c>
      <c r="D75" s="11" t="s">
        <v>18</v>
      </c>
      <c r="E75" s="17" t="n">
        <v>8546356</v>
      </c>
      <c r="F75" s="11" t="s">
        <v>98</v>
      </c>
      <c r="G75" s="11" t="s">
        <v>99</v>
      </c>
      <c r="H75" s="11" t="s">
        <v>671</v>
      </c>
      <c r="I75" s="11" t="s">
        <v>667</v>
      </c>
      <c r="J75" s="11" t="s">
        <v>672</v>
      </c>
    </row>
    <row r="76" customFormat="false" ht="15" hidden="false" customHeight="false" outlineLevel="0" collapsed="false">
      <c r="A76" s="11" t="s">
        <v>111</v>
      </c>
      <c r="B76" s="11" t="s">
        <v>112</v>
      </c>
      <c r="C76" s="11" t="n">
        <v>2015</v>
      </c>
      <c r="D76" s="11" t="s">
        <v>18</v>
      </c>
      <c r="E76" s="17" t="n">
        <v>8642699</v>
      </c>
      <c r="F76" s="11" t="s">
        <v>98</v>
      </c>
      <c r="G76" s="11" t="s">
        <v>99</v>
      </c>
      <c r="H76" s="11" t="s">
        <v>671</v>
      </c>
      <c r="I76" s="11" t="s">
        <v>667</v>
      </c>
      <c r="J76" s="11" t="s">
        <v>672</v>
      </c>
    </row>
    <row r="77" customFormat="false" ht="15" hidden="false" customHeight="false" outlineLevel="0" collapsed="false">
      <c r="A77" s="11" t="s">
        <v>111</v>
      </c>
      <c r="B77" s="11" t="s">
        <v>112</v>
      </c>
      <c r="C77" s="11" t="n">
        <v>2016</v>
      </c>
      <c r="D77" s="11" t="s">
        <v>18</v>
      </c>
      <c r="E77" s="17" t="n">
        <v>8736668</v>
      </c>
      <c r="F77" s="11" t="s">
        <v>98</v>
      </c>
      <c r="G77" s="11" t="s">
        <v>99</v>
      </c>
      <c r="H77" s="11" t="s">
        <v>671</v>
      </c>
      <c r="I77" s="11" t="s">
        <v>667</v>
      </c>
      <c r="J77" s="11" t="s">
        <v>672</v>
      </c>
    </row>
    <row r="78" customFormat="false" ht="15" hidden="false" customHeight="false" outlineLevel="0" collapsed="false">
      <c r="A78" s="11" t="s">
        <v>111</v>
      </c>
      <c r="B78" s="11" t="s">
        <v>112</v>
      </c>
      <c r="C78" s="11" t="n">
        <v>2017</v>
      </c>
      <c r="D78" s="11" t="s">
        <v>18</v>
      </c>
      <c r="E78" s="17" t="n">
        <v>8797566</v>
      </c>
      <c r="F78" s="11" t="s">
        <v>98</v>
      </c>
      <c r="G78" s="11" t="s">
        <v>99</v>
      </c>
      <c r="H78" s="11" t="s">
        <v>671</v>
      </c>
      <c r="I78" s="11" t="s">
        <v>667</v>
      </c>
      <c r="J78" s="11" t="s">
        <v>672</v>
      </c>
    </row>
    <row r="79" customFormat="false" ht="15" hidden="false" customHeight="false" outlineLevel="0" collapsed="false">
      <c r="A79" s="11" t="s">
        <v>111</v>
      </c>
      <c r="B79" s="11" t="s">
        <v>112</v>
      </c>
      <c r="C79" s="11" t="n">
        <v>2018</v>
      </c>
      <c r="D79" s="11" t="s">
        <v>18</v>
      </c>
      <c r="E79" s="17" t="n">
        <v>8840521</v>
      </c>
      <c r="F79" s="11" t="s">
        <v>98</v>
      </c>
      <c r="G79" s="11" t="s">
        <v>99</v>
      </c>
      <c r="H79" s="11" t="s">
        <v>671</v>
      </c>
      <c r="I79" s="11" t="s">
        <v>667</v>
      </c>
      <c r="J79" s="11" t="s">
        <v>672</v>
      </c>
    </row>
    <row r="80" customFormat="false" ht="15" hidden="false" customHeight="false" outlineLevel="0" collapsed="false">
      <c r="A80" s="11" t="s">
        <v>111</v>
      </c>
      <c r="B80" s="11" t="s">
        <v>112</v>
      </c>
      <c r="C80" s="11" t="n">
        <v>2019</v>
      </c>
      <c r="D80" s="11" t="s">
        <v>18</v>
      </c>
      <c r="E80" s="17" t="n">
        <v>8879920</v>
      </c>
      <c r="F80" s="11" t="s">
        <v>98</v>
      </c>
      <c r="G80" s="11" t="s">
        <v>99</v>
      </c>
      <c r="H80" s="11" t="s">
        <v>671</v>
      </c>
      <c r="I80" s="11" t="s">
        <v>667</v>
      </c>
      <c r="J80" s="11" t="s">
        <v>672</v>
      </c>
    </row>
    <row r="81" customFormat="false" ht="15" hidden="false" customHeight="false" outlineLevel="0" collapsed="false">
      <c r="A81" s="11" t="s">
        <v>111</v>
      </c>
      <c r="B81" s="11" t="s">
        <v>112</v>
      </c>
      <c r="C81" s="11" t="n">
        <v>2020</v>
      </c>
      <c r="D81" s="11" t="s">
        <v>18</v>
      </c>
      <c r="E81" s="17" t="n">
        <v>8916864</v>
      </c>
      <c r="F81" s="11" t="s">
        <v>98</v>
      </c>
      <c r="G81" s="11" t="s">
        <v>99</v>
      </c>
      <c r="H81" s="11" t="s">
        <v>671</v>
      </c>
      <c r="I81" s="11" t="s">
        <v>667</v>
      </c>
      <c r="J81" s="11" t="s">
        <v>672</v>
      </c>
    </row>
    <row r="82" customFormat="false" ht="15" hidden="false" customHeight="false" outlineLevel="0" collapsed="false">
      <c r="A82" s="11" t="s">
        <v>111</v>
      </c>
      <c r="B82" s="11" t="s">
        <v>112</v>
      </c>
      <c r="C82" s="11" t="n">
        <v>2021</v>
      </c>
      <c r="D82" s="11" t="s">
        <v>18</v>
      </c>
      <c r="E82" s="17" t="n">
        <v>8955797</v>
      </c>
      <c r="F82" s="11" t="s">
        <v>98</v>
      </c>
      <c r="G82" s="11" t="s">
        <v>99</v>
      </c>
      <c r="H82" s="11" t="s">
        <v>671</v>
      </c>
      <c r="I82" s="11" t="s">
        <v>667</v>
      </c>
      <c r="J82" s="11" t="s">
        <v>672</v>
      </c>
    </row>
    <row r="83" customFormat="false" ht="15" hidden="false" customHeight="false" outlineLevel="0" collapsed="false">
      <c r="A83" s="11" t="s">
        <v>111</v>
      </c>
      <c r="B83" s="11" t="s">
        <v>112</v>
      </c>
      <c r="C83" s="11" t="n">
        <v>2022</v>
      </c>
      <c r="D83" s="11" t="s">
        <v>18</v>
      </c>
      <c r="E83" s="17" t="n">
        <v>9041851</v>
      </c>
      <c r="F83" s="11" t="s">
        <v>98</v>
      </c>
      <c r="G83" s="11" t="s">
        <v>99</v>
      </c>
      <c r="H83" s="11" t="s">
        <v>671</v>
      </c>
      <c r="I83" s="11" t="s">
        <v>667</v>
      </c>
      <c r="J83" s="11" t="s">
        <v>672</v>
      </c>
    </row>
    <row r="84" customFormat="false" ht="15" hidden="false" customHeight="false" outlineLevel="0" collapsed="false">
      <c r="A84" s="11" t="s">
        <v>130</v>
      </c>
      <c r="B84" s="11" t="s">
        <v>131</v>
      </c>
      <c r="C84" s="11" t="n">
        <v>2010</v>
      </c>
      <c r="D84" s="11" t="s">
        <v>22</v>
      </c>
      <c r="E84" s="17" t="n">
        <v>1503806</v>
      </c>
      <c r="F84" s="11" t="s">
        <v>116</v>
      </c>
      <c r="G84" s="11" t="s">
        <v>134</v>
      </c>
      <c r="H84" s="11" t="s">
        <v>118</v>
      </c>
      <c r="I84" s="11" t="s">
        <v>667</v>
      </c>
      <c r="J84" s="11" t="s">
        <v>673</v>
      </c>
    </row>
    <row r="85" customFormat="false" ht="15" hidden="false" customHeight="false" outlineLevel="0" collapsed="false">
      <c r="A85" s="11" t="s">
        <v>130</v>
      </c>
      <c r="B85" s="11" t="s">
        <v>131</v>
      </c>
      <c r="C85" s="11" t="n">
        <v>2011</v>
      </c>
      <c r="D85" s="11" t="s">
        <v>22</v>
      </c>
      <c r="E85" s="17" t="n">
        <v>1628793</v>
      </c>
      <c r="F85" s="11" t="s">
        <v>116</v>
      </c>
      <c r="G85" s="11" t="s">
        <v>134</v>
      </c>
      <c r="H85" s="11" t="s">
        <v>118</v>
      </c>
      <c r="I85" s="11" t="s">
        <v>667</v>
      </c>
      <c r="J85" s="11" t="s">
        <v>673</v>
      </c>
    </row>
    <row r="86" customFormat="false" ht="15" hidden="false" customHeight="false" outlineLevel="0" collapsed="false">
      <c r="A86" s="11" t="s">
        <v>130</v>
      </c>
      <c r="B86" s="11" t="s">
        <v>131</v>
      </c>
      <c r="C86" s="11" t="n">
        <v>2012</v>
      </c>
      <c r="D86" s="11" t="s">
        <v>22</v>
      </c>
      <c r="E86" s="17" t="n">
        <v>1677737</v>
      </c>
      <c r="F86" s="11" t="s">
        <v>116</v>
      </c>
      <c r="G86" s="11" t="s">
        <v>134</v>
      </c>
      <c r="H86" s="11" t="s">
        <v>118</v>
      </c>
      <c r="I86" s="11" t="s">
        <v>667</v>
      </c>
      <c r="J86" s="11" t="s">
        <v>673</v>
      </c>
    </row>
    <row r="87" customFormat="false" ht="15" hidden="false" customHeight="false" outlineLevel="0" collapsed="false">
      <c r="A87" s="11" t="s">
        <v>130</v>
      </c>
      <c r="B87" s="11" t="s">
        <v>131</v>
      </c>
      <c r="C87" s="11" t="n">
        <v>2013</v>
      </c>
      <c r="D87" s="11" t="s">
        <v>22</v>
      </c>
      <c r="E87" s="17" t="n">
        <v>1722265</v>
      </c>
      <c r="F87" s="11" t="s">
        <v>116</v>
      </c>
      <c r="G87" s="11" t="s">
        <v>134</v>
      </c>
      <c r="H87" s="11" t="s">
        <v>118</v>
      </c>
      <c r="I87" s="11" t="s">
        <v>667</v>
      </c>
      <c r="J87" s="11" t="s">
        <v>673</v>
      </c>
    </row>
    <row r="88" customFormat="false" ht="15" hidden="false" customHeight="false" outlineLevel="0" collapsed="false">
      <c r="A88" s="11" t="s">
        <v>130</v>
      </c>
      <c r="B88" s="11" t="s">
        <v>131</v>
      </c>
      <c r="C88" s="11" t="n">
        <v>2014</v>
      </c>
      <c r="D88" s="11" t="s">
        <v>22</v>
      </c>
      <c r="E88" s="17" t="n">
        <v>1748748</v>
      </c>
      <c r="F88" s="11" t="s">
        <v>116</v>
      </c>
      <c r="G88" s="11" t="s">
        <v>134</v>
      </c>
      <c r="H88" s="11" t="s">
        <v>118</v>
      </c>
      <c r="I88" s="11" t="s">
        <v>667</v>
      </c>
      <c r="J88" s="11" t="s">
        <v>673</v>
      </c>
    </row>
    <row r="89" customFormat="false" ht="15" hidden="false" customHeight="false" outlineLevel="0" collapsed="false">
      <c r="A89" s="11" t="s">
        <v>130</v>
      </c>
      <c r="B89" s="11" t="s">
        <v>131</v>
      </c>
      <c r="C89" s="11" t="n">
        <v>2015</v>
      </c>
      <c r="D89" s="11" t="s">
        <v>22</v>
      </c>
      <c r="E89" s="17" t="n">
        <v>1783488</v>
      </c>
      <c r="F89" s="11" t="s">
        <v>116</v>
      </c>
      <c r="G89" s="11" t="s">
        <v>134</v>
      </c>
      <c r="H89" s="11" t="s">
        <v>118</v>
      </c>
      <c r="I89" s="11" t="s">
        <v>667</v>
      </c>
      <c r="J89" s="11" t="s">
        <v>673</v>
      </c>
    </row>
    <row r="90" customFormat="false" ht="15" hidden="false" customHeight="false" outlineLevel="0" collapsed="false">
      <c r="A90" s="11" t="s">
        <v>130</v>
      </c>
      <c r="B90" s="11" t="s">
        <v>131</v>
      </c>
      <c r="C90" s="11" t="n">
        <v>2016</v>
      </c>
      <c r="D90" s="11" t="s">
        <v>22</v>
      </c>
      <c r="E90" s="17" t="n">
        <v>1845631</v>
      </c>
      <c r="F90" s="11" t="s">
        <v>116</v>
      </c>
      <c r="G90" s="11" t="s">
        <v>134</v>
      </c>
      <c r="H90" s="11" t="s">
        <v>118</v>
      </c>
      <c r="I90" s="11" t="s">
        <v>667</v>
      </c>
      <c r="J90" s="11" t="s">
        <v>673</v>
      </c>
    </row>
    <row r="91" customFormat="false" ht="15" hidden="false" customHeight="false" outlineLevel="0" collapsed="false">
      <c r="A91" s="11" t="s">
        <v>130</v>
      </c>
      <c r="B91" s="11" t="s">
        <v>131</v>
      </c>
      <c r="C91" s="11" t="n">
        <v>2017</v>
      </c>
      <c r="D91" s="11" t="s">
        <v>22</v>
      </c>
      <c r="E91" s="17" t="n">
        <v>1876726</v>
      </c>
      <c r="F91" s="11" t="s">
        <v>116</v>
      </c>
      <c r="G91" s="11" t="s">
        <v>134</v>
      </c>
      <c r="H91" s="11" t="s">
        <v>118</v>
      </c>
      <c r="I91" s="11" t="s">
        <v>667</v>
      </c>
      <c r="J91" s="11" t="s">
        <v>673</v>
      </c>
    </row>
    <row r="92" customFormat="false" ht="15" hidden="false" customHeight="false" outlineLevel="0" collapsed="false">
      <c r="A92" s="11" t="s">
        <v>130</v>
      </c>
      <c r="B92" s="11" t="s">
        <v>131</v>
      </c>
      <c r="C92" s="11" t="n">
        <v>2018</v>
      </c>
      <c r="D92" s="11" t="s">
        <v>22</v>
      </c>
      <c r="E92" s="17" t="n">
        <v>1916272</v>
      </c>
      <c r="F92" s="11" t="s">
        <v>116</v>
      </c>
      <c r="G92" s="11" t="s">
        <v>134</v>
      </c>
      <c r="H92" s="11" t="s">
        <v>118</v>
      </c>
      <c r="I92" s="11" t="s">
        <v>667</v>
      </c>
      <c r="J92" s="11" t="s">
        <v>673</v>
      </c>
    </row>
    <row r="93" customFormat="false" ht="15" hidden="false" customHeight="false" outlineLevel="0" collapsed="false">
      <c r="A93" s="11" t="s">
        <v>130</v>
      </c>
      <c r="B93" s="11" t="s">
        <v>131</v>
      </c>
      <c r="C93" s="11" t="n">
        <v>2019</v>
      </c>
      <c r="D93" s="11" t="s">
        <v>22</v>
      </c>
      <c r="E93" s="17" t="n">
        <v>1968060</v>
      </c>
      <c r="F93" s="11" t="s">
        <v>116</v>
      </c>
      <c r="G93" s="11" t="s">
        <v>134</v>
      </c>
      <c r="H93" s="11" t="s">
        <v>118</v>
      </c>
      <c r="I93" s="11" t="s">
        <v>667</v>
      </c>
      <c r="J93" s="11" t="s">
        <v>673</v>
      </c>
    </row>
    <row r="94" customFormat="false" ht="15" hidden="false" customHeight="false" outlineLevel="0" collapsed="false">
      <c r="A94" s="11" t="s">
        <v>130</v>
      </c>
      <c r="B94" s="11" t="s">
        <v>131</v>
      </c>
      <c r="C94" s="11" t="n">
        <v>2020</v>
      </c>
      <c r="D94" s="11" t="s">
        <v>22</v>
      </c>
      <c r="E94" s="17" t="n">
        <v>2027763</v>
      </c>
      <c r="F94" s="11" t="s">
        <v>116</v>
      </c>
      <c r="G94" s="11" t="s">
        <v>134</v>
      </c>
      <c r="H94" s="11" t="s">
        <v>118</v>
      </c>
      <c r="I94" s="11" t="s">
        <v>667</v>
      </c>
      <c r="J94" s="11" t="s">
        <v>673</v>
      </c>
    </row>
    <row r="95" customFormat="false" ht="15" hidden="false" customHeight="false" outlineLevel="0" collapsed="false">
      <c r="A95" s="11" t="s">
        <v>130</v>
      </c>
      <c r="B95" s="11" t="s">
        <v>131</v>
      </c>
      <c r="C95" s="11" t="n">
        <v>2021</v>
      </c>
      <c r="D95" s="11" t="s">
        <v>22</v>
      </c>
      <c r="E95" s="17" t="n">
        <v>2065727</v>
      </c>
      <c r="F95" s="11" t="s">
        <v>116</v>
      </c>
      <c r="G95" s="11" t="s">
        <v>134</v>
      </c>
      <c r="H95" s="11" t="s">
        <v>118</v>
      </c>
      <c r="I95" s="11" t="s">
        <v>667</v>
      </c>
      <c r="J95" s="11" t="s">
        <v>673</v>
      </c>
    </row>
    <row r="96" customFormat="false" ht="15" hidden="false" customHeight="false" outlineLevel="0" collapsed="false">
      <c r="A96" s="11" t="s">
        <v>130</v>
      </c>
      <c r="B96" s="11" t="s">
        <v>131</v>
      </c>
      <c r="C96" s="11" t="n">
        <v>2022</v>
      </c>
      <c r="D96" s="11" t="s">
        <v>22</v>
      </c>
      <c r="E96" s="17" t="n">
        <v>2119691</v>
      </c>
      <c r="F96" s="11" t="s">
        <v>116</v>
      </c>
      <c r="G96" s="11" t="s">
        <v>134</v>
      </c>
      <c r="H96" s="11" t="s">
        <v>118</v>
      </c>
      <c r="I96" s="11" t="s">
        <v>667</v>
      </c>
      <c r="J96" s="11" t="s">
        <v>673</v>
      </c>
    </row>
    <row r="97" customFormat="false" ht="15" hidden="false" customHeight="false" outlineLevel="0" collapsed="false">
      <c r="A97" s="11" t="s">
        <v>130</v>
      </c>
      <c r="B97" s="11" t="s">
        <v>131</v>
      </c>
      <c r="C97" s="11" t="n">
        <v>2010</v>
      </c>
      <c r="D97" s="11" t="s">
        <v>26</v>
      </c>
      <c r="E97" s="17" t="n">
        <v>1052844</v>
      </c>
      <c r="F97" s="11" t="s">
        <v>119</v>
      </c>
      <c r="G97" s="11" t="s">
        <v>135</v>
      </c>
      <c r="H97" s="11" t="s">
        <v>121</v>
      </c>
      <c r="I97" s="11" t="s">
        <v>667</v>
      </c>
      <c r="J97" s="11" t="s">
        <v>673</v>
      </c>
    </row>
    <row r="98" customFormat="false" ht="15" hidden="false" customHeight="false" outlineLevel="0" collapsed="false">
      <c r="A98" s="11" t="s">
        <v>130</v>
      </c>
      <c r="B98" s="11" t="s">
        <v>131</v>
      </c>
      <c r="C98" s="11" t="n">
        <v>2011</v>
      </c>
      <c r="D98" s="11" t="s">
        <v>26</v>
      </c>
      <c r="E98" s="17" t="n">
        <v>1162608</v>
      </c>
      <c r="F98" s="11" t="s">
        <v>119</v>
      </c>
      <c r="G98" s="11" t="s">
        <v>135</v>
      </c>
      <c r="H98" s="11" t="s">
        <v>121</v>
      </c>
      <c r="I98" s="11" t="s">
        <v>667</v>
      </c>
      <c r="J98" s="11" t="s">
        <v>673</v>
      </c>
    </row>
    <row r="99" customFormat="false" ht="15" hidden="false" customHeight="false" outlineLevel="0" collapsed="false">
      <c r="A99" s="11" t="s">
        <v>130</v>
      </c>
      <c r="B99" s="11" t="s">
        <v>131</v>
      </c>
      <c r="C99" s="11" t="n">
        <v>2012</v>
      </c>
      <c r="D99" s="11" t="s">
        <v>26</v>
      </c>
      <c r="E99" s="17" t="n">
        <v>1197598</v>
      </c>
      <c r="F99" s="11" t="s">
        <v>119</v>
      </c>
      <c r="G99" s="11" t="s">
        <v>135</v>
      </c>
      <c r="H99" s="11" t="s">
        <v>121</v>
      </c>
      <c r="I99" s="11" t="s">
        <v>667</v>
      </c>
      <c r="J99" s="11" t="s">
        <v>673</v>
      </c>
    </row>
    <row r="100" customFormat="false" ht="15" hidden="false" customHeight="false" outlineLevel="0" collapsed="false">
      <c r="A100" s="11" t="s">
        <v>130</v>
      </c>
      <c r="B100" s="11" t="s">
        <v>131</v>
      </c>
      <c r="C100" s="11" t="n">
        <v>2013</v>
      </c>
      <c r="D100" s="11" t="s">
        <v>26</v>
      </c>
      <c r="E100" s="17" t="n">
        <v>1222741</v>
      </c>
      <c r="F100" s="11" t="s">
        <v>119</v>
      </c>
      <c r="G100" s="11" t="s">
        <v>135</v>
      </c>
      <c r="H100" s="11" t="s">
        <v>121</v>
      </c>
      <c r="I100" s="11" t="s">
        <v>667</v>
      </c>
      <c r="J100" s="11" t="s">
        <v>673</v>
      </c>
    </row>
    <row r="101" customFormat="false" ht="15" hidden="false" customHeight="false" outlineLevel="0" collapsed="false">
      <c r="A101" s="11" t="s">
        <v>130</v>
      </c>
      <c r="B101" s="11" t="s">
        <v>131</v>
      </c>
      <c r="C101" s="11" t="n">
        <v>2014</v>
      </c>
      <c r="D101" s="11" t="s">
        <v>26</v>
      </c>
      <c r="E101" s="17" t="n">
        <v>1237696</v>
      </c>
      <c r="F101" s="11" t="s">
        <v>119</v>
      </c>
      <c r="G101" s="11" t="s">
        <v>135</v>
      </c>
      <c r="H101" s="11" t="s">
        <v>121</v>
      </c>
      <c r="I101" s="11" t="s">
        <v>667</v>
      </c>
      <c r="J101" s="11" t="s">
        <v>673</v>
      </c>
    </row>
    <row r="102" customFormat="false" ht="15" hidden="false" customHeight="false" outlineLevel="0" collapsed="false">
      <c r="A102" s="11" t="s">
        <v>130</v>
      </c>
      <c r="B102" s="11" t="s">
        <v>131</v>
      </c>
      <c r="C102" s="11" t="n">
        <v>2015</v>
      </c>
      <c r="D102" s="11" t="s">
        <v>26</v>
      </c>
      <c r="E102" s="17" t="n">
        <v>1272751</v>
      </c>
      <c r="F102" s="11" t="s">
        <v>119</v>
      </c>
      <c r="G102" s="11" t="s">
        <v>135</v>
      </c>
      <c r="H102" s="11" t="s">
        <v>121</v>
      </c>
      <c r="I102" s="11" t="s">
        <v>667</v>
      </c>
      <c r="J102" s="11" t="s">
        <v>673</v>
      </c>
    </row>
    <row r="103" customFormat="false" ht="15" hidden="false" customHeight="false" outlineLevel="0" collapsed="false">
      <c r="A103" s="11" t="s">
        <v>130</v>
      </c>
      <c r="B103" s="11" t="s">
        <v>131</v>
      </c>
      <c r="C103" s="11" t="n">
        <v>2016</v>
      </c>
      <c r="D103" s="11" t="s">
        <v>26</v>
      </c>
      <c r="E103" s="17" t="n">
        <v>1327421</v>
      </c>
      <c r="F103" s="11" t="s">
        <v>119</v>
      </c>
      <c r="G103" s="11" t="s">
        <v>135</v>
      </c>
      <c r="H103" s="11" t="s">
        <v>121</v>
      </c>
      <c r="I103" s="11" t="s">
        <v>667</v>
      </c>
      <c r="J103" s="11" t="s">
        <v>673</v>
      </c>
    </row>
    <row r="104" customFormat="false" ht="15" hidden="false" customHeight="false" outlineLevel="0" collapsed="false">
      <c r="A104" s="11" t="s">
        <v>130</v>
      </c>
      <c r="B104" s="11" t="s">
        <v>131</v>
      </c>
      <c r="C104" s="11" t="n">
        <v>2017</v>
      </c>
      <c r="D104" s="11" t="s">
        <v>26</v>
      </c>
      <c r="E104" s="17" t="n">
        <v>1346358</v>
      </c>
      <c r="F104" s="11" t="s">
        <v>119</v>
      </c>
      <c r="G104" s="11" t="s">
        <v>135</v>
      </c>
      <c r="H104" s="11" t="s">
        <v>121</v>
      </c>
      <c r="I104" s="11" t="s">
        <v>667</v>
      </c>
      <c r="J104" s="11" t="s">
        <v>673</v>
      </c>
    </row>
    <row r="105" customFormat="false" ht="15" hidden="false" customHeight="false" outlineLevel="0" collapsed="false">
      <c r="A105" s="11" t="s">
        <v>130</v>
      </c>
      <c r="B105" s="11" t="s">
        <v>131</v>
      </c>
      <c r="C105" s="11" t="n">
        <v>2018</v>
      </c>
      <c r="D105" s="11" t="s">
        <v>26</v>
      </c>
      <c r="E105" s="17" t="n">
        <v>1366070</v>
      </c>
      <c r="F105" s="11" t="s">
        <v>119</v>
      </c>
      <c r="G105" s="11" t="s">
        <v>135</v>
      </c>
      <c r="H105" s="11" t="s">
        <v>121</v>
      </c>
      <c r="I105" s="11" t="s">
        <v>667</v>
      </c>
      <c r="J105" s="11" t="s">
        <v>673</v>
      </c>
    </row>
    <row r="106" customFormat="false" ht="15" hidden="false" customHeight="false" outlineLevel="0" collapsed="false">
      <c r="A106" s="11" t="s">
        <v>130</v>
      </c>
      <c r="B106" s="11" t="s">
        <v>131</v>
      </c>
      <c r="C106" s="11" t="n">
        <v>2019</v>
      </c>
      <c r="D106" s="11" t="s">
        <v>26</v>
      </c>
      <c r="E106" s="17" t="n">
        <v>1400238</v>
      </c>
      <c r="F106" s="11" t="s">
        <v>119</v>
      </c>
      <c r="G106" s="11" t="s">
        <v>135</v>
      </c>
      <c r="H106" s="11" t="s">
        <v>121</v>
      </c>
      <c r="I106" s="11" t="s">
        <v>667</v>
      </c>
      <c r="J106" s="11" t="s">
        <v>673</v>
      </c>
    </row>
    <row r="107" customFormat="false" ht="15" hidden="false" customHeight="false" outlineLevel="0" collapsed="false">
      <c r="A107" s="11" t="s">
        <v>130</v>
      </c>
      <c r="B107" s="11" t="s">
        <v>131</v>
      </c>
      <c r="C107" s="11" t="n">
        <v>2020</v>
      </c>
      <c r="D107" s="11" t="s">
        <v>26</v>
      </c>
      <c r="E107" s="17" t="n">
        <v>1437580</v>
      </c>
      <c r="F107" s="11" t="s">
        <v>119</v>
      </c>
      <c r="G107" s="11" t="s">
        <v>135</v>
      </c>
      <c r="H107" s="11" t="s">
        <v>121</v>
      </c>
      <c r="I107" s="11" t="s">
        <v>667</v>
      </c>
      <c r="J107" s="11" t="s">
        <v>673</v>
      </c>
    </row>
    <row r="108" customFormat="false" ht="15" hidden="false" customHeight="false" outlineLevel="0" collapsed="false">
      <c r="A108" s="11" t="s">
        <v>130</v>
      </c>
      <c r="B108" s="11" t="s">
        <v>131</v>
      </c>
      <c r="C108" s="11" t="n">
        <v>2021</v>
      </c>
      <c r="D108" s="11" t="s">
        <v>26</v>
      </c>
      <c r="E108" s="17" t="n">
        <v>1454039</v>
      </c>
      <c r="F108" s="11" t="s">
        <v>119</v>
      </c>
      <c r="G108" s="11" t="s">
        <v>135</v>
      </c>
      <c r="H108" s="11" t="s">
        <v>121</v>
      </c>
      <c r="I108" s="11" t="s">
        <v>667</v>
      </c>
      <c r="J108" s="11" t="s">
        <v>673</v>
      </c>
    </row>
    <row r="109" customFormat="false" ht="15" hidden="false" customHeight="false" outlineLevel="0" collapsed="false">
      <c r="A109" s="11" t="s">
        <v>130</v>
      </c>
      <c r="B109" s="11" t="s">
        <v>131</v>
      </c>
      <c r="C109" s="11" t="n">
        <v>2022</v>
      </c>
      <c r="D109" s="11" t="s">
        <v>26</v>
      </c>
      <c r="E109" s="17" t="n">
        <v>1488896</v>
      </c>
      <c r="F109" s="11" t="s">
        <v>119</v>
      </c>
      <c r="G109" s="11" t="s">
        <v>135</v>
      </c>
      <c r="H109" s="11" t="s">
        <v>121</v>
      </c>
      <c r="I109" s="11" t="s">
        <v>667</v>
      </c>
      <c r="J109" s="11" t="s">
        <v>673</v>
      </c>
    </row>
    <row r="110" customFormat="false" ht="15" hidden="false" customHeight="false" outlineLevel="0" collapsed="false">
      <c r="A110" s="11" t="s">
        <v>130</v>
      </c>
      <c r="B110" s="11" t="s">
        <v>131</v>
      </c>
      <c r="C110" s="11" t="n">
        <v>2010</v>
      </c>
      <c r="D110" s="11" t="s">
        <v>38</v>
      </c>
      <c r="E110" s="17" t="n">
        <v>12115</v>
      </c>
      <c r="F110" s="11" t="s">
        <v>123</v>
      </c>
      <c r="G110" s="11" t="s">
        <v>124</v>
      </c>
      <c r="H110" s="11" t="s">
        <v>125</v>
      </c>
      <c r="I110" s="11" t="s">
        <v>667</v>
      </c>
      <c r="J110" s="11" t="s">
        <v>674</v>
      </c>
    </row>
    <row r="111" customFormat="false" ht="15" hidden="false" customHeight="false" outlineLevel="0" collapsed="false">
      <c r="A111" s="11" t="s">
        <v>130</v>
      </c>
      <c r="B111" s="11" t="s">
        <v>131</v>
      </c>
      <c r="C111" s="11" t="n">
        <v>2011</v>
      </c>
      <c r="D111" s="11" t="s">
        <v>38</v>
      </c>
      <c r="E111" s="17" t="n">
        <v>13550</v>
      </c>
      <c r="F111" s="11" t="s">
        <v>123</v>
      </c>
      <c r="G111" s="11" t="s">
        <v>124</v>
      </c>
      <c r="H111" s="11" t="s">
        <v>125</v>
      </c>
      <c r="I111" s="11" t="s">
        <v>667</v>
      </c>
      <c r="J111" s="11" t="s">
        <v>674</v>
      </c>
    </row>
    <row r="112" customFormat="false" ht="15" hidden="false" customHeight="false" outlineLevel="0" collapsed="false">
      <c r="A112" s="11" t="s">
        <v>130</v>
      </c>
      <c r="B112" s="11" t="s">
        <v>131</v>
      </c>
      <c r="C112" s="11" t="n">
        <v>2012</v>
      </c>
      <c r="D112" s="11" t="s">
        <v>38</v>
      </c>
      <c r="E112" s="17" t="n">
        <v>15085</v>
      </c>
      <c r="F112" s="11" t="s">
        <v>123</v>
      </c>
      <c r="G112" s="11" t="s">
        <v>124</v>
      </c>
      <c r="H112" s="11" t="s">
        <v>125</v>
      </c>
      <c r="I112" s="11" t="s">
        <v>667</v>
      </c>
      <c r="J112" s="11" t="s">
        <v>674</v>
      </c>
    </row>
    <row r="113" customFormat="false" ht="15" hidden="false" customHeight="false" outlineLevel="0" collapsed="false">
      <c r="A113" s="11" t="s">
        <v>130</v>
      </c>
      <c r="B113" s="11" t="s">
        <v>131</v>
      </c>
      <c r="C113" s="11" t="n">
        <v>2013</v>
      </c>
      <c r="D113" s="11" t="s">
        <v>38</v>
      </c>
      <c r="E113" s="17" t="n">
        <v>15075</v>
      </c>
      <c r="F113" s="11" t="s">
        <v>123</v>
      </c>
      <c r="G113" s="11" t="s">
        <v>124</v>
      </c>
      <c r="H113" s="11" t="s">
        <v>125</v>
      </c>
      <c r="I113" s="11" t="s">
        <v>667</v>
      </c>
      <c r="J113" s="11" t="s">
        <v>674</v>
      </c>
    </row>
    <row r="114" customFormat="false" ht="15" hidden="false" customHeight="false" outlineLevel="0" collapsed="false">
      <c r="A114" s="11" t="s">
        <v>130</v>
      </c>
      <c r="B114" s="11" t="s">
        <v>131</v>
      </c>
      <c r="C114" s="11" t="n">
        <v>2014</v>
      </c>
      <c r="D114" s="11" t="s">
        <v>38</v>
      </c>
      <c r="E114" s="17" t="n">
        <v>15540</v>
      </c>
      <c r="F114" s="11" t="s">
        <v>123</v>
      </c>
      <c r="G114" s="11" t="s">
        <v>124</v>
      </c>
      <c r="H114" s="11" t="s">
        <v>125</v>
      </c>
      <c r="I114" s="11" t="s">
        <v>667</v>
      </c>
      <c r="J114" s="11" t="s">
        <v>674</v>
      </c>
    </row>
    <row r="115" customFormat="false" ht="15" hidden="false" customHeight="false" outlineLevel="0" collapsed="false">
      <c r="A115" s="11" t="s">
        <v>130</v>
      </c>
      <c r="B115" s="11" t="s">
        <v>131</v>
      </c>
      <c r="C115" s="11" t="n">
        <v>2015</v>
      </c>
      <c r="D115" s="11" t="s">
        <v>38</v>
      </c>
      <c r="E115" s="17" t="n">
        <v>16275</v>
      </c>
      <c r="F115" s="11" t="s">
        <v>123</v>
      </c>
      <c r="G115" s="11" t="s">
        <v>124</v>
      </c>
      <c r="H115" s="11" t="s">
        <v>125</v>
      </c>
      <c r="I115" s="11" t="s">
        <v>667</v>
      </c>
      <c r="J115" s="11" t="s">
        <v>674</v>
      </c>
    </row>
    <row r="116" customFormat="false" ht="15" hidden="false" customHeight="false" outlineLevel="0" collapsed="false">
      <c r="A116" s="11" t="s">
        <v>130</v>
      </c>
      <c r="B116" s="11" t="s">
        <v>131</v>
      </c>
      <c r="C116" s="11" t="n">
        <v>2016</v>
      </c>
      <c r="D116" s="11" t="s">
        <v>38</v>
      </c>
      <c r="E116" s="17" t="n">
        <v>19320</v>
      </c>
      <c r="F116" s="11" t="s">
        <v>123</v>
      </c>
      <c r="G116" s="11" t="s">
        <v>124</v>
      </c>
      <c r="H116" s="11" t="s">
        <v>125</v>
      </c>
      <c r="I116" s="11" t="s">
        <v>667</v>
      </c>
      <c r="J116" s="11" t="s">
        <v>674</v>
      </c>
    </row>
    <row r="117" customFormat="false" ht="15" hidden="false" customHeight="false" outlineLevel="0" collapsed="false">
      <c r="A117" s="11" t="s">
        <v>130</v>
      </c>
      <c r="B117" s="11" t="s">
        <v>131</v>
      </c>
      <c r="C117" s="11" t="n">
        <v>2017</v>
      </c>
      <c r="D117" s="11" t="s">
        <v>38</v>
      </c>
      <c r="E117" s="17" t="n">
        <v>18285</v>
      </c>
      <c r="F117" s="11" t="s">
        <v>123</v>
      </c>
      <c r="G117" s="11" t="s">
        <v>124</v>
      </c>
      <c r="H117" s="11" t="s">
        <v>125</v>
      </c>
      <c r="I117" s="11" t="s">
        <v>667</v>
      </c>
      <c r="J117" s="11" t="s">
        <v>674</v>
      </c>
    </row>
    <row r="118" customFormat="false" ht="15" hidden="false" customHeight="false" outlineLevel="0" collapsed="false">
      <c r="A118" s="11" t="s">
        <v>130</v>
      </c>
      <c r="B118" s="11" t="s">
        <v>131</v>
      </c>
      <c r="C118" s="11" t="n">
        <v>2018</v>
      </c>
      <c r="D118" s="11" t="s">
        <v>38</v>
      </c>
      <c r="E118" s="17" t="n">
        <v>19145</v>
      </c>
      <c r="F118" s="11" t="s">
        <v>123</v>
      </c>
      <c r="G118" s="11" t="s">
        <v>124</v>
      </c>
      <c r="H118" s="11" t="s">
        <v>125</v>
      </c>
      <c r="I118" s="11" t="s">
        <v>667</v>
      </c>
      <c r="J118" s="11" t="s">
        <v>674</v>
      </c>
    </row>
    <row r="119" customFormat="false" ht="15" hidden="false" customHeight="false" outlineLevel="0" collapsed="false">
      <c r="A119" s="11" t="s">
        <v>130</v>
      </c>
      <c r="B119" s="11" t="s">
        <v>131</v>
      </c>
      <c r="C119" s="11" t="n">
        <v>2019</v>
      </c>
      <c r="D119" s="11" t="s">
        <v>38</v>
      </c>
      <c r="E119" s="17" t="n">
        <v>17585</v>
      </c>
      <c r="F119" s="11" t="s">
        <v>123</v>
      </c>
      <c r="G119" s="11" t="s">
        <v>124</v>
      </c>
      <c r="H119" s="11" t="s">
        <v>125</v>
      </c>
      <c r="I119" s="11" t="s">
        <v>667</v>
      </c>
      <c r="J119" s="11" t="s">
        <v>674</v>
      </c>
    </row>
    <row r="120" customFormat="false" ht="15" hidden="false" customHeight="false" outlineLevel="0" collapsed="false">
      <c r="A120" s="11" t="s">
        <v>130</v>
      </c>
      <c r="B120" s="11" t="s">
        <v>131</v>
      </c>
      <c r="C120" s="11" t="n">
        <v>2020</v>
      </c>
      <c r="D120" s="11" t="s">
        <v>38</v>
      </c>
      <c r="E120" s="17" t="n">
        <v>11495</v>
      </c>
      <c r="F120" s="11" t="s">
        <v>123</v>
      </c>
      <c r="G120" s="11" t="s">
        <v>124</v>
      </c>
      <c r="H120" s="11" t="s">
        <v>125</v>
      </c>
      <c r="I120" s="11" t="s">
        <v>667</v>
      </c>
      <c r="J120" s="11" t="s">
        <v>674</v>
      </c>
    </row>
    <row r="121" customFormat="false" ht="15" hidden="false" customHeight="false" outlineLevel="0" collapsed="false">
      <c r="A121" s="11" t="s">
        <v>130</v>
      </c>
      <c r="B121" s="11" t="s">
        <v>131</v>
      </c>
      <c r="C121" s="11" t="n">
        <v>2021</v>
      </c>
      <c r="D121" s="11" t="s">
        <v>38</v>
      </c>
      <c r="E121" s="17" t="n">
        <v>10885</v>
      </c>
      <c r="F121" s="11" t="s">
        <v>123</v>
      </c>
      <c r="G121" s="11" t="s">
        <v>124</v>
      </c>
      <c r="H121" s="11" t="s">
        <v>125</v>
      </c>
      <c r="I121" s="11" t="s">
        <v>667</v>
      </c>
      <c r="J121" s="11" t="s">
        <v>674</v>
      </c>
    </row>
    <row r="122" customFormat="false" ht="15" hidden="false" customHeight="false" outlineLevel="0" collapsed="false">
      <c r="A122" s="11" t="s">
        <v>130</v>
      </c>
      <c r="B122" s="11" t="s">
        <v>131</v>
      </c>
      <c r="C122" s="11" t="n">
        <v>2022</v>
      </c>
      <c r="D122" s="11" t="s">
        <v>38</v>
      </c>
      <c r="E122" s="17" t="n">
        <v>10965</v>
      </c>
      <c r="F122" s="11" t="s">
        <v>123</v>
      </c>
      <c r="G122" s="11" t="s">
        <v>124</v>
      </c>
      <c r="H122" s="11" t="s">
        <v>125</v>
      </c>
      <c r="I122" s="11" t="s">
        <v>667</v>
      </c>
      <c r="J122" s="11" t="s">
        <v>674</v>
      </c>
    </row>
    <row r="123" customFormat="false" ht="15" hidden="false" customHeight="false" outlineLevel="0" collapsed="false">
      <c r="A123" s="11" t="s">
        <v>130</v>
      </c>
      <c r="B123" s="11" t="s">
        <v>131</v>
      </c>
      <c r="C123" s="11" t="n">
        <v>2010</v>
      </c>
      <c r="D123" s="11" t="s">
        <v>18</v>
      </c>
      <c r="E123" s="17" t="n">
        <v>10895586</v>
      </c>
      <c r="F123" s="11" t="s">
        <v>98</v>
      </c>
      <c r="G123" s="11" t="s">
        <v>99</v>
      </c>
      <c r="H123" s="11" t="s">
        <v>671</v>
      </c>
      <c r="I123" s="11" t="s">
        <v>667</v>
      </c>
      <c r="J123" s="11" t="s">
        <v>672</v>
      </c>
    </row>
    <row r="124" customFormat="false" ht="15" hidden="false" customHeight="false" outlineLevel="0" collapsed="false">
      <c r="A124" s="11" t="s">
        <v>130</v>
      </c>
      <c r="B124" s="11" t="s">
        <v>131</v>
      </c>
      <c r="C124" s="11" t="n">
        <v>2011</v>
      </c>
      <c r="D124" s="11" t="s">
        <v>18</v>
      </c>
      <c r="E124" s="17" t="n">
        <v>11038264</v>
      </c>
      <c r="F124" s="11" t="s">
        <v>98</v>
      </c>
      <c r="G124" s="11" t="s">
        <v>99</v>
      </c>
      <c r="H124" s="11" t="s">
        <v>671</v>
      </c>
      <c r="I124" s="11" t="s">
        <v>667</v>
      </c>
      <c r="J124" s="11" t="s">
        <v>672</v>
      </c>
    </row>
    <row r="125" customFormat="false" ht="15" hidden="false" customHeight="false" outlineLevel="0" collapsed="false">
      <c r="A125" s="11" t="s">
        <v>130</v>
      </c>
      <c r="B125" s="11" t="s">
        <v>131</v>
      </c>
      <c r="C125" s="11" t="n">
        <v>2012</v>
      </c>
      <c r="D125" s="11" t="s">
        <v>18</v>
      </c>
      <c r="E125" s="17" t="n">
        <v>11106932</v>
      </c>
      <c r="F125" s="11" t="s">
        <v>98</v>
      </c>
      <c r="G125" s="11" t="s">
        <v>99</v>
      </c>
      <c r="H125" s="11" t="s">
        <v>671</v>
      </c>
      <c r="I125" s="11" t="s">
        <v>667</v>
      </c>
      <c r="J125" s="11" t="s">
        <v>672</v>
      </c>
    </row>
    <row r="126" customFormat="false" ht="15" hidden="false" customHeight="false" outlineLevel="0" collapsed="false">
      <c r="A126" s="11" t="s">
        <v>130</v>
      </c>
      <c r="B126" s="11" t="s">
        <v>131</v>
      </c>
      <c r="C126" s="11" t="n">
        <v>2013</v>
      </c>
      <c r="D126" s="11" t="s">
        <v>18</v>
      </c>
      <c r="E126" s="17" t="n">
        <v>11159407</v>
      </c>
      <c r="F126" s="11" t="s">
        <v>98</v>
      </c>
      <c r="G126" s="11" t="s">
        <v>99</v>
      </c>
      <c r="H126" s="11" t="s">
        <v>671</v>
      </c>
      <c r="I126" s="11" t="s">
        <v>667</v>
      </c>
      <c r="J126" s="11" t="s">
        <v>672</v>
      </c>
    </row>
    <row r="127" customFormat="false" ht="15" hidden="false" customHeight="false" outlineLevel="0" collapsed="false">
      <c r="A127" s="11" t="s">
        <v>130</v>
      </c>
      <c r="B127" s="11" t="s">
        <v>131</v>
      </c>
      <c r="C127" s="11" t="n">
        <v>2014</v>
      </c>
      <c r="D127" s="11" t="s">
        <v>18</v>
      </c>
      <c r="E127" s="17" t="n">
        <v>11209057</v>
      </c>
      <c r="F127" s="11" t="s">
        <v>98</v>
      </c>
      <c r="G127" s="11" t="s">
        <v>99</v>
      </c>
      <c r="H127" s="11" t="s">
        <v>671</v>
      </c>
      <c r="I127" s="11" t="s">
        <v>667</v>
      </c>
      <c r="J127" s="11" t="s">
        <v>672</v>
      </c>
    </row>
    <row r="128" customFormat="false" ht="15" hidden="false" customHeight="false" outlineLevel="0" collapsed="false">
      <c r="A128" s="11" t="s">
        <v>130</v>
      </c>
      <c r="B128" s="11" t="s">
        <v>131</v>
      </c>
      <c r="C128" s="11" t="n">
        <v>2015</v>
      </c>
      <c r="D128" s="11" t="s">
        <v>18</v>
      </c>
      <c r="E128" s="17" t="n">
        <v>11274196</v>
      </c>
      <c r="F128" s="11" t="s">
        <v>98</v>
      </c>
      <c r="G128" s="11" t="s">
        <v>99</v>
      </c>
      <c r="H128" s="11" t="s">
        <v>671</v>
      </c>
      <c r="I128" s="11" t="s">
        <v>667</v>
      </c>
      <c r="J128" s="11" t="s">
        <v>672</v>
      </c>
    </row>
    <row r="129" customFormat="false" ht="15" hidden="false" customHeight="false" outlineLevel="0" collapsed="false">
      <c r="A129" s="11" t="s">
        <v>130</v>
      </c>
      <c r="B129" s="11" t="s">
        <v>131</v>
      </c>
      <c r="C129" s="11" t="n">
        <v>2016</v>
      </c>
      <c r="D129" s="11" t="s">
        <v>18</v>
      </c>
      <c r="E129" s="17" t="n">
        <v>11331422</v>
      </c>
      <c r="F129" s="11" t="s">
        <v>98</v>
      </c>
      <c r="G129" s="11" t="s">
        <v>99</v>
      </c>
      <c r="H129" s="11" t="s">
        <v>671</v>
      </c>
      <c r="I129" s="11" t="s">
        <v>667</v>
      </c>
      <c r="J129" s="11" t="s">
        <v>672</v>
      </c>
    </row>
    <row r="130" customFormat="false" ht="15" hidden="false" customHeight="false" outlineLevel="0" collapsed="false">
      <c r="A130" s="11" t="s">
        <v>130</v>
      </c>
      <c r="B130" s="11" t="s">
        <v>131</v>
      </c>
      <c r="C130" s="11" t="n">
        <v>2017</v>
      </c>
      <c r="D130" s="11" t="s">
        <v>18</v>
      </c>
      <c r="E130" s="17" t="n">
        <v>11375158</v>
      </c>
      <c r="F130" s="11" t="s">
        <v>98</v>
      </c>
      <c r="G130" s="11" t="s">
        <v>99</v>
      </c>
      <c r="H130" s="11" t="s">
        <v>671</v>
      </c>
      <c r="I130" s="11" t="s">
        <v>667</v>
      </c>
      <c r="J130" s="11" t="s">
        <v>672</v>
      </c>
    </row>
    <row r="131" customFormat="false" ht="15" hidden="false" customHeight="false" outlineLevel="0" collapsed="false">
      <c r="A131" s="11" t="s">
        <v>130</v>
      </c>
      <c r="B131" s="11" t="s">
        <v>131</v>
      </c>
      <c r="C131" s="11" t="n">
        <v>2018</v>
      </c>
      <c r="D131" s="11" t="s">
        <v>18</v>
      </c>
      <c r="E131" s="17" t="n">
        <v>11427054</v>
      </c>
      <c r="F131" s="11" t="s">
        <v>98</v>
      </c>
      <c r="G131" s="11" t="s">
        <v>99</v>
      </c>
      <c r="H131" s="11" t="s">
        <v>671</v>
      </c>
      <c r="I131" s="11" t="s">
        <v>667</v>
      </c>
      <c r="J131" s="11" t="s">
        <v>672</v>
      </c>
    </row>
    <row r="132" customFormat="false" ht="15" hidden="false" customHeight="false" outlineLevel="0" collapsed="false">
      <c r="A132" s="11" t="s">
        <v>130</v>
      </c>
      <c r="B132" s="11" t="s">
        <v>131</v>
      </c>
      <c r="C132" s="11" t="n">
        <v>2019</v>
      </c>
      <c r="D132" s="11" t="s">
        <v>18</v>
      </c>
      <c r="E132" s="17" t="n">
        <v>11488980</v>
      </c>
      <c r="F132" s="11" t="s">
        <v>98</v>
      </c>
      <c r="G132" s="11" t="s">
        <v>99</v>
      </c>
      <c r="H132" s="11" t="s">
        <v>671</v>
      </c>
      <c r="I132" s="11" t="s">
        <v>667</v>
      </c>
      <c r="J132" s="11" t="s">
        <v>672</v>
      </c>
    </row>
    <row r="133" customFormat="false" ht="15" hidden="false" customHeight="false" outlineLevel="0" collapsed="false">
      <c r="A133" s="11" t="s">
        <v>130</v>
      </c>
      <c r="B133" s="11" t="s">
        <v>131</v>
      </c>
      <c r="C133" s="11" t="n">
        <v>2020</v>
      </c>
      <c r="D133" s="11" t="s">
        <v>18</v>
      </c>
      <c r="E133" s="17" t="n">
        <v>11538604</v>
      </c>
      <c r="F133" s="11" t="s">
        <v>98</v>
      </c>
      <c r="G133" s="11" t="s">
        <v>99</v>
      </c>
      <c r="H133" s="11" t="s">
        <v>671</v>
      </c>
      <c r="I133" s="11" t="s">
        <v>667</v>
      </c>
      <c r="J133" s="11" t="s">
        <v>672</v>
      </c>
    </row>
    <row r="134" customFormat="false" ht="15" hidden="false" customHeight="false" outlineLevel="0" collapsed="false">
      <c r="A134" s="11" t="s">
        <v>130</v>
      </c>
      <c r="B134" s="11" t="s">
        <v>131</v>
      </c>
      <c r="C134" s="11" t="n">
        <v>2021</v>
      </c>
      <c r="D134" s="11" t="s">
        <v>18</v>
      </c>
      <c r="E134" s="17" t="n">
        <v>11586195</v>
      </c>
      <c r="F134" s="11" t="s">
        <v>98</v>
      </c>
      <c r="G134" s="11" t="s">
        <v>99</v>
      </c>
      <c r="H134" s="11" t="s">
        <v>671</v>
      </c>
      <c r="I134" s="11" t="s">
        <v>667</v>
      </c>
      <c r="J134" s="11" t="s">
        <v>672</v>
      </c>
    </row>
    <row r="135" customFormat="false" ht="15" hidden="false" customHeight="false" outlineLevel="0" collapsed="false">
      <c r="A135" s="11" t="s">
        <v>130</v>
      </c>
      <c r="B135" s="11" t="s">
        <v>131</v>
      </c>
      <c r="C135" s="11" t="n">
        <v>2022</v>
      </c>
      <c r="D135" s="11" t="s">
        <v>18</v>
      </c>
      <c r="E135" s="17" t="n">
        <v>11680210</v>
      </c>
      <c r="F135" s="11" t="s">
        <v>98</v>
      </c>
      <c r="G135" s="11" t="s">
        <v>99</v>
      </c>
      <c r="H135" s="11" t="s">
        <v>671</v>
      </c>
      <c r="I135" s="11" t="s">
        <v>667</v>
      </c>
      <c r="J135" s="11" t="s">
        <v>672</v>
      </c>
    </row>
    <row r="136" customFormat="false" ht="15" hidden="false" customHeight="false" outlineLevel="0" collapsed="false">
      <c r="A136" s="11" t="s">
        <v>136</v>
      </c>
      <c r="B136" s="11" t="s">
        <v>137</v>
      </c>
      <c r="C136" s="11" t="n">
        <v>2011</v>
      </c>
      <c r="D136" s="11" t="s">
        <v>22</v>
      </c>
      <c r="E136" s="17" t="n">
        <v>78621</v>
      </c>
      <c r="F136" s="11" t="s">
        <v>116</v>
      </c>
      <c r="G136" s="11" t="s">
        <v>141</v>
      </c>
      <c r="H136" s="11" t="s">
        <v>142</v>
      </c>
      <c r="I136" s="11" t="s">
        <v>667</v>
      </c>
      <c r="J136" s="11" t="s">
        <v>673</v>
      </c>
    </row>
    <row r="137" customFormat="false" ht="15" hidden="false" customHeight="false" outlineLevel="0" collapsed="false">
      <c r="A137" s="11" t="s">
        <v>136</v>
      </c>
      <c r="B137" s="11" t="s">
        <v>137</v>
      </c>
      <c r="C137" s="11" t="n">
        <v>2012</v>
      </c>
      <c r="D137" s="11" t="s">
        <v>22</v>
      </c>
      <c r="E137" s="17" t="n">
        <v>85076</v>
      </c>
      <c r="F137" s="11" t="s">
        <v>116</v>
      </c>
      <c r="G137" s="11" t="s">
        <v>141</v>
      </c>
      <c r="H137" s="11" t="s">
        <v>142</v>
      </c>
      <c r="I137" s="11" t="s">
        <v>667</v>
      </c>
      <c r="J137" s="11" t="s">
        <v>673</v>
      </c>
    </row>
    <row r="138" customFormat="false" ht="15" hidden="false" customHeight="false" outlineLevel="0" collapsed="false">
      <c r="A138" s="11" t="s">
        <v>136</v>
      </c>
      <c r="B138" s="11" t="s">
        <v>137</v>
      </c>
      <c r="C138" s="11" t="n">
        <v>2013</v>
      </c>
      <c r="D138" s="11" t="s">
        <v>22</v>
      </c>
      <c r="E138" s="17" t="n">
        <v>95180</v>
      </c>
      <c r="F138" s="11" t="s">
        <v>116</v>
      </c>
      <c r="G138" s="11" t="s">
        <v>141</v>
      </c>
      <c r="H138" s="11" t="s">
        <v>142</v>
      </c>
      <c r="I138" s="11" t="s">
        <v>667</v>
      </c>
      <c r="J138" s="11" t="s">
        <v>673</v>
      </c>
    </row>
    <row r="139" customFormat="false" ht="15" hidden="false" customHeight="false" outlineLevel="0" collapsed="false">
      <c r="A139" s="11" t="s">
        <v>136</v>
      </c>
      <c r="B139" s="11" t="s">
        <v>137</v>
      </c>
      <c r="C139" s="11" t="n">
        <v>2014</v>
      </c>
      <c r="D139" s="11" t="s">
        <v>22</v>
      </c>
      <c r="E139" s="17" t="n">
        <v>107275</v>
      </c>
      <c r="F139" s="11" t="s">
        <v>116</v>
      </c>
      <c r="G139" s="11" t="s">
        <v>141</v>
      </c>
      <c r="H139" s="11" t="s">
        <v>142</v>
      </c>
      <c r="I139" s="11" t="s">
        <v>667</v>
      </c>
      <c r="J139" s="11" t="s">
        <v>673</v>
      </c>
    </row>
    <row r="140" customFormat="false" ht="15" hidden="false" customHeight="false" outlineLevel="0" collapsed="false">
      <c r="A140" s="11" t="s">
        <v>136</v>
      </c>
      <c r="B140" s="11" t="s">
        <v>137</v>
      </c>
      <c r="C140" s="11" t="n">
        <v>2015</v>
      </c>
      <c r="D140" s="11" t="s">
        <v>22</v>
      </c>
      <c r="E140" s="17" t="n">
        <v>120635</v>
      </c>
      <c r="F140" s="11" t="s">
        <v>116</v>
      </c>
      <c r="G140" s="11" t="s">
        <v>141</v>
      </c>
      <c r="H140" s="11" t="s">
        <v>142</v>
      </c>
      <c r="I140" s="11" t="s">
        <v>667</v>
      </c>
      <c r="J140" s="11" t="s">
        <v>673</v>
      </c>
    </row>
    <row r="141" customFormat="false" ht="15" hidden="false" customHeight="false" outlineLevel="0" collapsed="false">
      <c r="A141" s="11" t="s">
        <v>136</v>
      </c>
      <c r="B141" s="11" t="s">
        <v>137</v>
      </c>
      <c r="C141" s="11" t="n">
        <v>2016</v>
      </c>
      <c r="D141" s="11" t="s">
        <v>22</v>
      </c>
      <c r="E141" s="17" t="n">
        <v>131924</v>
      </c>
      <c r="F141" s="11" t="s">
        <v>116</v>
      </c>
      <c r="G141" s="11" t="s">
        <v>141</v>
      </c>
      <c r="H141" s="11" t="s">
        <v>142</v>
      </c>
      <c r="I141" s="11" t="s">
        <v>667</v>
      </c>
      <c r="J141" s="11" t="s">
        <v>673</v>
      </c>
    </row>
    <row r="142" customFormat="false" ht="15" hidden="false" customHeight="false" outlineLevel="0" collapsed="false">
      <c r="A142" s="11" t="s">
        <v>136</v>
      </c>
      <c r="B142" s="11" t="s">
        <v>137</v>
      </c>
      <c r="C142" s="11" t="n">
        <v>2017</v>
      </c>
      <c r="D142" s="11" t="s">
        <v>22</v>
      </c>
      <c r="E142" s="17" t="n">
        <v>139655</v>
      </c>
      <c r="F142" s="11" t="s">
        <v>116</v>
      </c>
      <c r="G142" s="11" t="s">
        <v>141</v>
      </c>
      <c r="H142" s="11" t="s">
        <v>142</v>
      </c>
      <c r="I142" s="11" t="s">
        <v>667</v>
      </c>
      <c r="J142" s="11" t="s">
        <v>673</v>
      </c>
    </row>
    <row r="143" customFormat="false" ht="15" hidden="false" customHeight="false" outlineLevel="0" collapsed="false">
      <c r="A143" s="11" t="s">
        <v>136</v>
      </c>
      <c r="B143" s="11" t="s">
        <v>137</v>
      </c>
      <c r="C143" s="11" t="n">
        <v>2018</v>
      </c>
      <c r="D143" s="11" t="s">
        <v>22</v>
      </c>
      <c r="E143" s="17" t="n">
        <v>149096</v>
      </c>
      <c r="F143" s="11" t="s">
        <v>116</v>
      </c>
      <c r="G143" s="11" t="s">
        <v>141</v>
      </c>
      <c r="H143" s="11" t="s">
        <v>142</v>
      </c>
      <c r="I143" s="11" t="s">
        <v>667</v>
      </c>
      <c r="J143" s="11" t="s">
        <v>673</v>
      </c>
    </row>
    <row r="144" customFormat="false" ht="15" hidden="false" customHeight="false" outlineLevel="0" collapsed="false">
      <c r="A144" s="11" t="s">
        <v>136</v>
      </c>
      <c r="B144" s="11" t="s">
        <v>137</v>
      </c>
      <c r="C144" s="11" t="n">
        <v>2019</v>
      </c>
      <c r="D144" s="11" t="s">
        <v>22</v>
      </c>
      <c r="E144" s="17" t="n">
        <v>162346</v>
      </c>
      <c r="F144" s="11" t="s">
        <v>116</v>
      </c>
      <c r="G144" s="11" t="s">
        <v>141</v>
      </c>
      <c r="H144" s="11" t="s">
        <v>142</v>
      </c>
      <c r="I144" s="11" t="s">
        <v>667</v>
      </c>
      <c r="J144" s="11" t="s">
        <v>673</v>
      </c>
    </row>
    <row r="145" customFormat="false" ht="15" hidden="false" customHeight="false" outlineLevel="0" collapsed="false">
      <c r="A145" s="11" t="s">
        <v>136</v>
      </c>
      <c r="B145" s="11" t="s">
        <v>137</v>
      </c>
      <c r="C145" s="11" t="n">
        <v>2020</v>
      </c>
      <c r="D145" s="11" t="s">
        <v>22</v>
      </c>
      <c r="E145" s="17" t="n">
        <v>176321</v>
      </c>
      <c r="F145" s="11" t="s">
        <v>116</v>
      </c>
      <c r="G145" s="11" t="s">
        <v>141</v>
      </c>
      <c r="H145" s="11" t="s">
        <v>142</v>
      </c>
      <c r="I145" s="11" t="s">
        <v>667</v>
      </c>
      <c r="J145" s="11" t="s">
        <v>673</v>
      </c>
    </row>
    <row r="146" customFormat="false" ht="15" hidden="false" customHeight="false" outlineLevel="0" collapsed="false">
      <c r="A146" s="11" t="s">
        <v>136</v>
      </c>
      <c r="B146" s="11" t="s">
        <v>137</v>
      </c>
      <c r="C146" s="11" t="n">
        <v>2021</v>
      </c>
      <c r="D146" s="11" t="s">
        <v>22</v>
      </c>
      <c r="E146" s="17" t="n">
        <v>188519</v>
      </c>
      <c r="F146" s="11" t="s">
        <v>116</v>
      </c>
      <c r="G146" s="11" t="s">
        <v>141</v>
      </c>
      <c r="H146" s="11" t="s">
        <v>142</v>
      </c>
      <c r="I146" s="11" t="s">
        <v>667</v>
      </c>
      <c r="J146" s="11" t="s">
        <v>673</v>
      </c>
    </row>
    <row r="147" customFormat="false" ht="15" hidden="false" customHeight="false" outlineLevel="0" collapsed="false">
      <c r="A147" s="11" t="s">
        <v>136</v>
      </c>
      <c r="B147" s="11" t="s">
        <v>137</v>
      </c>
      <c r="C147" s="11" t="n">
        <v>2022</v>
      </c>
      <c r="D147" s="11" t="s">
        <v>22</v>
      </c>
      <c r="E147" s="17" t="n">
        <v>142214</v>
      </c>
      <c r="F147" s="11" t="s">
        <v>116</v>
      </c>
      <c r="G147" s="11" t="s">
        <v>141</v>
      </c>
      <c r="H147" s="11" t="s">
        <v>143</v>
      </c>
      <c r="I147" s="11" t="s">
        <v>667</v>
      </c>
      <c r="J147" s="11" t="s">
        <v>673</v>
      </c>
    </row>
    <row r="148" customFormat="false" ht="15" hidden="false" customHeight="false" outlineLevel="0" collapsed="false">
      <c r="A148" s="11" t="s">
        <v>136</v>
      </c>
      <c r="B148" s="11" t="s">
        <v>137</v>
      </c>
      <c r="C148" s="11" t="n">
        <v>2010</v>
      </c>
      <c r="D148" s="11" t="s">
        <v>26</v>
      </c>
      <c r="E148" s="17" t="n">
        <v>38002</v>
      </c>
      <c r="F148" s="11" t="s">
        <v>119</v>
      </c>
      <c r="G148" s="11" t="s">
        <v>140</v>
      </c>
      <c r="H148" s="11" t="s">
        <v>121</v>
      </c>
      <c r="I148" s="11" t="s">
        <v>667</v>
      </c>
      <c r="J148" s="11" t="s">
        <v>673</v>
      </c>
    </row>
    <row r="149" customFormat="false" ht="15" hidden="false" customHeight="false" outlineLevel="0" collapsed="false">
      <c r="A149" s="11" t="s">
        <v>136</v>
      </c>
      <c r="B149" s="11" t="s">
        <v>137</v>
      </c>
      <c r="C149" s="11" t="n">
        <v>2011</v>
      </c>
      <c r="D149" s="11" t="s">
        <v>26</v>
      </c>
      <c r="E149" s="17" t="n">
        <v>38815</v>
      </c>
      <c r="F149" s="11" t="s">
        <v>119</v>
      </c>
      <c r="G149" s="11" t="s">
        <v>140</v>
      </c>
      <c r="H149" s="11" t="s">
        <v>121</v>
      </c>
      <c r="I149" s="11" t="s">
        <v>667</v>
      </c>
      <c r="J149" s="11" t="s">
        <v>673</v>
      </c>
    </row>
    <row r="150" customFormat="false" ht="15" hidden="false" customHeight="false" outlineLevel="0" collapsed="false">
      <c r="A150" s="11" t="s">
        <v>136</v>
      </c>
      <c r="B150" s="11" t="s">
        <v>137</v>
      </c>
      <c r="C150" s="11" t="n">
        <v>2012</v>
      </c>
      <c r="D150" s="11" t="s">
        <v>26</v>
      </c>
      <c r="E150" s="17" t="n">
        <v>39432</v>
      </c>
      <c r="F150" s="11" t="s">
        <v>119</v>
      </c>
      <c r="G150" s="11" t="s">
        <v>140</v>
      </c>
      <c r="H150" s="11" t="s">
        <v>121</v>
      </c>
      <c r="I150" s="11" t="s">
        <v>667</v>
      </c>
      <c r="J150" s="11" t="s">
        <v>673</v>
      </c>
    </row>
    <row r="151" customFormat="false" ht="15" hidden="false" customHeight="false" outlineLevel="0" collapsed="false">
      <c r="A151" s="11" t="s">
        <v>136</v>
      </c>
      <c r="B151" s="11" t="s">
        <v>137</v>
      </c>
      <c r="C151" s="11" t="n">
        <v>2013</v>
      </c>
      <c r="D151" s="11" t="s">
        <v>26</v>
      </c>
      <c r="E151" s="17" t="n">
        <v>44506</v>
      </c>
      <c r="F151" s="11" t="s">
        <v>119</v>
      </c>
      <c r="G151" s="11" t="s">
        <v>140</v>
      </c>
      <c r="H151" s="11" t="s">
        <v>121</v>
      </c>
      <c r="I151" s="11" t="s">
        <v>667</v>
      </c>
      <c r="J151" s="11" t="s">
        <v>673</v>
      </c>
    </row>
    <row r="152" customFormat="false" ht="15" hidden="false" customHeight="false" outlineLevel="0" collapsed="false">
      <c r="A152" s="11" t="s">
        <v>136</v>
      </c>
      <c r="B152" s="11" t="s">
        <v>137</v>
      </c>
      <c r="C152" s="11" t="n">
        <v>2014</v>
      </c>
      <c r="D152" s="11" t="s">
        <v>26</v>
      </c>
      <c r="E152" s="17" t="n">
        <v>53253</v>
      </c>
      <c r="F152" s="11" t="s">
        <v>119</v>
      </c>
      <c r="G152" s="11" t="s">
        <v>140</v>
      </c>
      <c r="H152" s="11" t="s">
        <v>121</v>
      </c>
      <c r="I152" s="11" t="s">
        <v>667</v>
      </c>
      <c r="J152" s="11" t="s">
        <v>673</v>
      </c>
    </row>
    <row r="153" customFormat="false" ht="15" hidden="false" customHeight="false" outlineLevel="0" collapsed="false">
      <c r="A153" s="11" t="s">
        <v>136</v>
      </c>
      <c r="B153" s="11" t="s">
        <v>137</v>
      </c>
      <c r="C153" s="11" t="n">
        <v>2015</v>
      </c>
      <c r="D153" s="11" t="s">
        <v>26</v>
      </c>
      <c r="E153" s="17" t="n">
        <v>63879</v>
      </c>
      <c r="F153" s="11" t="s">
        <v>119</v>
      </c>
      <c r="G153" s="11" t="s">
        <v>140</v>
      </c>
      <c r="H153" s="11" t="s">
        <v>121</v>
      </c>
      <c r="I153" s="11" t="s">
        <v>667</v>
      </c>
      <c r="J153" s="11" t="s">
        <v>673</v>
      </c>
    </row>
    <row r="154" customFormat="false" ht="15" hidden="false" customHeight="false" outlineLevel="0" collapsed="false">
      <c r="A154" s="11" t="s">
        <v>136</v>
      </c>
      <c r="B154" s="11" t="s">
        <v>137</v>
      </c>
      <c r="C154" s="11" t="n">
        <v>2016</v>
      </c>
      <c r="D154" s="11" t="s">
        <v>26</v>
      </c>
      <c r="E154" s="17" t="n">
        <v>71491</v>
      </c>
      <c r="F154" s="11" t="s">
        <v>119</v>
      </c>
      <c r="G154" s="11" t="s">
        <v>140</v>
      </c>
      <c r="H154" s="11" t="s">
        <v>121</v>
      </c>
      <c r="I154" s="11" t="s">
        <v>667</v>
      </c>
      <c r="J154" s="11" t="s">
        <v>673</v>
      </c>
    </row>
    <row r="155" customFormat="false" ht="15" hidden="false" customHeight="false" outlineLevel="0" collapsed="false">
      <c r="A155" s="11" t="s">
        <v>136</v>
      </c>
      <c r="B155" s="11" t="s">
        <v>137</v>
      </c>
      <c r="C155" s="11" t="n">
        <v>2017</v>
      </c>
      <c r="D155" s="11" t="s">
        <v>26</v>
      </c>
      <c r="E155" s="17" t="n">
        <v>76562</v>
      </c>
      <c r="F155" s="11" t="s">
        <v>119</v>
      </c>
      <c r="G155" s="11" t="s">
        <v>140</v>
      </c>
      <c r="H155" s="11" t="s">
        <v>121</v>
      </c>
      <c r="I155" s="11" t="s">
        <v>667</v>
      </c>
      <c r="J155" s="11" t="s">
        <v>673</v>
      </c>
    </row>
    <row r="156" customFormat="false" ht="15" hidden="false" customHeight="false" outlineLevel="0" collapsed="false">
      <c r="A156" s="11" t="s">
        <v>136</v>
      </c>
      <c r="B156" s="11" t="s">
        <v>137</v>
      </c>
      <c r="C156" s="11" t="n">
        <v>2018</v>
      </c>
      <c r="D156" s="11" t="s">
        <v>26</v>
      </c>
      <c r="E156" s="17" t="n">
        <v>82370</v>
      </c>
      <c r="F156" s="11" t="s">
        <v>119</v>
      </c>
      <c r="G156" s="11" t="s">
        <v>140</v>
      </c>
      <c r="H156" s="11" t="s">
        <v>121</v>
      </c>
      <c r="I156" s="11" t="s">
        <v>667</v>
      </c>
      <c r="J156" s="11" t="s">
        <v>673</v>
      </c>
    </row>
    <row r="157" customFormat="false" ht="15" hidden="false" customHeight="false" outlineLevel="0" collapsed="false">
      <c r="A157" s="11" t="s">
        <v>136</v>
      </c>
      <c r="B157" s="11" t="s">
        <v>137</v>
      </c>
      <c r="C157" s="11" t="n">
        <v>2019</v>
      </c>
      <c r="D157" s="11" t="s">
        <v>26</v>
      </c>
      <c r="E157" s="17" t="n">
        <v>91243</v>
      </c>
      <c r="F157" s="11" t="s">
        <v>119</v>
      </c>
      <c r="G157" s="11" t="s">
        <v>140</v>
      </c>
      <c r="H157" s="11" t="s">
        <v>121</v>
      </c>
      <c r="I157" s="11" t="s">
        <v>667</v>
      </c>
      <c r="J157" s="11" t="s">
        <v>673</v>
      </c>
    </row>
    <row r="158" customFormat="false" ht="15" hidden="false" customHeight="false" outlineLevel="0" collapsed="false">
      <c r="A158" s="11" t="s">
        <v>136</v>
      </c>
      <c r="B158" s="11" t="s">
        <v>137</v>
      </c>
      <c r="C158" s="11" t="n">
        <v>2020</v>
      </c>
      <c r="D158" s="11" t="s">
        <v>26</v>
      </c>
      <c r="E158" s="17" t="n">
        <v>100768</v>
      </c>
      <c r="F158" s="11" t="s">
        <v>119</v>
      </c>
      <c r="G158" s="11" t="s">
        <v>140</v>
      </c>
      <c r="H158" s="11" t="s">
        <v>121</v>
      </c>
      <c r="I158" s="11" t="s">
        <v>667</v>
      </c>
      <c r="J158" s="11" t="s">
        <v>673</v>
      </c>
    </row>
    <row r="159" customFormat="false" ht="15" hidden="false" customHeight="false" outlineLevel="0" collapsed="false">
      <c r="A159" s="11" t="s">
        <v>136</v>
      </c>
      <c r="B159" s="11" t="s">
        <v>137</v>
      </c>
      <c r="C159" s="11" t="n">
        <v>2021</v>
      </c>
      <c r="D159" s="11" t="s">
        <v>26</v>
      </c>
      <c r="E159" s="17" t="n">
        <v>108438</v>
      </c>
      <c r="F159" s="11" t="s">
        <v>119</v>
      </c>
      <c r="G159" s="11" t="s">
        <v>140</v>
      </c>
      <c r="H159" s="11" t="s">
        <v>121</v>
      </c>
      <c r="I159" s="11" t="s">
        <v>667</v>
      </c>
      <c r="J159" s="11" t="s">
        <v>673</v>
      </c>
    </row>
    <row r="160" customFormat="false" ht="15" hidden="false" customHeight="false" outlineLevel="0" collapsed="false">
      <c r="A160" s="11" t="s">
        <v>136</v>
      </c>
      <c r="B160" s="11" t="s">
        <v>137</v>
      </c>
      <c r="C160" s="11" t="n">
        <v>2022</v>
      </c>
      <c r="D160" s="11" t="s">
        <v>26</v>
      </c>
      <c r="E160" s="17" t="n">
        <v>63861</v>
      </c>
      <c r="F160" s="11" t="s">
        <v>119</v>
      </c>
      <c r="G160" s="11" t="s">
        <v>140</v>
      </c>
      <c r="H160" s="11" t="s">
        <v>144</v>
      </c>
      <c r="I160" s="11" t="s">
        <v>667</v>
      </c>
      <c r="J160" s="11" t="s">
        <v>673</v>
      </c>
    </row>
    <row r="161" customFormat="false" ht="15" hidden="false" customHeight="false" outlineLevel="0" collapsed="false">
      <c r="A161" s="11" t="s">
        <v>136</v>
      </c>
      <c r="B161" s="11" t="s">
        <v>137</v>
      </c>
      <c r="C161" s="11" t="n">
        <v>2010</v>
      </c>
      <c r="D161" s="11" t="s">
        <v>38</v>
      </c>
      <c r="E161" s="17" t="n">
        <v>1705</v>
      </c>
      <c r="F161" s="11" t="s">
        <v>123</v>
      </c>
      <c r="G161" s="11" t="s">
        <v>124</v>
      </c>
      <c r="H161" s="11" t="s">
        <v>125</v>
      </c>
      <c r="I161" s="11" t="s">
        <v>667</v>
      </c>
      <c r="J161" s="11" t="s">
        <v>674</v>
      </c>
    </row>
    <row r="162" customFormat="false" ht="15" hidden="false" customHeight="false" outlineLevel="0" collapsed="false">
      <c r="A162" s="11" t="s">
        <v>136</v>
      </c>
      <c r="B162" s="11" t="s">
        <v>137</v>
      </c>
      <c r="C162" s="11" t="n">
        <v>2011</v>
      </c>
      <c r="D162" s="11" t="s">
        <v>38</v>
      </c>
      <c r="E162" s="17" t="n">
        <v>1355</v>
      </c>
      <c r="F162" s="11" t="s">
        <v>123</v>
      </c>
      <c r="G162" s="11" t="s">
        <v>124</v>
      </c>
      <c r="H162" s="11" t="s">
        <v>125</v>
      </c>
      <c r="I162" s="11" t="s">
        <v>667</v>
      </c>
      <c r="J162" s="11" t="s">
        <v>674</v>
      </c>
    </row>
    <row r="163" customFormat="false" ht="15" hidden="false" customHeight="false" outlineLevel="0" collapsed="false">
      <c r="A163" s="11" t="s">
        <v>136</v>
      </c>
      <c r="B163" s="11" t="s">
        <v>137</v>
      </c>
      <c r="C163" s="11" t="n">
        <v>2012</v>
      </c>
      <c r="D163" s="11" t="s">
        <v>38</v>
      </c>
      <c r="E163" s="17" t="n">
        <v>2050</v>
      </c>
      <c r="F163" s="11" t="s">
        <v>123</v>
      </c>
      <c r="G163" s="11" t="s">
        <v>124</v>
      </c>
      <c r="H163" s="11" t="s">
        <v>125</v>
      </c>
      <c r="I163" s="11" t="s">
        <v>667</v>
      </c>
      <c r="J163" s="11" t="s">
        <v>674</v>
      </c>
    </row>
    <row r="164" customFormat="false" ht="15" hidden="false" customHeight="false" outlineLevel="0" collapsed="false">
      <c r="A164" s="11" t="s">
        <v>136</v>
      </c>
      <c r="B164" s="11" t="s">
        <v>137</v>
      </c>
      <c r="C164" s="11" t="n">
        <v>2013</v>
      </c>
      <c r="D164" s="11" t="s">
        <v>38</v>
      </c>
      <c r="E164" s="17" t="n">
        <v>5260</v>
      </c>
      <c r="F164" s="11" t="s">
        <v>123</v>
      </c>
      <c r="G164" s="11" t="s">
        <v>124</v>
      </c>
      <c r="H164" s="11" t="s">
        <v>125</v>
      </c>
      <c r="I164" s="11" t="s">
        <v>667</v>
      </c>
      <c r="J164" s="11" t="s">
        <v>674</v>
      </c>
    </row>
    <row r="165" customFormat="false" ht="15" hidden="false" customHeight="false" outlineLevel="0" collapsed="false">
      <c r="A165" s="11" t="s">
        <v>136</v>
      </c>
      <c r="B165" s="11" t="s">
        <v>137</v>
      </c>
      <c r="C165" s="11" t="n">
        <v>2014</v>
      </c>
      <c r="D165" s="11" t="s">
        <v>38</v>
      </c>
      <c r="E165" s="17" t="n">
        <v>12870</v>
      </c>
      <c r="F165" s="11" t="s">
        <v>123</v>
      </c>
      <c r="G165" s="11" t="s">
        <v>124</v>
      </c>
      <c r="H165" s="11" t="s">
        <v>125</v>
      </c>
      <c r="I165" s="11" t="s">
        <v>667</v>
      </c>
      <c r="J165" s="11" t="s">
        <v>674</v>
      </c>
    </row>
    <row r="166" customFormat="false" ht="15" hidden="false" customHeight="false" outlineLevel="0" collapsed="false">
      <c r="A166" s="11" t="s">
        <v>136</v>
      </c>
      <c r="B166" s="11" t="s">
        <v>137</v>
      </c>
      <c r="C166" s="11" t="n">
        <v>2015</v>
      </c>
      <c r="D166" s="11" t="s">
        <v>38</v>
      </c>
      <c r="E166" s="17" t="n">
        <v>20810</v>
      </c>
      <c r="F166" s="11" t="s">
        <v>123</v>
      </c>
      <c r="G166" s="11" t="s">
        <v>124</v>
      </c>
      <c r="H166" s="11" t="s">
        <v>125</v>
      </c>
      <c r="I166" s="11" t="s">
        <v>667</v>
      </c>
      <c r="J166" s="11" t="s">
        <v>674</v>
      </c>
    </row>
    <row r="167" customFormat="false" ht="15" hidden="false" customHeight="false" outlineLevel="0" collapsed="false">
      <c r="A167" s="11" t="s">
        <v>136</v>
      </c>
      <c r="B167" s="11" t="s">
        <v>137</v>
      </c>
      <c r="C167" s="11" t="n">
        <v>2016</v>
      </c>
      <c r="D167" s="11" t="s">
        <v>38</v>
      </c>
      <c r="E167" s="17" t="n">
        <v>14125</v>
      </c>
      <c r="F167" s="11" t="s">
        <v>123</v>
      </c>
      <c r="G167" s="11" t="s">
        <v>124</v>
      </c>
      <c r="H167" s="11" t="s">
        <v>125</v>
      </c>
      <c r="I167" s="11" t="s">
        <v>667</v>
      </c>
      <c r="J167" s="11" t="s">
        <v>674</v>
      </c>
    </row>
    <row r="168" customFormat="false" ht="15" hidden="false" customHeight="false" outlineLevel="0" collapsed="false">
      <c r="A168" s="11" t="s">
        <v>136</v>
      </c>
      <c r="B168" s="11" t="s">
        <v>137</v>
      </c>
      <c r="C168" s="11" t="n">
        <v>2017</v>
      </c>
      <c r="D168" s="11" t="s">
        <v>38</v>
      </c>
      <c r="E168" s="17" t="n">
        <v>2595</v>
      </c>
      <c r="F168" s="11" t="s">
        <v>123</v>
      </c>
      <c r="G168" s="11" t="s">
        <v>124</v>
      </c>
      <c r="H168" s="11" t="s">
        <v>125</v>
      </c>
      <c r="I168" s="11" t="s">
        <v>667</v>
      </c>
      <c r="J168" s="11" t="s">
        <v>674</v>
      </c>
    </row>
    <row r="169" customFormat="false" ht="15" hidden="false" customHeight="false" outlineLevel="0" collapsed="false">
      <c r="A169" s="11" t="s">
        <v>136</v>
      </c>
      <c r="B169" s="11" t="s">
        <v>137</v>
      </c>
      <c r="C169" s="11" t="n">
        <v>2018</v>
      </c>
      <c r="D169" s="11" t="s">
        <v>38</v>
      </c>
      <c r="E169" s="17" t="n">
        <v>1305</v>
      </c>
      <c r="F169" s="11" t="s">
        <v>123</v>
      </c>
      <c r="G169" s="11" t="s">
        <v>124</v>
      </c>
      <c r="H169" s="11" t="s">
        <v>125</v>
      </c>
      <c r="I169" s="11" t="s">
        <v>667</v>
      </c>
      <c r="J169" s="11" t="s">
        <v>674</v>
      </c>
    </row>
    <row r="170" customFormat="false" ht="15" hidden="false" customHeight="false" outlineLevel="0" collapsed="false">
      <c r="A170" s="11" t="s">
        <v>136</v>
      </c>
      <c r="B170" s="11" t="s">
        <v>137</v>
      </c>
      <c r="C170" s="11" t="n">
        <v>2019</v>
      </c>
      <c r="D170" s="11" t="s">
        <v>38</v>
      </c>
      <c r="E170" s="17" t="n">
        <v>655</v>
      </c>
      <c r="F170" s="11" t="s">
        <v>123</v>
      </c>
      <c r="G170" s="11" t="s">
        <v>124</v>
      </c>
      <c r="H170" s="11" t="s">
        <v>125</v>
      </c>
      <c r="I170" s="11" t="s">
        <v>667</v>
      </c>
      <c r="J170" s="11" t="s">
        <v>674</v>
      </c>
    </row>
    <row r="171" customFormat="false" ht="15" hidden="false" customHeight="false" outlineLevel="0" collapsed="false">
      <c r="A171" s="11" t="s">
        <v>136</v>
      </c>
      <c r="B171" s="11" t="s">
        <v>137</v>
      </c>
      <c r="C171" s="11" t="n">
        <v>2020</v>
      </c>
      <c r="D171" s="11" t="s">
        <v>38</v>
      </c>
      <c r="E171" s="17" t="n">
        <v>670</v>
      </c>
      <c r="F171" s="11" t="s">
        <v>123</v>
      </c>
      <c r="G171" s="11" t="s">
        <v>124</v>
      </c>
      <c r="H171" s="11" t="s">
        <v>125</v>
      </c>
      <c r="I171" s="11" t="s">
        <v>667</v>
      </c>
      <c r="J171" s="11" t="s">
        <v>674</v>
      </c>
    </row>
    <row r="172" customFormat="false" ht="15" hidden="false" customHeight="false" outlineLevel="0" collapsed="false">
      <c r="A172" s="11" t="s">
        <v>136</v>
      </c>
      <c r="B172" s="11" t="s">
        <v>137</v>
      </c>
      <c r="C172" s="11" t="n">
        <v>2021</v>
      </c>
      <c r="D172" s="11" t="s">
        <v>38</v>
      </c>
      <c r="E172" s="17" t="n">
        <v>3200</v>
      </c>
      <c r="F172" s="11" t="s">
        <v>123</v>
      </c>
      <c r="G172" s="11" t="s">
        <v>124</v>
      </c>
      <c r="H172" s="11" t="s">
        <v>125</v>
      </c>
      <c r="I172" s="11" t="s">
        <v>667</v>
      </c>
      <c r="J172" s="11" t="s">
        <v>674</v>
      </c>
    </row>
    <row r="173" customFormat="false" ht="15" hidden="false" customHeight="false" outlineLevel="0" collapsed="false">
      <c r="A173" s="11" t="s">
        <v>136</v>
      </c>
      <c r="B173" s="11" t="s">
        <v>137</v>
      </c>
      <c r="C173" s="11" t="n">
        <v>2022</v>
      </c>
      <c r="D173" s="11" t="s">
        <v>38</v>
      </c>
      <c r="E173" s="17" t="n">
        <v>10135</v>
      </c>
      <c r="F173" s="11" t="s">
        <v>123</v>
      </c>
      <c r="G173" s="11" t="s">
        <v>124</v>
      </c>
      <c r="H173" s="11" t="s">
        <v>125</v>
      </c>
      <c r="I173" s="11" t="s">
        <v>667</v>
      </c>
      <c r="J173" s="11" t="s">
        <v>674</v>
      </c>
    </row>
    <row r="174" customFormat="false" ht="15" hidden="false" customHeight="false" outlineLevel="0" collapsed="false">
      <c r="A174" s="11" t="s">
        <v>136</v>
      </c>
      <c r="B174" s="11" t="s">
        <v>137</v>
      </c>
      <c r="C174" s="11" t="n">
        <v>2010</v>
      </c>
      <c r="D174" s="11" t="s">
        <v>18</v>
      </c>
      <c r="E174" s="17" t="n">
        <v>7395599</v>
      </c>
      <c r="F174" s="11" t="s">
        <v>98</v>
      </c>
      <c r="G174" s="11" t="s">
        <v>99</v>
      </c>
      <c r="H174" s="11" t="s">
        <v>671</v>
      </c>
      <c r="I174" s="11" t="s">
        <v>667</v>
      </c>
      <c r="J174" s="11" t="s">
        <v>672</v>
      </c>
    </row>
    <row r="175" customFormat="false" ht="15" hidden="false" customHeight="false" outlineLevel="0" collapsed="false">
      <c r="A175" s="11" t="s">
        <v>136</v>
      </c>
      <c r="B175" s="11" t="s">
        <v>137</v>
      </c>
      <c r="C175" s="11" t="n">
        <v>2011</v>
      </c>
      <c r="D175" s="11" t="s">
        <v>18</v>
      </c>
      <c r="E175" s="17" t="n">
        <v>7348328</v>
      </c>
      <c r="F175" s="11" t="s">
        <v>98</v>
      </c>
      <c r="G175" s="11" t="s">
        <v>99</v>
      </c>
      <c r="H175" s="11" t="s">
        <v>671</v>
      </c>
      <c r="I175" s="11" t="s">
        <v>667</v>
      </c>
      <c r="J175" s="11" t="s">
        <v>672</v>
      </c>
    </row>
    <row r="176" customFormat="false" ht="15" hidden="false" customHeight="false" outlineLevel="0" collapsed="false">
      <c r="A176" s="11" t="s">
        <v>136</v>
      </c>
      <c r="B176" s="11" t="s">
        <v>137</v>
      </c>
      <c r="C176" s="11" t="n">
        <v>2012</v>
      </c>
      <c r="D176" s="11" t="s">
        <v>18</v>
      </c>
      <c r="E176" s="17" t="n">
        <v>7305888</v>
      </c>
      <c r="F176" s="11" t="s">
        <v>98</v>
      </c>
      <c r="G176" s="11" t="s">
        <v>99</v>
      </c>
      <c r="H176" s="11" t="s">
        <v>671</v>
      </c>
      <c r="I176" s="11" t="s">
        <v>667</v>
      </c>
      <c r="J176" s="11" t="s">
        <v>672</v>
      </c>
    </row>
    <row r="177" customFormat="false" ht="15" hidden="false" customHeight="false" outlineLevel="0" collapsed="false">
      <c r="A177" s="11" t="s">
        <v>136</v>
      </c>
      <c r="B177" s="11" t="s">
        <v>137</v>
      </c>
      <c r="C177" s="11" t="n">
        <v>2013</v>
      </c>
      <c r="D177" s="11" t="s">
        <v>18</v>
      </c>
      <c r="E177" s="17" t="n">
        <v>7160005</v>
      </c>
      <c r="F177" s="11" t="s">
        <v>98</v>
      </c>
      <c r="G177" s="11" t="s">
        <v>99</v>
      </c>
      <c r="H177" s="11" t="s">
        <v>671</v>
      </c>
      <c r="I177" s="11" t="s">
        <v>667</v>
      </c>
      <c r="J177" s="11" t="s">
        <v>672</v>
      </c>
    </row>
    <row r="178" customFormat="false" ht="15" hidden="false" customHeight="false" outlineLevel="0" collapsed="false">
      <c r="A178" s="11" t="s">
        <v>136</v>
      </c>
      <c r="B178" s="11" t="s">
        <v>137</v>
      </c>
      <c r="C178" s="11" t="n">
        <v>2014</v>
      </c>
      <c r="D178" s="11" t="s">
        <v>18</v>
      </c>
      <c r="E178" s="17" t="n">
        <v>7073572</v>
      </c>
      <c r="F178" s="11" t="s">
        <v>98</v>
      </c>
      <c r="G178" s="11" t="s">
        <v>99</v>
      </c>
      <c r="H178" s="11" t="s">
        <v>671</v>
      </c>
      <c r="I178" s="11" t="s">
        <v>667</v>
      </c>
      <c r="J178" s="11" t="s">
        <v>672</v>
      </c>
    </row>
    <row r="179" customFormat="false" ht="15" hidden="false" customHeight="false" outlineLevel="0" collapsed="false">
      <c r="A179" s="11" t="s">
        <v>136</v>
      </c>
      <c r="B179" s="11" t="s">
        <v>137</v>
      </c>
      <c r="C179" s="11" t="n">
        <v>2015</v>
      </c>
      <c r="D179" s="11" t="s">
        <v>18</v>
      </c>
      <c r="E179" s="17" t="n">
        <v>6984225</v>
      </c>
      <c r="F179" s="11" t="s">
        <v>98</v>
      </c>
      <c r="G179" s="11" t="s">
        <v>99</v>
      </c>
      <c r="H179" s="11" t="s">
        <v>671</v>
      </c>
      <c r="I179" s="11" t="s">
        <v>667</v>
      </c>
      <c r="J179" s="11" t="s">
        <v>672</v>
      </c>
    </row>
    <row r="180" customFormat="false" ht="15" hidden="false" customHeight="false" outlineLevel="0" collapsed="false">
      <c r="A180" s="11" t="s">
        <v>136</v>
      </c>
      <c r="B180" s="11" t="s">
        <v>137</v>
      </c>
      <c r="C180" s="11" t="n">
        <v>2016</v>
      </c>
      <c r="D180" s="11" t="s">
        <v>18</v>
      </c>
      <c r="E180" s="17" t="n">
        <v>6894139</v>
      </c>
      <c r="F180" s="11" t="s">
        <v>98</v>
      </c>
      <c r="G180" s="11" t="s">
        <v>99</v>
      </c>
      <c r="H180" s="11" t="s">
        <v>671</v>
      </c>
      <c r="I180" s="11" t="s">
        <v>667</v>
      </c>
      <c r="J180" s="11" t="s">
        <v>672</v>
      </c>
    </row>
    <row r="181" customFormat="false" ht="15" hidden="false" customHeight="false" outlineLevel="0" collapsed="false">
      <c r="A181" s="11" t="s">
        <v>136</v>
      </c>
      <c r="B181" s="11" t="s">
        <v>137</v>
      </c>
      <c r="C181" s="11" t="n">
        <v>2017</v>
      </c>
      <c r="D181" s="11" t="s">
        <v>18</v>
      </c>
      <c r="E181" s="17" t="n">
        <v>6803468</v>
      </c>
      <c r="F181" s="11" t="s">
        <v>98</v>
      </c>
      <c r="G181" s="11" t="s">
        <v>99</v>
      </c>
      <c r="H181" s="11" t="s">
        <v>671</v>
      </c>
      <c r="I181" s="11" t="s">
        <v>667</v>
      </c>
      <c r="J181" s="11" t="s">
        <v>672</v>
      </c>
    </row>
    <row r="182" customFormat="false" ht="15" hidden="false" customHeight="false" outlineLevel="0" collapsed="false">
      <c r="A182" s="11" t="s">
        <v>136</v>
      </c>
      <c r="B182" s="11" t="s">
        <v>137</v>
      </c>
      <c r="C182" s="11" t="n">
        <v>2018</v>
      </c>
      <c r="D182" s="11" t="s">
        <v>18</v>
      </c>
      <c r="E182" s="17" t="n">
        <v>6710798</v>
      </c>
      <c r="F182" s="11" t="s">
        <v>98</v>
      </c>
      <c r="G182" s="11" t="s">
        <v>99</v>
      </c>
      <c r="H182" s="11" t="s">
        <v>671</v>
      </c>
      <c r="I182" s="11" t="s">
        <v>667</v>
      </c>
      <c r="J182" s="11" t="s">
        <v>672</v>
      </c>
    </row>
    <row r="183" customFormat="false" ht="15" hidden="false" customHeight="false" outlineLevel="0" collapsed="false">
      <c r="A183" s="11" t="s">
        <v>136</v>
      </c>
      <c r="B183" s="11" t="s">
        <v>137</v>
      </c>
      <c r="C183" s="11" t="n">
        <v>2019</v>
      </c>
      <c r="D183" s="11" t="s">
        <v>18</v>
      </c>
      <c r="E183" s="17" t="n">
        <v>6616726</v>
      </c>
      <c r="F183" s="11" t="s">
        <v>98</v>
      </c>
      <c r="G183" s="11" t="s">
        <v>99</v>
      </c>
      <c r="H183" s="11" t="s">
        <v>671</v>
      </c>
      <c r="I183" s="11" t="s">
        <v>667</v>
      </c>
      <c r="J183" s="11" t="s">
        <v>672</v>
      </c>
    </row>
    <row r="184" customFormat="false" ht="15" hidden="false" customHeight="false" outlineLevel="0" collapsed="false">
      <c r="A184" s="11" t="s">
        <v>136</v>
      </c>
      <c r="B184" s="11" t="s">
        <v>137</v>
      </c>
      <c r="C184" s="11" t="n">
        <v>2020</v>
      </c>
      <c r="D184" s="11" t="s">
        <v>18</v>
      </c>
      <c r="E184" s="17" t="n">
        <v>6550696</v>
      </c>
      <c r="F184" s="11" t="s">
        <v>98</v>
      </c>
      <c r="G184" s="11" t="s">
        <v>99</v>
      </c>
      <c r="H184" s="11" t="s">
        <v>671</v>
      </c>
      <c r="I184" s="11" t="s">
        <v>667</v>
      </c>
      <c r="J184" s="11" t="s">
        <v>672</v>
      </c>
    </row>
    <row r="185" customFormat="false" ht="15" hidden="false" customHeight="false" outlineLevel="0" collapsed="false">
      <c r="A185" s="11" t="s">
        <v>136</v>
      </c>
      <c r="B185" s="11" t="s">
        <v>137</v>
      </c>
      <c r="C185" s="11" t="n">
        <v>2021</v>
      </c>
      <c r="D185" s="11" t="s">
        <v>18</v>
      </c>
      <c r="E185" s="17" t="n">
        <v>6507301</v>
      </c>
      <c r="F185" s="11" t="s">
        <v>98</v>
      </c>
      <c r="G185" s="11" t="s">
        <v>99</v>
      </c>
      <c r="H185" s="11" t="s">
        <v>671</v>
      </c>
      <c r="I185" s="11" t="s">
        <v>667</v>
      </c>
      <c r="J185" s="11" t="s">
        <v>672</v>
      </c>
    </row>
    <row r="186" customFormat="false" ht="15" hidden="false" customHeight="false" outlineLevel="0" collapsed="false">
      <c r="A186" s="11" t="s">
        <v>136</v>
      </c>
      <c r="B186" s="11" t="s">
        <v>137</v>
      </c>
      <c r="C186" s="11" t="n">
        <v>2022</v>
      </c>
      <c r="D186" s="11" t="s">
        <v>18</v>
      </c>
      <c r="E186" s="17" t="n">
        <v>6465097</v>
      </c>
      <c r="F186" s="11" t="s">
        <v>98</v>
      </c>
      <c r="G186" s="11" t="s">
        <v>99</v>
      </c>
      <c r="H186" s="11" t="s">
        <v>671</v>
      </c>
      <c r="I186" s="11" t="s">
        <v>667</v>
      </c>
      <c r="J186" s="11" t="s">
        <v>672</v>
      </c>
    </row>
    <row r="187" customFormat="false" ht="15" hidden="false" customHeight="false" outlineLevel="0" collapsed="false">
      <c r="A187" s="11" t="s">
        <v>470</v>
      </c>
      <c r="B187" s="11" t="s">
        <v>471</v>
      </c>
      <c r="C187" s="11" t="n">
        <v>2011</v>
      </c>
      <c r="D187" s="11" t="s">
        <v>22</v>
      </c>
      <c r="E187" s="17" t="n">
        <v>1940349</v>
      </c>
      <c r="F187" s="11" t="s">
        <v>116</v>
      </c>
      <c r="G187" s="11" t="s">
        <v>475</v>
      </c>
      <c r="H187" s="11" t="s">
        <v>476</v>
      </c>
      <c r="I187" s="11" t="s">
        <v>667</v>
      </c>
      <c r="J187" s="11" t="s">
        <v>673</v>
      </c>
    </row>
    <row r="188" customFormat="false" ht="15" hidden="false" customHeight="false" outlineLevel="0" collapsed="false">
      <c r="A188" s="11" t="s">
        <v>470</v>
      </c>
      <c r="B188" s="11" t="s">
        <v>471</v>
      </c>
      <c r="C188" s="11" t="n">
        <v>2012</v>
      </c>
      <c r="D188" s="11" t="s">
        <v>22</v>
      </c>
      <c r="E188" s="17" t="n">
        <v>2033702</v>
      </c>
      <c r="F188" s="11" t="s">
        <v>116</v>
      </c>
      <c r="G188" s="11" t="s">
        <v>475</v>
      </c>
      <c r="H188" s="11" t="s">
        <v>476</v>
      </c>
      <c r="I188" s="11" t="s">
        <v>667</v>
      </c>
      <c r="J188" s="11" t="s">
        <v>673</v>
      </c>
    </row>
    <row r="189" customFormat="false" ht="15" hidden="false" customHeight="false" outlineLevel="0" collapsed="false">
      <c r="A189" s="11" t="s">
        <v>470</v>
      </c>
      <c r="B189" s="11" t="s">
        <v>471</v>
      </c>
      <c r="C189" s="11" t="n">
        <v>2013</v>
      </c>
      <c r="D189" s="11" t="s">
        <v>22</v>
      </c>
      <c r="E189" s="17" t="n">
        <v>2102964</v>
      </c>
      <c r="F189" s="11" t="s">
        <v>116</v>
      </c>
      <c r="G189" s="11" t="s">
        <v>475</v>
      </c>
      <c r="H189" s="11" t="s">
        <v>476</v>
      </c>
      <c r="I189" s="11" t="s">
        <v>667</v>
      </c>
      <c r="J189" s="11" t="s">
        <v>673</v>
      </c>
    </row>
    <row r="190" customFormat="false" ht="15" hidden="false" customHeight="false" outlineLevel="0" collapsed="false">
      <c r="A190" s="11" t="s">
        <v>470</v>
      </c>
      <c r="B190" s="11" t="s">
        <v>471</v>
      </c>
      <c r="C190" s="11" t="n">
        <v>2014</v>
      </c>
      <c r="D190" s="11" t="s">
        <v>22</v>
      </c>
      <c r="E190" s="17" t="n">
        <v>2183206</v>
      </c>
      <c r="F190" s="11" t="s">
        <v>116</v>
      </c>
      <c r="G190" s="11" t="s">
        <v>475</v>
      </c>
      <c r="H190" s="11" t="s">
        <v>476</v>
      </c>
      <c r="I190" s="11" t="s">
        <v>667</v>
      </c>
      <c r="J190" s="11" t="s">
        <v>673</v>
      </c>
    </row>
    <row r="191" customFormat="false" ht="15" hidden="false" customHeight="false" outlineLevel="0" collapsed="false">
      <c r="A191" s="11" t="s">
        <v>470</v>
      </c>
      <c r="B191" s="11" t="s">
        <v>471</v>
      </c>
      <c r="C191" s="11" t="n">
        <v>2015</v>
      </c>
      <c r="D191" s="11" t="s">
        <v>22</v>
      </c>
      <c r="E191" s="17" t="n">
        <v>2258196</v>
      </c>
      <c r="F191" s="11" t="s">
        <v>116</v>
      </c>
      <c r="G191" s="11" t="s">
        <v>475</v>
      </c>
      <c r="H191" s="11" t="s">
        <v>476</v>
      </c>
      <c r="I191" s="11" t="s">
        <v>667</v>
      </c>
      <c r="J191" s="11" t="s">
        <v>673</v>
      </c>
    </row>
    <row r="192" customFormat="false" ht="15" hidden="false" customHeight="false" outlineLevel="0" collapsed="false">
      <c r="A192" s="11" t="s">
        <v>470</v>
      </c>
      <c r="B192" s="11" t="s">
        <v>471</v>
      </c>
      <c r="C192" s="11" t="n">
        <v>2016</v>
      </c>
      <c r="D192" s="11" t="s">
        <v>22</v>
      </c>
      <c r="E192" s="17" t="n">
        <v>2324461</v>
      </c>
      <c r="F192" s="11" t="s">
        <v>116</v>
      </c>
      <c r="G192" s="11" t="s">
        <v>475</v>
      </c>
      <c r="H192" s="11" t="s">
        <v>476</v>
      </c>
      <c r="I192" s="11" t="s">
        <v>667</v>
      </c>
      <c r="J192" s="11" t="s">
        <v>673</v>
      </c>
    </row>
    <row r="193" customFormat="false" ht="15" hidden="false" customHeight="false" outlineLevel="0" collapsed="false">
      <c r="A193" s="11" t="s">
        <v>470</v>
      </c>
      <c r="B193" s="11" t="s">
        <v>471</v>
      </c>
      <c r="C193" s="11" t="n">
        <v>2017</v>
      </c>
      <c r="D193" s="11" t="s">
        <v>22</v>
      </c>
      <c r="E193" s="17" t="n">
        <v>2391480</v>
      </c>
      <c r="F193" s="11" t="s">
        <v>116</v>
      </c>
      <c r="G193" s="11" t="s">
        <v>475</v>
      </c>
      <c r="H193" s="11" t="s">
        <v>476</v>
      </c>
      <c r="I193" s="11" t="s">
        <v>667</v>
      </c>
      <c r="J193" s="11" t="s">
        <v>673</v>
      </c>
    </row>
    <row r="194" customFormat="false" ht="15" hidden="false" customHeight="false" outlineLevel="0" collapsed="false">
      <c r="A194" s="11" t="s">
        <v>470</v>
      </c>
      <c r="B194" s="11" t="s">
        <v>471</v>
      </c>
      <c r="C194" s="11" t="n">
        <v>2018</v>
      </c>
      <c r="D194" s="11" t="s">
        <v>22</v>
      </c>
      <c r="E194" s="17" t="n">
        <v>2432519</v>
      </c>
      <c r="F194" s="11" t="s">
        <v>116</v>
      </c>
      <c r="G194" s="11" t="s">
        <v>475</v>
      </c>
      <c r="H194" s="11" t="s">
        <v>476</v>
      </c>
      <c r="I194" s="11" t="s">
        <v>667</v>
      </c>
      <c r="J194" s="11" t="s">
        <v>673</v>
      </c>
    </row>
    <row r="195" customFormat="false" ht="15" hidden="false" customHeight="false" outlineLevel="0" collapsed="false">
      <c r="A195" s="11" t="s">
        <v>470</v>
      </c>
      <c r="B195" s="11" t="s">
        <v>471</v>
      </c>
      <c r="C195" s="11" t="n">
        <v>2019</v>
      </c>
      <c r="D195" s="11" t="s">
        <v>22</v>
      </c>
      <c r="E195" s="17" t="n">
        <v>2469381</v>
      </c>
      <c r="F195" s="11" t="s">
        <v>116</v>
      </c>
      <c r="G195" s="11" t="s">
        <v>475</v>
      </c>
      <c r="H195" s="11" t="s">
        <v>476</v>
      </c>
      <c r="I195" s="11" t="s">
        <v>667</v>
      </c>
      <c r="J195" s="11" t="s">
        <v>673</v>
      </c>
    </row>
    <row r="196" customFormat="false" ht="15" hidden="false" customHeight="false" outlineLevel="0" collapsed="false">
      <c r="A196" s="11" t="s">
        <v>470</v>
      </c>
      <c r="B196" s="11" t="s">
        <v>471</v>
      </c>
      <c r="C196" s="11" t="n">
        <v>2020</v>
      </c>
      <c r="D196" s="11" t="s">
        <v>22</v>
      </c>
      <c r="E196" s="17" t="n">
        <v>2509692</v>
      </c>
      <c r="F196" s="11" t="s">
        <v>116</v>
      </c>
      <c r="G196" s="11" t="s">
        <v>475</v>
      </c>
      <c r="H196" s="11" t="s">
        <v>476</v>
      </c>
      <c r="I196" s="11" t="s">
        <v>667</v>
      </c>
      <c r="J196" s="11" t="s">
        <v>673</v>
      </c>
    </row>
    <row r="197" customFormat="false" ht="15" hidden="false" customHeight="false" outlineLevel="0" collapsed="false">
      <c r="A197" s="11" t="s">
        <v>470</v>
      </c>
      <c r="B197" s="11" t="s">
        <v>471</v>
      </c>
      <c r="C197" s="11" t="n">
        <v>2021</v>
      </c>
      <c r="D197" s="11" t="s">
        <v>22</v>
      </c>
      <c r="E197" s="17" t="n">
        <v>2553225</v>
      </c>
      <c r="F197" s="11" t="s">
        <v>116</v>
      </c>
      <c r="G197" s="11" t="s">
        <v>475</v>
      </c>
      <c r="H197" s="11" t="s">
        <v>476</v>
      </c>
      <c r="I197" s="11" t="s">
        <v>667</v>
      </c>
      <c r="J197" s="11" t="s">
        <v>673</v>
      </c>
    </row>
    <row r="198" customFormat="false" ht="15" hidden="false" customHeight="false" outlineLevel="0" collapsed="false">
      <c r="A198" s="11" t="s">
        <v>470</v>
      </c>
      <c r="B198" s="11" t="s">
        <v>471</v>
      </c>
      <c r="C198" s="11" t="n">
        <v>2022</v>
      </c>
      <c r="D198" s="11" t="s">
        <v>22</v>
      </c>
      <c r="E198" s="17" t="n">
        <v>2598146</v>
      </c>
      <c r="F198" s="11" t="s">
        <v>116</v>
      </c>
      <c r="G198" s="11" t="s">
        <v>475</v>
      </c>
      <c r="H198" s="11" t="s">
        <v>476</v>
      </c>
      <c r="I198" s="11" t="s">
        <v>667</v>
      </c>
      <c r="J198" s="11" t="s">
        <v>673</v>
      </c>
    </row>
    <row r="199" customFormat="false" ht="15" hidden="false" customHeight="false" outlineLevel="0" collapsed="false">
      <c r="A199" s="11" t="s">
        <v>470</v>
      </c>
      <c r="B199" s="11" t="s">
        <v>471</v>
      </c>
      <c r="C199" s="11" t="n">
        <v>2010</v>
      </c>
      <c r="D199" s="11" t="s">
        <v>26</v>
      </c>
      <c r="E199" s="17" t="n">
        <v>1714004</v>
      </c>
      <c r="F199" s="11" t="s">
        <v>119</v>
      </c>
      <c r="G199" s="11" t="s">
        <v>474</v>
      </c>
      <c r="H199" s="11" t="s">
        <v>121</v>
      </c>
      <c r="I199" s="11" t="s">
        <v>667</v>
      </c>
      <c r="J199" s="11" t="s">
        <v>673</v>
      </c>
    </row>
    <row r="200" customFormat="false" ht="15" hidden="false" customHeight="false" outlineLevel="0" collapsed="false">
      <c r="A200" s="11" t="s">
        <v>470</v>
      </c>
      <c r="B200" s="11" t="s">
        <v>471</v>
      </c>
      <c r="C200" s="11" t="n">
        <v>2011</v>
      </c>
      <c r="D200" s="11" t="s">
        <v>26</v>
      </c>
      <c r="E200" s="17" t="n">
        <v>1765750</v>
      </c>
      <c r="F200" s="11" t="s">
        <v>119</v>
      </c>
      <c r="G200" s="11" t="s">
        <v>474</v>
      </c>
      <c r="H200" s="11" t="s">
        <v>121</v>
      </c>
      <c r="I200" s="11" t="s">
        <v>667</v>
      </c>
      <c r="J200" s="11" t="s">
        <v>673</v>
      </c>
    </row>
    <row r="201" customFormat="false" ht="15" hidden="false" customHeight="false" outlineLevel="0" collapsed="false">
      <c r="A201" s="11" t="s">
        <v>470</v>
      </c>
      <c r="B201" s="11" t="s">
        <v>471</v>
      </c>
      <c r="C201" s="11" t="n">
        <v>2012</v>
      </c>
      <c r="D201" s="11" t="s">
        <v>26</v>
      </c>
      <c r="E201" s="17" t="n">
        <v>1815063</v>
      </c>
      <c r="F201" s="11" t="s">
        <v>119</v>
      </c>
      <c r="G201" s="11" t="s">
        <v>474</v>
      </c>
      <c r="H201" s="11" t="s">
        <v>121</v>
      </c>
      <c r="I201" s="11" t="s">
        <v>667</v>
      </c>
      <c r="J201" s="11" t="s">
        <v>673</v>
      </c>
    </row>
    <row r="202" customFormat="false" ht="15" hidden="false" customHeight="false" outlineLevel="0" collapsed="false">
      <c r="A202" s="11" t="s">
        <v>470</v>
      </c>
      <c r="B202" s="11" t="s">
        <v>471</v>
      </c>
      <c r="C202" s="11" t="n">
        <v>2013</v>
      </c>
      <c r="D202" s="11" t="s">
        <v>26</v>
      </c>
      <c r="E202" s="17" t="n">
        <v>1869070</v>
      </c>
      <c r="F202" s="11" t="s">
        <v>119</v>
      </c>
      <c r="G202" s="11" t="s">
        <v>474</v>
      </c>
      <c r="H202" s="11" t="s">
        <v>121</v>
      </c>
      <c r="I202" s="11" t="s">
        <v>667</v>
      </c>
      <c r="J202" s="11" t="s">
        <v>673</v>
      </c>
    </row>
    <row r="203" customFormat="false" ht="15" hidden="false" customHeight="false" outlineLevel="0" collapsed="false">
      <c r="A203" s="11" t="s">
        <v>470</v>
      </c>
      <c r="B203" s="11" t="s">
        <v>471</v>
      </c>
      <c r="C203" s="11" t="n">
        <v>2014</v>
      </c>
      <c r="D203" s="11" t="s">
        <v>26</v>
      </c>
      <c r="E203" s="17" t="n">
        <v>1936412</v>
      </c>
      <c r="F203" s="11" t="s">
        <v>119</v>
      </c>
      <c r="G203" s="11" t="s">
        <v>474</v>
      </c>
      <c r="H203" s="11" t="s">
        <v>121</v>
      </c>
      <c r="I203" s="11" t="s">
        <v>667</v>
      </c>
      <c r="J203" s="11" t="s">
        <v>673</v>
      </c>
    </row>
    <row r="204" customFormat="false" ht="15" hidden="false" customHeight="false" outlineLevel="0" collapsed="false">
      <c r="A204" s="11" t="s">
        <v>470</v>
      </c>
      <c r="B204" s="11" t="s">
        <v>471</v>
      </c>
      <c r="C204" s="11" t="n">
        <v>2015</v>
      </c>
      <c r="D204" s="11" t="s">
        <v>26</v>
      </c>
      <c r="E204" s="17" t="n">
        <v>1997179</v>
      </c>
      <c r="F204" s="11" t="s">
        <v>119</v>
      </c>
      <c r="G204" s="11" t="s">
        <v>474</v>
      </c>
      <c r="H204" s="11" t="s">
        <v>121</v>
      </c>
      <c r="I204" s="11" t="s">
        <v>667</v>
      </c>
      <c r="J204" s="11" t="s">
        <v>673</v>
      </c>
    </row>
    <row r="205" customFormat="false" ht="15" hidden="false" customHeight="false" outlineLevel="0" collapsed="false">
      <c r="A205" s="11" t="s">
        <v>470</v>
      </c>
      <c r="B205" s="11" t="s">
        <v>471</v>
      </c>
      <c r="C205" s="11" t="n">
        <v>2016</v>
      </c>
      <c r="D205" s="11" t="s">
        <v>26</v>
      </c>
      <c r="E205" s="17" t="n">
        <v>2047200</v>
      </c>
      <c r="F205" s="11" t="s">
        <v>119</v>
      </c>
      <c r="G205" s="11" t="s">
        <v>474</v>
      </c>
      <c r="H205" s="11" t="s">
        <v>121</v>
      </c>
      <c r="I205" s="11" t="s">
        <v>667</v>
      </c>
      <c r="J205" s="11" t="s">
        <v>673</v>
      </c>
    </row>
    <row r="206" customFormat="false" ht="15" hidden="false" customHeight="false" outlineLevel="0" collapsed="false">
      <c r="A206" s="11" t="s">
        <v>470</v>
      </c>
      <c r="B206" s="11" t="s">
        <v>471</v>
      </c>
      <c r="C206" s="11" t="n">
        <v>2017</v>
      </c>
      <c r="D206" s="11" t="s">
        <v>26</v>
      </c>
      <c r="E206" s="17" t="n">
        <v>2099319</v>
      </c>
      <c r="F206" s="11" t="s">
        <v>119</v>
      </c>
      <c r="G206" s="11" t="s">
        <v>474</v>
      </c>
      <c r="H206" s="11" t="s">
        <v>121</v>
      </c>
      <c r="I206" s="11" t="s">
        <v>667</v>
      </c>
      <c r="J206" s="11" t="s">
        <v>673</v>
      </c>
    </row>
    <row r="207" customFormat="false" ht="15" hidden="false" customHeight="false" outlineLevel="0" collapsed="false">
      <c r="A207" s="11" t="s">
        <v>470</v>
      </c>
      <c r="B207" s="11" t="s">
        <v>471</v>
      </c>
      <c r="C207" s="11" t="n">
        <v>2018</v>
      </c>
      <c r="D207" s="11" t="s">
        <v>26</v>
      </c>
      <c r="E207" s="17" t="n">
        <v>2124540</v>
      </c>
      <c r="F207" s="11" t="s">
        <v>119</v>
      </c>
      <c r="G207" s="11" t="s">
        <v>474</v>
      </c>
      <c r="H207" s="11" t="s">
        <v>121</v>
      </c>
      <c r="I207" s="11" t="s">
        <v>667</v>
      </c>
      <c r="J207" s="11" t="s">
        <v>673</v>
      </c>
    </row>
    <row r="208" customFormat="false" ht="15" hidden="false" customHeight="false" outlineLevel="0" collapsed="false">
      <c r="A208" s="11" t="s">
        <v>470</v>
      </c>
      <c r="B208" s="11" t="s">
        <v>471</v>
      </c>
      <c r="C208" s="11" t="n">
        <v>2019</v>
      </c>
      <c r="D208" s="11" t="s">
        <v>26</v>
      </c>
      <c r="E208" s="17" t="n">
        <v>2146381</v>
      </c>
      <c r="F208" s="11" t="s">
        <v>119</v>
      </c>
      <c r="G208" s="11" t="s">
        <v>474</v>
      </c>
      <c r="H208" s="11" t="s">
        <v>121</v>
      </c>
      <c r="I208" s="11" t="s">
        <v>667</v>
      </c>
      <c r="J208" s="11" t="s">
        <v>673</v>
      </c>
    </row>
    <row r="209" customFormat="false" ht="15" hidden="false" customHeight="false" outlineLevel="0" collapsed="false">
      <c r="A209" s="11" t="s">
        <v>470</v>
      </c>
      <c r="B209" s="11" t="s">
        <v>471</v>
      </c>
      <c r="C209" s="11" t="n">
        <v>2020</v>
      </c>
      <c r="D209" s="11" t="s">
        <v>26</v>
      </c>
      <c r="E209" s="17" t="n">
        <v>2173429</v>
      </c>
      <c r="F209" s="11" t="s">
        <v>119</v>
      </c>
      <c r="G209" s="11" t="s">
        <v>474</v>
      </c>
      <c r="H209" s="11" t="s">
        <v>121</v>
      </c>
      <c r="I209" s="11" t="s">
        <v>667</v>
      </c>
      <c r="J209" s="11" t="s">
        <v>673</v>
      </c>
    </row>
    <row r="210" customFormat="false" ht="15" hidden="false" customHeight="false" outlineLevel="0" collapsed="false">
      <c r="A210" s="11" t="s">
        <v>470</v>
      </c>
      <c r="B210" s="11" t="s">
        <v>471</v>
      </c>
      <c r="C210" s="11" t="n">
        <v>2021</v>
      </c>
      <c r="D210" s="11" t="s">
        <v>26</v>
      </c>
      <c r="E210" s="17" t="n">
        <v>2208864</v>
      </c>
      <c r="F210" s="11" t="s">
        <v>119</v>
      </c>
      <c r="G210" s="11" t="s">
        <v>474</v>
      </c>
      <c r="H210" s="11" t="s">
        <v>121</v>
      </c>
      <c r="I210" s="11" t="s">
        <v>667</v>
      </c>
      <c r="J210" s="11" t="s">
        <v>673</v>
      </c>
    </row>
    <row r="211" customFormat="false" ht="15" hidden="false" customHeight="false" outlineLevel="0" collapsed="false">
      <c r="A211" s="11" t="s">
        <v>470</v>
      </c>
      <c r="B211" s="11" t="s">
        <v>471</v>
      </c>
      <c r="C211" s="11" t="n">
        <v>2022</v>
      </c>
      <c r="D211" s="11" t="s">
        <v>26</v>
      </c>
      <c r="E211" s="17" t="n">
        <v>2242343</v>
      </c>
      <c r="F211" s="11" t="s">
        <v>119</v>
      </c>
      <c r="G211" s="11" t="s">
        <v>474</v>
      </c>
      <c r="H211" s="11" t="s">
        <v>121</v>
      </c>
      <c r="I211" s="11" t="s">
        <v>667</v>
      </c>
      <c r="J211" s="11" t="s">
        <v>673</v>
      </c>
    </row>
    <row r="212" customFormat="false" ht="15" hidden="false" customHeight="false" outlineLevel="0" collapsed="false">
      <c r="A212" s="11" t="s">
        <v>470</v>
      </c>
      <c r="B212" s="11" t="s">
        <v>471</v>
      </c>
      <c r="C212" s="11" t="n">
        <v>2010</v>
      </c>
      <c r="D212" s="11" t="s">
        <v>38</v>
      </c>
      <c r="E212" s="17" t="n">
        <v>12630</v>
      </c>
      <c r="F212" s="11" t="s">
        <v>123</v>
      </c>
      <c r="G212" s="11" t="s">
        <v>124</v>
      </c>
      <c r="H212" s="11" t="s">
        <v>125</v>
      </c>
      <c r="I212" s="11" t="s">
        <v>667</v>
      </c>
      <c r="J212" s="11" t="s">
        <v>674</v>
      </c>
    </row>
    <row r="213" customFormat="false" ht="15" hidden="false" customHeight="false" outlineLevel="0" collapsed="false">
      <c r="A213" s="11" t="s">
        <v>470</v>
      </c>
      <c r="B213" s="11" t="s">
        <v>471</v>
      </c>
      <c r="C213" s="11" t="n">
        <v>2011</v>
      </c>
      <c r="D213" s="11" t="s">
        <v>38</v>
      </c>
      <c r="E213" s="17" t="n">
        <v>14170</v>
      </c>
      <c r="F213" s="11" t="s">
        <v>123</v>
      </c>
      <c r="G213" s="11" t="s">
        <v>124</v>
      </c>
      <c r="H213" s="11" t="s">
        <v>125</v>
      </c>
      <c r="I213" s="11" t="s">
        <v>667</v>
      </c>
      <c r="J213" s="11" t="s">
        <v>674</v>
      </c>
    </row>
    <row r="214" customFormat="false" ht="15" hidden="false" customHeight="false" outlineLevel="0" collapsed="false">
      <c r="A214" s="11" t="s">
        <v>470</v>
      </c>
      <c r="B214" s="11" t="s">
        <v>471</v>
      </c>
      <c r="C214" s="11" t="n">
        <v>2012</v>
      </c>
      <c r="D214" s="11" t="s">
        <v>38</v>
      </c>
      <c r="E214" s="17" t="n">
        <v>15045</v>
      </c>
      <c r="F214" s="11" t="s">
        <v>123</v>
      </c>
      <c r="G214" s="11" t="s">
        <v>124</v>
      </c>
      <c r="H214" s="11" t="s">
        <v>125</v>
      </c>
      <c r="I214" s="11" t="s">
        <v>667</v>
      </c>
      <c r="J214" s="11" t="s">
        <v>674</v>
      </c>
    </row>
    <row r="215" customFormat="false" ht="15" hidden="false" customHeight="false" outlineLevel="0" collapsed="false">
      <c r="A215" s="11" t="s">
        <v>470</v>
      </c>
      <c r="B215" s="11" t="s">
        <v>471</v>
      </c>
      <c r="C215" s="11" t="n">
        <v>2013</v>
      </c>
      <c r="D215" s="11" t="s">
        <v>38</v>
      </c>
      <c r="E215" s="17" t="n">
        <v>13800</v>
      </c>
      <c r="F215" s="11" t="s">
        <v>123</v>
      </c>
      <c r="G215" s="11" t="s">
        <v>124</v>
      </c>
      <c r="H215" s="11" t="s">
        <v>125</v>
      </c>
      <c r="I215" s="11" t="s">
        <v>667</v>
      </c>
      <c r="J215" s="11" t="s">
        <v>674</v>
      </c>
    </row>
    <row r="216" customFormat="false" ht="15" hidden="false" customHeight="false" outlineLevel="0" collapsed="false">
      <c r="A216" s="11" t="s">
        <v>470</v>
      </c>
      <c r="B216" s="11" t="s">
        <v>471</v>
      </c>
      <c r="C216" s="11" t="n">
        <v>2014</v>
      </c>
      <c r="D216" s="11" t="s">
        <v>38</v>
      </c>
      <c r="E216" s="17" t="n">
        <v>15555</v>
      </c>
      <c r="F216" s="11" t="s">
        <v>123</v>
      </c>
      <c r="G216" s="11" t="s">
        <v>124</v>
      </c>
      <c r="H216" s="11" t="s">
        <v>125</v>
      </c>
      <c r="I216" s="11" t="s">
        <v>667</v>
      </c>
      <c r="J216" s="11" t="s">
        <v>674</v>
      </c>
    </row>
    <row r="217" customFormat="false" ht="15" hidden="false" customHeight="false" outlineLevel="0" collapsed="false">
      <c r="A217" s="11" t="s">
        <v>470</v>
      </c>
      <c r="B217" s="11" t="s">
        <v>471</v>
      </c>
      <c r="C217" s="11" t="n">
        <v>2015</v>
      </c>
      <c r="D217" s="11" t="s">
        <v>38</v>
      </c>
      <c r="E217" s="17" t="n">
        <v>15765</v>
      </c>
      <c r="F217" s="11" t="s">
        <v>123</v>
      </c>
      <c r="G217" s="11" t="s">
        <v>124</v>
      </c>
      <c r="H217" s="11" t="s">
        <v>125</v>
      </c>
      <c r="I217" s="11" t="s">
        <v>667</v>
      </c>
      <c r="J217" s="11" t="s">
        <v>674</v>
      </c>
    </row>
    <row r="218" customFormat="false" ht="15" hidden="false" customHeight="false" outlineLevel="0" collapsed="false">
      <c r="A218" s="11" t="s">
        <v>470</v>
      </c>
      <c r="B218" s="11" t="s">
        <v>471</v>
      </c>
      <c r="C218" s="11" t="n">
        <v>2016</v>
      </c>
      <c r="D218" s="11" t="s">
        <v>38</v>
      </c>
      <c r="E218" s="17" t="n">
        <v>13940</v>
      </c>
      <c r="F218" s="11" t="s">
        <v>123</v>
      </c>
      <c r="G218" s="11" t="s">
        <v>124</v>
      </c>
      <c r="H218" s="11" t="s">
        <v>125</v>
      </c>
      <c r="I218" s="11" t="s">
        <v>667</v>
      </c>
      <c r="J218" s="11" t="s">
        <v>674</v>
      </c>
    </row>
    <row r="219" customFormat="false" ht="15" hidden="false" customHeight="false" outlineLevel="0" collapsed="false">
      <c r="A219" s="11" t="s">
        <v>470</v>
      </c>
      <c r="B219" s="11" t="s">
        <v>471</v>
      </c>
      <c r="C219" s="11" t="n">
        <v>2017</v>
      </c>
      <c r="D219" s="11" t="s">
        <v>38</v>
      </c>
      <c r="E219" s="17" t="n">
        <v>14420</v>
      </c>
      <c r="F219" s="11" t="s">
        <v>123</v>
      </c>
      <c r="G219" s="11" t="s">
        <v>124</v>
      </c>
      <c r="H219" s="11" t="s">
        <v>125</v>
      </c>
      <c r="I219" s="11" t="s">
        <v>667</v>
      </c>
      <c r="J219" s="11" t="s">
        <v>674</v>
      </c>
    </row>
    <row r="220" customFormat="false" ht="15" hidden="false" customHeight="false" outlineLevel="0" collapsed="false">
      <c r="A220" s="11" t="s">
        <v>470</v>
      </c>
      <c r="B220" s="11" t="s">
        <v>471</v>
      </c>
      <c r="C220" s="11" t="n">
        <v>2018</v>
      </c>
      <c r="D220" s="11" t="s">
        <v>38</v>
      </c>
      <c r="E220" s="17" t="n">
        <v>13885</v>
      </c>
      <c r="F220" s="11" t="s">
        <v>123</v>
      </c>
      <c r="G220" s="11" t="s">
        <v>124</v>
      </c>
      <c r="H220" s="11" t="s">
        <v>125</v>
      </c>
      <c r="I220" s="11" t="s">
        <v>667</v>
      </c>
      <c r="J220" s="11" t="s">
        <v>674</v>
      </c>
    </row>
    <row r="221" customFormat="false" ht="15" hidden="false" customHeight="false" outlineLevel="0" collapsed="false">
      <c r="A221" s="11" t="s">
        <v>470</v>
      </c>
      <c r="B221" s="11" t="s">
        <v>471</v>
      </c>
      <c r="C221" s="11" t="n">
        <v>2019</v>
      </c>
      <c r="D221" s="11" t="s">
        <v>38</v>
      </c>
      <c r="E221" s="17" t="n">
        <v>11020</v>
      </c>
      <c r="F221" s="11" t="s">
        <v>123</v>
      </c>
      <c r="G221" s="11" t="s">
        <v>124</v>
      </c>
      <c r="H221" s="11" t="s">
        <v>125</v>
      </c>
      <c r="I221" s="11" t="s">
        <v>667</v>
      </c>
      <c r="J221" s="11" t="s">
        <v>674</v>
      </c>
    </row>
    <row r="222" customFormat="false" ht="15" hidden="false" customHeight="false" outlineLevel="0" collapsed="false">
      <c r="A222" s="11" t="s">
        <v>470</v>
      </c>
      <c r="B222" s="11" t="s">
        <v>471</v>
      </c>
      <c r="C222" s="11" t="n">
        <v>2020</v>
      </c>
      <c r="D222" s="11" t="s">
        <v>38</v>
      </c>
      <c r="E222" s="17" t="n">
        <v>12175</v>
      </c>
      <c r="F222" s="11" t="s">
        <v>123</v>
      </c>
      <c r="G222" s="11" t="s">
        <v>124</v>
      </c>
      <c r="H222" s="11" t="s">
        <v>125</v>
      </c>
      <c r="I222" s="11" t="s">
        <v>667</v>
      </c>
      <c r="J222" s="11" t="s">
        <v>674</v>
      </c>
    </row>
    <row r="223" customFormat="false" ht="15" hidden="false" customHeight="false" outlineLevel="0" collapsed="false">
      <c r="A223" s="11" t="s">
        <v>470</v>
      </c>
      <c r="B223" s="11" t="s">
        <v>471</v>
      </c>
      <c r="C223" s="11" t="n">
        <v>2021</v>
      </c>
      <c r="D223" s="11" t="s">
        <v>38</v>
      </c>
      <c r="E223" s="17" t="n">
        <v>15130</v>
      </c>
      <c r="F223" s="11" t="s">
        <v>123</v>
      </c>
      <c r="G223" s="11" t="s">
        <v>124</v>
      </c>
      <c r="H223" s="11" t="s">
        <v>125</v>
      </c>
      <c r="I223" s="11" t="s">
        <v>667</v>
      </c>
      <c r="J223" s="11" t="s">
        <v>674</v>
      </c>
    </row>
    <row r="224" customFormat="false" ht="15" hidden="false" customHeight="false" outlineLevel="0" collapsed="false">
      <c r="A224" s="11" t="s">
        <v>470</v>
      </c>
      <c r="B224" s="11" t="s">
        <v>471</v>
      </c>
      <c r="C224" s="11" t="n">
        <v>2022</v>
      </c>
      <c r="D224" s="11" t="s">
        <v>38</v>
      </c>
      <c r="E224" s="17" t="n">
        <v>19280</v>
      </c>
      <c r="F224" s="11" t="s">
        <v>123</v>
      </c>
      <c r="G224" s="11" t="s">
        <v>124</v>
      </c>
      <c r="H224" s="11" t="s">
        <v>125</v>
      </c>
      <c r="I224" s="11" t="s">
        <v>667</v>
      </c>
      <c r="J224" s="11" t="s">
        <v>674</v>
      </c>
    </row>
    <row r="225" customFormat="false" ht="15" hidden="false" customHeight="false" outlineLevel="0" collapsed="false">
      <c r="A225" s="11" t="s">
        <v>470</v>
      </c>
      <c r="B225" s="11" t="s">
        <v>471</v>
      </c>
      <c r="C225" s="11" t="n">
        <v>2015</v>
      </c>
      <c r="D225" s="11" t="s">
        <v>30</v>
      </c>
      <c r="E225" s="17" t="n">
        <v>76000</v>
      </c>
      <c r="F225" s="11" t="s">
        <v>477</v>
      </c>
      <c r="G225" s="11" t="s">
        <v>478</v>
      </c>
      <c r="H225" s="11" t="s">
        <v>479</v>
      </c>
      <c r="I225" s="11" t="s">
        <v>667</v>
      </c>
      <c r="J225" s="11" t="s">
        <v>674</v>
      </c>
    </row>
    <row r="226" customFormat="false" ht="15" hidden="false" customHeight="false" outlineLevel="0" collapsed="false">
      <c r="A226" s="11" t="s">
        <v>470</v>
      </c>
      <c r="B226" s="11" t="s">
        <v>471</v>
      </c>
      <c r="C226" s="11" t="n">
        <v>2017</v>
      </c>
      <c r="D226" s="11" t="s">
        <v>30</v>
      </c>
      <c r="E226" s="17" t="n">
        <v>150000</v>
      </c>
      <c r="F226" s="11" t="s">
        <v>127</v>
      </c>
      <c r="G226" s="11" t="s">
        <v>128</v>
      </c>
      <c r="H226" s="11" t="s">
        <v>129</v>
      </c>
      <c r="I226" s="11" t="s">
        <v>667</v>
      </c>
      <c r="J226" s="11" t="s">
        <v>674</v>
      </c>
    </row>
    <row r="227" customFormat="false" ht="15" hidden="false" customHeight="false" outlineLevel="0" collapsed="false">
      <c r="A227" s="11" t="s">
        <v>470</v>
      </c>
      <c r="B227" s="11" t="s">
        <v>471</v>
      </c>
      <c r="C227" s="11" t="n">
        <v>2010</v>
      </c>
      <c r="D227" s="11" t="s">
        <v>18</v>
      </c>
      <c r="E227" s="17" t="n">
        <v>7824909</v>
      </c>
      <c r="F227" s="11" t="s">
        <v>98</v>
      </c>
      <c r="G227" s="11" t="s">
        <v>99</v>
      </c>
      <c r="H227" s="11" t="s">
        <v>671</v>
      </c>
      <c r="I227" s="11" t="s">
        <v>667</v>
      </c>
      <c r="J227" s="11" t="s">
        <v>672</v>
      </c>
    </row>
    <row r="228" customFormat="false" ht="15" hidden="false" customHeight="false" outlineLevel="0" collapsed="false">
      <c r="A228" s="11" t="s">
        <v>470</v>
      </c>
      <c r="B228" s="11" t="s">
        <v>471</v>
      </c>
      <c r="C228" s="11" t="n">
        <v>2011</v>
      </c>
      <c r="D228" s="11" t="s">
        <v>18</v>
      </c>
      <c r="E228" s="17" t="n">
        <v>7912398</v>
      </c>
      <c r="F228" s="11" t="s">
        <v>98</v>
      </c>
      <c r="G228" s="11" t="s">
        <v>99</v>
      </c>
      <c r="H228" s="11" t="s">
        <v>671</v>
      </c>
      <c r="I228" s="11" t="s">
        <v>667</v>
      </c>
      <c r="J228" s="11" t="s">
        <v>672</v>
      </c>
    </row>
    <row r="229" customFormat="false" ht="15" hidden="false" customHeight="false" outlineLevel="0" collapsed="false">
      <c r="A229" s="11" t="s">
        <v>470</v>
      </c>
      <c r="B229" s="11" t="s">
        <v>471</v>
      </c>
      <c r="C229" s="11" t="n">
        <v>2012</v>
      </c>
      <c r="D229" s="11" t="s">
        <v>18</v>
      </c>
      <c r="E229" s="17" t="n">
        <v>7996861</v>
      </c>
      <c r="F229" s="11" t="s">
        <v>98</v>
      </c>
      <c r="G229" s="11" t="s">
        <v>99</v>
      </c>
      <c r="H229" s="11" t="s">
        <v>671</v>
      </c>
      <c r="I229" s="11" t="s">
        <v>667</v>
      </c>
      <c r="J229" s="11" t="s">
        <v>672</v>
      </c>
    </row>
    <row r="230" customFormat="false" ht="15" hidden="false" customHeight="false" outlineLevel="0" collapsed="false">
      <c r="A230" s="11" t="s">
        <v>470</v>
      </c>
      <c r="B230" s="11" t="s">
        <v>471</v>
      </c>
      <c r="C230" s="11" t="n">
        <v>2013</v>
      </c>
      <c r="D230" s="11" t="s">
        <v>18</v>
      </c>
      <c r="E230" s="17" t="n">
        <v>8089346</v>
      </c>
      <c r="F230" s="11" t="s">
        <v>98</v>
      </c>
      <c r="G230" s="11" t="s">
        <v>99</v>
      </c>
      <c r="H230" s="11" t="s">
        <v>671</v>
      </c>
      <c r="I230" s="11" t="s">
        <v>667</v>
      </c>
      <c r="J230" s="11" t="s">
        <v>672</v>
      </c>
    </row>
    <row r="231" customFormat="false" ht="15" hidden="false" customHeight="false" outlineLevel="0" collapsed="false">
      <c r="A231" s="11" t="s">
        <v>470</v>
      </c>
      <c r="B231" s="11" t="s">
        <v>471</v>
      </c>
      <c r="C231" s="11" t="n">
        <v>2014</v>
      </c>
      <c r="D231" s="11" t="s">
        <v>18</v>
      </c>
      <c r="E231" s="17" t="n">
        <v>8188649</v>
      </c>
      <c r="F231" s="11" t="s">
        <v>98</v>
      </c>
      <c r="G231" s="11" t="s">
        <v>99</v>
      </c>
      <c r="H231" s="11" t="s">
        <v>671</v>
      </c>
      <c r="I231" s="11" t="s">
        <v>667</v>
      </c>
      <c r="J231" s="11" t="s">
        <v>672</v>
      </c>
    </row>
    <row r="232" customFormat="false" ht="15" hidden="false" customHeight="false" outlineLevel="0" collapsed="false">
      <c r="A232" s="11" t="s">
        <v>470</v>
      </c>
      <c r="B232" s="11" t="s">
        <v>471</v>
      </c>
      <c r="C232" s="11" t="n">
        <v>2015</v>
      </c>
      <c r="D232" s="11" t="s">
        <v>18</v>
      </c>
      <c r="E232" s="17" t="n">
        <v>8282396</v>
      </c>
      <c r="F232" s="11" t="s">
        <v>98</v>
      </c>
      <c r="G232" s="11" t="s">
        <v>99</v>
      </c>
      <c r="H232" s="11" t="s">
        <v>671</v>
      </c>
      <c r="I232" s="11" t="s">
        <v>667</v>
      </c>
      <c r="J232" s="11" t="s">
        <v>672</v>
      </c>
    </row>
    <row r="233" customFormat="false" ht="15" hidden="false" customHeight="false" outlineLevel="0" collapsed="false">
      <c r="A233" s="11" t="s">
        <v>470</v>
      </c>
      <c r="B233" s="11" t="s">
        <v>471</v>
      </c>
      <c r="C233" s="11" t="n">
        <v>2016</v>
      </c>
      <c r="D233" s="11" t="s">
        <v>18</v>
      </c>
      <c r="E233" s="17" t="n">
        <v>8373338</v>
      </c>
      <c r="F233" s="11" t="s">
        <v>98</v>
      </c>
      <c r="G233" s="11" t="s">
        <v>99</v>
      </c>
      <c r="H233" s="11" t="s">
        <v>671</v>
      </c>
      <c r="I233" s="11" t="s">
        <v>667</v>
      </c>
      <c r="J233" s="11" t="s">
        <v>672</v>
      </c>
    </row>
    <row r="234" customFormat="false" ht="15" hidden="false" customHeight="false" outlineLevel="0" collapsed="false">
      <c r="A234" s="11" t="s">
        <v>470</v>
      </c>
      <c r="B234" s="11" t="s">
        <v>471</v>
      </c>
      <c r="C234" s="11" t="n">
        <v>2017</v>
      </c>
      <c r="D234" s="11" t="s">
        <v>18</v>
      </c>
      <c r="E234" s="17" t="n">
        <v>8451840</v>
      </c>
      <c r="F234" s="11" t="s">
        <v>98</v>
      </c>
      <c r="G234" s="11" t="s">
        <v>99</v>
      </c>
      <c r="H234" s="11" t="s">
        <v>671</v>
      </c>
      <c r="I234" s="11" t="s">
        <v>667</v>
      </c>
      <c r="J234" s="11" t="s">
        <v>672</v>
      </c>
    </row>
    <row r="235" customFormat="false" ht="15" hidden="false" customHeight="false" outlineLevel="0" collapsed="false">
      <c r="A235" s="11" t="s">
        <v>470</v>
      </c>
      <c r="B235" s="11" t="s">
        <v>471</v>
      </c>
      <c r="C235" s="11" t="n">
        <v>2018</v>
      </c>
      <c r="D235" s="11" t="s">
        <v>18</v>
      </c>
      <c r="E235" s="17" t="n">
        <v>8514329</v>
      </c>
      <c r="F235" s="11" t="s">
        <v>98</v>
      </c>
      <c r="G235" s="11" t="s">
        <v>99</v>
      </c>
      <c r="H235" s="11" t="s">
        <v>671</v>
      </c>
      <c r="I235" s="11" t="s">
        <v>667</v>
      </c>
      <c r="J235" s="11" t="s">
        <v>672</v>
      </c>
    </row>
    <row r="236" customFormat="false" ht="15" hidden="false" customHeight="false" outlineLevel="0" collapsed="false">
      <c r="A236" s="11" t="s">
        <v>470</v>
      </c>
      <c r="B236" s="11" t="s">
        <v>471</v>
      </c>
      <c r="C236" s="11" t="n">
        <v>2019</v>
      </c>
      <c r="D236" s="11" t="s">
        <v>18</v>
      </c>
      <c r="E236" s="17" t="n">
        <v>8575280</v>
      </c>
      <c r="F236" s="11" t="s">
        <v>98</v>
      </c>
      <c r="G236" s="11" t="s">
        <v>99</v>
      </c>
      <c r="H236" s="11" t="s">
        <v>671</v>
      </c>
      <c r="I236" s="11" t="s">
        <v>667</v>
      </c>
      <c r="J236" s="11" t="s">
        <v>672</v>
      </c>
    </row>
    <row r="237" customFormat="false" ht="15" hidden="false" customHeight="false" outlineLevel="0" collapsed="false">
      <c r="A237" s="11" t="s">
        <v>470</v>
      </c>
      <c r="B237" s="11" t="s">
        <v>471</v>
      </c>
      <c r="C237" s="11" t="n">
        <v>2020</v>
      </c>
      <c r="D237" s="11" t="s">
        <v>18</v>
      </c>
      <c r="E237" s="17" t="n">
        <v>8638167</v>
      </c>
      <c r="F237" s="11" t="s">
        <v>98</v>
      </c>
      <c r="G237" s="11" t="s">
        <v>99</v>
      </c>
      <c r="H237" s="11" t="s">
        <v>671</v>
      </c>
      <c r="I237" s="11" t="s">
        <v>667</v>
      </c>
      <c r="J237" s="11" t="s">
        <v>672</v>
      </c>
    </row>
    <row r="238" customFormat="false" ht="15" hidden="false" customHeight="false" outlineLevel="0" collapsed="false">
      <c r="A238" s="11" t="s">
        <v>470</v>
      </c>
      <c r="B238" s="11" t="s">
        <v>471</v>
      </c>
      <c r="C238" s="11" t="n">
        <v>2021</v>
      </c>
      <c r="D238" s="11" t="s">
        <v>18</v>
      </c>
      <c r="E238" s="17" t="n">
        <v>8704546</v>
      </c>
      <c r="F238" s="11" t="s">
        <v>98</v>
      </c>
      <c r="G238" s="11" t="s">
        <v>99</v>
      </c>
      <c r="H238" s="11" t="s">
        <v>671</v>
      </c>
      <c r="I238" s="11" t="s">
        <v>667</v>
      </c>
      <c r="J238" s="11" t="s">
        <v>672</v>
      </c>
    </row>
    <row r="239" customFormat="false" ht="15" hidden="false" customHeight="false" outlineLevel="0" collapsed="false">
      <c r="A239" s="11" t="s">
        <v>470</v>
      </c>
      <c r="B239" s="11" t="s">
        <v>471</v>
      </c>
      <c r="C239" s="11" t="n">
        <v>2022</v>
      </c>
      <c r="D239" s="11" t="s">
        <v>18</v>
      </c>
      <c r="E239" s="17" t="n">
        <v>8777088</v>
      </c>
      <c r="F239" s="11" t="s">
        <v>98</v>
      </c>
      <c r="G239" s="11" t="s">
        <v>99</v>
      </c>
      <c r="H239" s="11" t="s">
        <v>671</v>
      </c>
      <c r="I239" s="11" t="s">
        <v>667</v>
      </c>
      <c r="J239" s="11" t="s">
        <v>672</v>
      </c>
    </row>
    <row r="240" customFormat="false" ht="15" hidden="false" customHeight="false" outlineLevel="0" collapsed="false">
      <c r="A240" s="11" t="s">
        <v>145</v>
      </c>
      <c r="B240" s="11" t="s">
        <v>146</v>
      </c>
      <c r="C240" s="11" t="n">
        <v>2010</v>
      </c>
      <c r="D240" s="11" t="s">
        <v>22</v>
      </c>
      <c r="E240" s="17" t="n">
        <v>352344</v>
      </c>
      <c r="F240" s="11" t="s">
        <v>101</v>
      </c>
      <c r="G240" s="11" t="s">
        <v>149</v>
      </c>
      <c r="H240" s="11" t="s">
        <v>150</v>
      </c>
      <c r="I240" s="11" t="s">
        <v>667</v>
      </c>
      <c r="J240" s="11" t="s">
        <v>668</v>
      </c>
    </row>
    <row r="241" customFormat="false" ht="15" hidden="false" customHeight="false" outlineLevel="0" collapsed="false">
      <c r="A241" s="11" t="s">
        <v>145</v>
      </c>
      <c r="B241" s="11" t="s">
        <v>146</v>
      </c>
      <c r="C241" s="11" t="n">
        <v>2011</v>
      </c>
      <c r="D241" s="11" t="s">
        <v>22</v>
      </c>
      <c r="E241" s="17" t="n">
        <v>369436</v>
      </c>
      <c r="F241" s="11" t="s">
        <v>101</v>
      </c>
      <c r="G241" s="11" t="s">
        <v>149</v>
      </c>
      <c r="H241" s="11" t="s">
        <v>150</v>
      </c>
      <c r="I241" s="11" t="s">
        <v>667</v>
      </c>
      <c r="J241" s="11" t="s">
        <v>668</v>
      </c>
    </row>
    <row r="242" customFormat="false" ht="15" hidden="false" customHeight="false" outlineLevel="0" collapsed="false">
      <c r="A242" s="11" t="s">
        <v>145</v>
      </c>
      <c r="B242" s="11" t="s">
        <v>146</v>
      </c>
      <c r="C242" s="11" t="n">
        <v>2012</v>
      </c>
      <c r="D242" s="11" t="s">
        <v>22</v>
      </c>
      <c r="E242" s="17" t="n">
        <v>388229</v>
      </c>
      <c r="F242" s="11" t="s">
        <v>101</v>
      </c>
      <c r="G242" s="11" t="s">
        <v>149</v>
      </c>
      <c r="H242" s="11" t="s">
        <v>150</v>
      </c>
      <c r="I242" s="11" t="s">
        <v>667</v>
      </c>
      <c r="J242" s="11" t="s">
        <v>668</v>
      </c>
    </row>
    <row r="243" customFormat="false" ht="15" hidden="false" customHeight="false" outlineLevel="0" collapsed="false">
      <c r="A243" s="11" t="s">
        <v>145</v>
      </c>
      <c r="B243" s="11" t="s">
        <v>146</v>
      </c>
      <c r="C243" s="11" t="n">
        <v>2013</v>
      </c>
      <c r="D243" s="11" t="s">
        <v>22</v>
      </c>
      <c r="E243" s="17" t="n">
        <v>415540</v>
      </c>
      <c r="F243" s="11" t="s">
        <v>101</v>
      </c>
      <c r="G243" s="11" t="s">
        <v>149</v>
      </c>
      <c r="H243" s="11" t="s">
        <v>150</v>
      </c>
      <c r="I243" s="11" t="s">
        <v>667</v>
      </c>
      <c r="J243" s="11" t="s">
        <v>668</v>
      </c>
    </row>
    <row r="244" customFormat="false" ht="15" hidden="false" customHeight="false" outlineLevel="0" collapsed="false">
      <c r="A244" s="11" t="s">
        <v>145</v>
      </c>
      <c r="B244" s="11" t="s">
        <v>146</v>
      </c>
      <c r="C244" s="11" t="n">
        <v>2014</v>
      </c>
      <c r="D244" s="11" t="s">
        <v>22</v>
      </c>
      <c r="E244" s="17" t="n">
        <v>441529</v>
      </c>
      <c r="F244" s="11" t="s">
        <v>101</v>
      </c>
      <c r="G244" s="11" t="s">
        <v>149</v>
      </c>
      <c r="H244" s="11" t="s">
        <v>150</v>
      </c>
      <c r="I244" s="11" t="s">
        <v>667</v>
      </c>
      <c r="J244" s="11" t="s">
        <v>668</v>
      </c>
    </row>
    <row r="245" customFormat="false" ht="15" hidden="false" customHeight="false" outlineLevel="0" collapsed="false">
      <c r="A245" s="11" t="s">
        <v>145</v>
      </c>
      <c r="B245" s="11" t="s">
        <v>146</v>
      </c>
      <c r="C245" s="11" t="n">
        <v>2015</v>
      </c>
      <c r="D245" s="11" t="s">
        <v>22</v>
      </c>
      <c r="E245" s="17" t="n">
        <v>465319</v>
      </c>
      <c r="F245" s="11" t="s">
        <v>101</v>
      </c>
      <c r="G245" s="11" t="s">
        <v>149</v>
      </c>
      <c r="H245" s="11" t="s">
        <v>150</v>
      </c>
      <c r="I245" s="11" t="s">
        <v>667</v>
      </c>
      <c r="J245" s="11" t="s">
        <v>668</v>
      </c>
    </row>
    <row r="246" customFormat="false" ht="15" hidden="false" customHeight="false" outlineLevel="0" collapsed="false">
      <c r="A246" s="11" t="s">
        <v>145</v>
      </c>
      <c r="B246" s="11" t="s">
        <v>146</v>
      </c>
      <c r="C246" s="11" t="n">
        <v>2017</v>
      </c>
      <c r="D246" s="11" t="s">
        <v>22</v>
      </c>
      <c r="E246" s="17" t="n">
        <v>746435</v>
      </c>
      <c r="F246" s="11" t="s">
        <v>101</v>
      </c>
      <c r="G246" s="11" t="s">
        <v>149</v>
      </c>
      <c r="H246" s="11" t="s">
        <v>150</v>
      </c>
      <c r="I246" s="11" t="s">
        <v>667</v>
      </c>
      <c r="J246" s="11" t="s">
        <v>668</v>
      </c>
    </row>
    <row r="247" customFormat="false" ht="15" hidden="false" customHeight="false" outlineLevel="0" collapsed="false">
      <c r="A247" s="11" t="s">
        <v>145</v>
      </c>
      <c r="B247" s="11" t="s">
        <v>146</v>
      </c>
      <c r="C247" s="11" t="n">
        <v>2019</v>
      </c>
      <c r="D247" s="11" t="s">
        <v>22</v>
      </c>
      <c r="E247" s="17" t="n">
        <v>1306859</v>
      </c>
      <c r="F247" s="11" t="s">
        <v>101</v>
      </c>
      <c r="G247" s="11" t="s">
        <v>149</v>
      </c>
      <c r="H247" s="11" t="s">
        <v>150</v>
      </c>
      <c r="I247" s="11" t="s">
        <v>667</v>
      </c>
      <c r="J247" s="11" t="s">
        <v>668</v>
      </c>
    </row>
    <row r="248" customFormat="false" ht="15" hidden="false" customHeight="false" outlineLevel="0" collapsed="false">
      <c r="A248" s="11" t="s">
        <v>145</v>
      </c>
      <c r="B248" s="11" t="s">
        <v>146</v>
      </c>
      <c r="C248" s="11" t="n">
        <v>2020</v>
      </c>
      <c r="D248" s="11" t="s">
        <v>22</v>
      </c>
      <c r="E248" s="17" t="n">
        <v>1486810</v>
      </c>
      <c r="F248" s="11" t="s">
        <v>101</v>
      </c>
      <c r="G248" s="11" t="s">
        <v>149</v>
      </c>
      <c r="H248" s="11" t="s">
        <v>150</v>
      </c>
      <c r="I248" s="11" t="s">
        <v>667</v>
      </c>
      <c r="J248" s="11" t="s">
        <v>668</v>
      </c>
    </row>
    <row r="249" customFormat="false" ht="15" hidden="false" customHeight="false" outlineLevel="0" collapsed="false">
      <c r="A249" s="11" t="s">
        <v>145</v>
      </c>
      <c r="B249" s="11" t="s">
        <v>146</v>
      </c>
      <c r="C249" s="11" t="n">
        <v>2021</v>
      </c>
      <c r="D249" s="11" t="s">
        <v>22</v>
      </c>
      <c r="E249" s="17" t="n">
        <v>1534813</v>
      </c>
      <c r="F249" s="11" t="s">
        <v>101</v>
      </c>
      <c r="G249" s="11" t="s">
        <v>149</v>
      </c>
      <c r="H249" s="11" t="s">
        <v>150</v>
      </c>
      <c r="I249" s="11" t="s">
        <v>667</v>
      </c>
      <c r="J249" s="11" t="s">
        <v>668</v>
      </c>
    </row>
    <row r="250" customFormat="false" ht="15" hidden="false" customHeight="false" outlineLevel="0" collapsed="false">
      <c r="A250" s="11" t="s">
        <v>145</v>
      </c>
      <c r="B250" s="11" t="s">
        <v>146</v>
      </c>
      <c r="C250" s="11" t="n">
        <v>2022</v>
      </c>
      <c r="D250" s="11" t="s">
        <v>22</v>
      </c>
      <c r="E250" s="17" t="n">
        <v>1630812</v>
      </c>
      <c r="F250" s="11" t="s">
        <v>101</v>
      </c>
      <c r="G250" s="11" t="s">
        <v>149</v>
      </c>
      <c r="H250" s="11" t="s">
        <v>150</v>
      </c>
      <c r="I250" s="11" t="s">
        <v>667</v>
      </c>
      <c r="J250" s="11" t="s">
        <v>668</v>
      </c>
    </row>
    <row r="251" customFormat="false" ht="15" hidden="false" customHeight="false" outlineLevel="0" collapsed="false">
      <c r="A251" s="11" t="s">
        <v>145</v>
      </c>
      <c r="B251" s="11" t="s">
        <v>146</v>
      </c>
      <c r="C251" s="11" t="n">
        <v>2017</v>
      </c>
      <c r="D251" s="11" t="s">
        <v>26</v>
      </c>
      <c r="E251" s="17" t="n">
        <v>746465</v>
      </c>
      <c r="F251" s="11" t="s">
        <v>152</v>
      </c>
      <c r="G251" s="11" t="s">
        <v>153</v>
      </c>
      <c r="H251" s="11" t="s">
        <v>154</v>
      </c>
      <c r="I251" s="11" t="s">
        <v>667</v>
      </c>
      <c r="J251" s="11" t="s">
        <v>668</v>
      </c>
    </row>
    <row r="252" customFormat="false" ht="15" hidden="false" customHeight="false" outlineLevel="0" collapsed="false">
      <c r="A252" s="11" t="s">
        <v>145</v>
      </c>
      <c r="B252" s="11" t="s">
        <v>146</v>
      </c>
      <c r="C252" s="11" t="n">
        <v>2018</v>
      </c>
      <c r="D252" s="11" t="s">
        <v>26</v>
      </c>
      <c r="E252" s="17" t="n">
        <v>1306859</v>
      </c>
      <c r="F252" s="11" t="s">
        <v>152</v>
      </c>
      <c r="G252" s="11" t="s">
        <v>153</v>
      </c>
      <c r="H252" s="11" t="s">
        <v>154</v>
      </c>
      <c r="I252" s="11" t="s">
        <v>667</v>
      </c>
      <c r="J252" s="11" t="s">
        <v>668</v>
      </c>
    </row>
    <row r="253" customFormat="false" ht="15" hidden="false" customHeight="false" outlineLevel="0" collapsed="false">
      <c r="A253" s="11" t="s">
        <v>145</v>
      </c>
      <c r="B253" s="11" t="s">
        <v>146</v>
      </c>
      <c r="C253" s="11" t="n">
        <v>2019</v>
      </c>
      <c r="D253" s="11" t="s">
        <v>26</v>
      </c>
      <c r="E253" s="17" t="n">
        <v>1486810</v>
      </c>
      <c r="F253" s="11" t="s">
        <v>152</v>
      </c>
      <c r="G253" s="11" t="s">
        <v>153</v>
      </c>
      <c r="H253" s="11" t="s">
        <v>154</v>
      </c>
      <c r="I253" s="11" t="s">
        <v>667</v>
      </c>
      <c r="J253" s="11" t="s">
        <v>668</v>
      </c>
    </row>
    <row r="254" customFormat="false" ht="15" hidden="false" customHeight="false" outlineLevel="0" collapsed="false">
      <c r="A254" s="11" t="s">
        <v>145</v>
      </c>
      <c r="B254" s="11" t="s">
        <v>146</v>
      </c>
      <c r="C254" s="11" t="n">
        <v>2020</v>
      </c>
      <c r="D254" s="11" t="s">
        <v>26</v>
      </c>
      <c r="E254" s="17" t="n">
        <v>1534813</v>
      </c>
      <c r="F254" s="11" t="s">
        <v>152</v>
      </c>
      <c r="G254" s="11" t="s">
        <v>153</v>
      </c>
      <c r="H254" s="11" t="s">
        <v>154</v>
      </c>
      <c r="I254" s="11" t="s">
        <v>667</v>
      </c>
      <c r="J254" s="11" t="s">
        <v>668</v>
      </c>
    </row>
    <row r="255" customFormat="false" ht="15" hidden="false" customHeight="false" outlineLevel="0" collapsed="false">
      <c r="A255" s="11" t="s">
        <v>145</v>
      </c>
      <c r="B255" s="11" t="s">
        <v>146</v>
      </c>
      <c r="C255" s="11" t="n">
        <v>2021</v>
      </c>
      <c r="D255" s="11" t="s">
        <v>26</v>
      </c>
      <c r="E255" s="17" t="n">
        <v>1630812</v>
      </c>
      <c r="F255" s="11" t="s">
        <v>152</v>
      </c>
      <c r="G255" s="11" t="s">
        <v>153</v>
      </c>
      <c r="H255" s="11" t="s">
        <v>154</v>
      </c>
      <c r="I255" s="11" t="s">
        <v>667</v>
      </c>
      <c r="J255" s="11" t="s">
        <v>668</v>
      </c>
    </row>
    <row r="256" customFormat="false" ht="15" hidden="false" customHeight="false" outlineLevel="0" collapsed="false">
      <c r="A256" s="11" t="s">
        <v>145</v>
      </c>
      <c r="B256" s="11" t="s">
        <v>146</v>
      </c>
      <c r="C256" s="11" t="n">
        <v>2022</v>
      </c>
      <c r="D256" s="11" t="s">
        <v>26</v>
      </c>
      <c r="E256" s="17" t="n">
        <v>1836137</v>
      </c>
      <c r="F256" s="11" t="s">
        <v>152</v>
      </c>
      <c r="G256" s="11" t="s">
        <v>153</v>
      </c>
      <c r="H256" s="11" t="s">
        <v>154</v>
      </c>
      <c r="I256" s="11" t="s">
        <v>667</v>
      </c>
      <c r="J256" s="11" t="s">
        <v>668</v>
      </c>
    </row>
    <row r="257" customFormat="false" ht="15" hidden="false" customHeight="false" outlineLevel="0" collapsed="false">
      <c r="A257" s="11" t="s">
        <v>145</v>
      </c>
      <c r="B257" s="11" t="s">
        <v>146</v>
      </c>
      <c r="C257" s="11" t="n">
        <v>2018</v>
      </c>
      <c r="D257" s="11" t="s">
        <v>30</v>
      </c>
      <c r="E257" s="17" t="n">
        <v>59682</v>
      </c>
      <c r="F257" s="11" t="s">
        <v>155</v>
      </c>
      <c r="G257" s="11" t="s">
        <v>156</v>
      </c>
      <c r="H257" s="11" t="s">
        <v>157</v>
      </c>
      <c r="I257" s="11" t="s">
        <v>667</v>
      </c>
      <c r="J257" s="11" t="s">
        <v>670</v>
      </c>
    </row>
    <row r="258" customFormat="false" ht="15" hidden="false" customHeight="false" outlineLevel="0" collapsed="false">
      <c r="A258" s="11" t="s">
        <v>145</v>
      </c>
      <c r="B258" s="11" t="s">
        <v>146</v>
      </c>
      <c r="C258" s="11" t="n">
        <v>2018</v>
      </c>
      <c r="D258" s="11" t="s">
        <v>30</v>
      </c>
      <c r="E258" s="17" t="n">
        <v>10375</v>
      </c>
      <c r="F258" s="11" t="s">
        <v>160</v>
      </c>
      <c r="G258" s="11" t="s">
        <v>156</v>
      </c>
      <c r="H258" s="11" t="s">
        <v>593</v>
      </c>
      <c r="I258" s="11" t="s">
        <v>675</v>
      </c>
      <c r="J258" s="11" t="s">
        <v>670</v>
      </c>
    </row>
    <row r="259" customFormat="false" ht="15" hidden="false" customHeight="false" outlineLevel="0" collapsed="false">
      <c r="A259" s="11" t="s">
        <v>145</v>
      </c>
      <c r="B259" s="11" t="s">
        <v>146</v>
      </c>
      <c r="C259" s="11" t="n">
        <v>2019</v>
      </c>
      <c r="D259" s="11" t="s">
        <v>30</v>
      </c>
      <c r="E259" s="17" t="n">
        <v>115059</v>
      </c>
      <c r="F259" s="11" t="s">
        <v>155</v>
      </c>
      <c r="G259" s="11" t="s">
        <v>156</v>
      </c>
      <c r="H259" s="11" t="s">
        <v>158</v>
      </c>
      <c r="I259" s="11" t="s">
        <v>667</v>
      </c>
      <c r="J259" s="11" t="s">
        <v>670</v>
      </c>
    </row>
    <row r="260" customFormat="false" ht="15" hidden="false" customHeight="false" outlineLevel="0" collapsed="false">
      <c r="A260" s="11" t="s">
        <v>145</v>
      </c>
      <c r="B260" s="11" t="s">
        <v>146</v>
      </c>
      <c r="C260" s="11" t="n">
        <v>2019</v>
      </c>
      <c r="D260" s="11" t="s">
        <v>30</v>
      </c>
      <c r="E260" s="17" t="n">
        <v>21833</v>
      </c>
      <c r="F260" s="11" t="s">
        <v>160</v>
      </c>
      <c r="G260" s="11" t="s">
        <v>156</v>
      </c>
      <c r="H260" s="11" t="s">
        <v>594</v>
      </c>
      <c r="I260" s="11" t="s">
        <v>675</v>
      </c>
      <c r="J260" s="11" t="s">
        <v>670</v>
      </c>
    </row>
    <row r="261" customFormat="false" ht="15" hidden="false" customHeight="false" outlineLevel="0" collapsed="false">
      <c r="A261" s="11" t="s">
        <v>145</v>
      </c>
      <c r="B261" s="11" t="s">
        <v>146</v>
      </c>
      <c r="C261" s="11" t="n">
        <v>2020</v>
      </c>
      <c r="D261" s="11" t="s">
        <v>30</v>
      </c>
      <c r="E261" s="17" t="n">
        <v>130017</v>
      </c>
      <c r="F261" s="11" t="s">
        <v>155</v>
      </c>
      <c r="G261" s="11" t="s">
        <v>156</v>
      </c>
      <c r="H261" s="11" t="s">
        <v>159</v>
      </c>
      <c r="I261" s="11" t="s">
        <v>667</v>
      </c>
      <c r="J261" s="11" t="s">
        <v>670</v>
      </c>
    </row>
    <row r="262" customFormat="false" ht="15" hidden="false" customHeight="false" outlineLevel="0" collapsed="false">
      <c r="A262" s="11" t="s">
        <v>145</v>
      </c>
      <c r="B262" s="11" t="s">
        <v>146</v>
      </c>
      <c r="C262" s="11" t="n">
        <v>2020</v>
      </c>
      <c r="D262" s="11" t="s">
        <v>30</v>
      </c>
      <c r="E262" s="17" t="n">
        <v>14818</v>
      </c>
      <c r="F262" s="11" t="s">
        <v>160</v>
      </c>
      <c r="G262" s="11" t="s">
        <v>156</v>
      </c>
      <c r="H262" s="11" t="s">
        <v>595</v>
      </c>
      <c r="I262" s="11" t="s">
        <v>675</v>
      </c>
      <c r="J262" s="11" t="s">
        <v>670</v>
      </c>
    </row>
    <row r="263" customFormat="false" ht="15" hidden="false" customHeight="false" outlineLevel="0" collapsed="false">
      <c r="A263" s="11" t="s">
        <v>145</v>
      </c>
      <c r="B263" s="11" t="s">
        <v>146</v>
      </c>
      <c r="C263" s="11" t="n">
        <v>2021</v>
      </c>
      <c r="D263" s="11" t="s">
        <v>30</v>
      </c>
      <c r="E263" s="17" t="n">
        <v>53356</v>
      </c>
      <c r="F263" s="11" t="s">
        <v>160</v>
      </c>
      <c r="G263" s="11" t="s">
        <v>156</v>
      </c>
      <c r="H263" s="11" t="s">
        <v>161</v>
      </c>
      <c r="I263" s="11" t="s">
        <v>667</v>
      </c>
      <c r="J263" s="11" t="s">
        <v>670</v>
      </c>
    </row>
    <row r="264" customFormat="false" ht="15" hidden="false" customHeight="false" outlineLevel="0" collapsed="false">
      <c r="A264" s="11" t="s">
        <v>145</v>
      </c>
      <c r="B264" s="11" t="s">
        <v>146</v>
      </c>
      <c r="C264" s="11" t="n">
        <v>2022</v>
      </c>
      <c r="D264" s="11" t="s">
        <v>30</v>
      </c>
      <c r="E264" s="17" t="n">
        <v>109846</v>
      </c>
      <c r="F264" s="11" t="s">
        <v>160</v>
      </c>
      <c r="G264" s="11" t="s">
        <v>156</v>
      </c>
      <c r="H264" s="11" t="s">
        <v>162</v>
      </c>
      <c r="I264" s="11" t="s">
        <v>667</v>
      </c>
      <c r="J264" s="11" t="s">
        <v>670</v>
      </c>
    </row>
    <row r="265" customFormat="false" ht="15" hidden="false" customHeight="false" outlineLevel="0" collapsed="false">
      <c r="A265" s="11" t="s">
        <v>145</v>
      </c>
      <c r="B265" s="11" t="s">
        <v>146</v>
      </c>
      <c r="C265" s="11" t="n">
        <v>2022</v>
      </c>
      <c r="D265" s="11" t="s">
        <v>30</v>
      </c>
      <c r="E265" s="17" t="n">
        <v>107223</v>
      </c>
      <c r="F265" s="11" t="s">
        <v>596</v>
      </c>
      <c r="G265" s="11" t="s">
        <v>597</v>
      </c>
      <c r="H265" s="11" t="s">
        <v>598</v>
      </c>
      <c r="I265" s="11" t="s">
        <v>675</v>
      </c>
      <c r="J265" s="11" t="s">
        <v>670</v>
      </c>
    </row>
    <row r="266" customFormat="false" ht="15" hidden="false" customHeight="false" outlineLevel="0" collapsed="false">
      <c r="A266" s="11" t="s">
        <v>145</v>
      </c>
      <c r="B266" s="11" t="s">
        <v>146</v>
      </c>
      <c r="C266" s="11" t="n">
        <v>2010</v>
      </c>
      <c r="D266" s="11" t="s">
        <v>18</v>
      </c>
      <c r="E266" s="17" t="n">
        <v>17181464</v>
      </c>
      <c r="F266" s="11" t="s">
        <v>98</v>
      </c>
      <c r="G266" s="11" t="s">
        <v>99</v>
      </c>
      <c r="H266" s="11" t="s">
        <v>671</v>
      </c>
      <c r="I266" s="11" t="s">
        <v>667</v>
      </c>
      <c r="J266" s="11" t="s">
        <v>672</v>
      </c>
    </row>
    <row r="267" customFormat="false" ht="15" hidden="false" customHeight="false" outlineLevel="0" collapsed="false">
      <c r="A267" s="11" t="s">
        <v>145</v>
      </c>
      <c r="B267" s="11" t="s">
        <v>146</v>
      </c>
      <c r="C267" s="11" t="n">
        <v>2011</v>
      </c>
      <c r="D267" s="11" t="s">
        <v>18</v>
      </c>
      <c r="E267" s="17" t="n">
        <v>17351816</v>
      </c>
      <c r="F267" s="11" t="s">
        <v>98</v>
      </c>
      <c r="G267" s="11" t="s">
        <v>99</v>
      </c>
      <c r="H267" s="11" t="s">
        <v>671</v>
      </c>
      <c r="I267" s="11" t="s">
        <v>667</v>
      </c>
      <c r="J267" s="11" t="s">
        <v>672</v>
      </c>
    </row>
    <row r="268" customFormat="false" ht="15" hidden="false" customHeight="false" outlineLevel="0" collapsed="false">
      <c r="A268" s="11" t="s">
        <v>145</v>
      </c>
      <c r="B268" s="11" t="s">
        <v>146</v>
      </c>
      <c r="C268" s="11" t="n">
        <v>2012</v>
      </c>
      <c r="D268" s="11" t="s">
        <v>18</v>
      </c>
      <c r="E268" s="17" t="n">
        <v>17519119</v>
      </c>
      <c r="F268" s="11" t="s">
        <v>98</v>
      </c>
      <c r="G268" s="11" t="s">
        <v>99</v>
      </c>
      <c r="H268" s="11" t="s">
        <v>671</v>
      </c>
      <c r="I268" s="11" t="s">
        <v>667</v>
      </c>
      <c r="J268" s="11" t="s">
        <v>672</v>
      </c>
    </row>
    <row r="269" customFormat="false" ht="15" hidden="false" customHeight="false" outlineLevel="0" collapsed="false">
      <c r="A269" s="11" t="s">
        <v>145</v>
      </c>
      <c r="B269" s="11" t="s">
        <v>146</v>
      </c>
      <c r="C269" s="11" t="n">
        <v>2013</v>
      </c>
      <c r="D269" s="11" t="s">
        <v>18</v>
      </c>
      <c r="E269" s="17" t="n">
        <v>17687006</v>
      </c>
      <c r="F269" s="11" t="s">
        <v>98</v>
      </c>
      <c r="G269" s="11" t="s">
        <v>99</v>
      </c>
      <c r="H269" s="11" t="s">
        <v>671</v>
      </c>
      <c r="I269" s="11" t="s">
        <v>667</v>
      </c>
      <c r="J269" s="11" t="s">
        <v>672</v>
      </c>
    </row>
    <row r="270" customFormat="false" ht="15" hidden="false" customHeight="false" outlineLevel="0" collapsed="false">
      <c r="A270" s="11" t="s">
        <v>145</v>
      </c>
      <c r="B270" s="11" t="s">
        <v>146</v>
      </c>
      <c r="C270" s="11" t="n">
        <v>2014</v>
      </c>
      <c r="D270" s="11" t="s">
        <v>18</v>
      </c>
      <c r="E270" s="17" t="n">
        <v>17864195</v>
      </c>
      <c r="F270" s="11" t="s">
        <v>98</v>
      </c>
      <c r="G270" s="11" t="s">
        <v>99</v>
      </c>
      <c r="H270" s="11" t="s">
        <v>671</v>
      </c>
      <c r="I270" s="11" t="s">
        <v>667</v>
      </c>
      <c r="J270" s="11" t="s">
        <v>672</v>
      </c>
    </row>
    <row r="271" customFormat="false" ht="15" hidden="false" customHeight="false" outlineLevel="0" collapsed="false">
      <c r="A271" s="11" t="s">
        <v>145</v>
      </c>
      <c r="B271" s="11" t="s">
        <v>146</v>
      </c>
      <c r="C271" s="11" t="n">
        <v>2015</v>
      </c>
      <c r="D271" s="11" t="s">
        <v>18</v>
      </c>
      <c r="E271" s="17" t="n">
        <v>18047625</v>
      </c>
      <c r="F271" s="11" t="s">
        <v>98</v>
      </c>
      <c r="G271" s="11" t="s">
        <v>99</v>
      </c>
      <c r="H271" s="11" t="s">
        <v>671</v>
      </c>
      <c r="I271" s="11" t="s">
        <v>667</v>
      </c>
      <c r="J271" s="11" t="s">
        <v>672</v>
      </c>
    </row>
    <row r="272" customFormat="false" ht="15" hidden="false" customHeight="false" outlineLevel="0" collapsed="false">
      <c r="A272" s="11" t="s">
        <v>145</v>
      </c>
      <c r="B272" s="11" t="s">
        <v>146</v>
      </c>
      <c r="C272" s="11" t="n">
        <v>2016</v>
      </c>
      <c r="D272" s="11" t="s">
        <v>18</v>
      </c>
      <c r="E272" s="17" t="n">
        <v>18267221</v>
      </c>
      <c r="F272" s="11" t="s">
        <v>98</v>
      </c>
      <c r="G272" s="11" t="s">
        <v>99</v>
      </c>
      <c r="H272" s="11" t="s">
        <v>671</v>
      </c>
      <c r="I272" s="11" t="s">
        <v>667</v>
      </c>
      <c r="J272" s="11" t="s">
        <v>672</v>
      </c>
    </row>
    <row r="273" customFormat="false" ht="15" hidden="false" customHeight="false" outlineLevel="0" collapsed="false">
      <c r="A273" s="11" t="s">
        <v>145</v>
      </c>
      <c r="B273" s="11" t="s">
        <v>146</v>
      </c>
      <c r="C273" s="11" t="n">
        <v>2017</v>
      </c>
      <c r="D273" s="11" t="s">
        <v>18</v>
      </c>
      <c r="E273" s="17" t="n">
        <v>18558868</v>
      </c>
      <c r="F273" s="11" t="s">
        <v>98</v>
      </c>
      <c r="G273" s="11" t="s">
        <v>99</v>
      </c>
      <c r="H273" s="11" t="s">
        <v>671</v>
      </c>
      <c r="I273" s="11" t="s">
        <v>667</v>
      </c>
      <c r="J273" s="11" t="s">
        <v>672</v>
      </c>
    </row>
    <row r="274" customFormat="false" ht="15" hidden="false" customHeight="false" outlineLevel="0" collapsed="false">
      <c r="A274" s="11" t="s">
        <v>145</v>
      </c>
      <c r="B274" s="11" t="s">
        <v>146</v>
      </c>
      <c r="C274" s="11" t="n">
        <v>2018</v>
      </c>
      <c r="D274" s="11" t="s">
        <v>18</v>
      </c>
      <c r="E274" s="17" t="n">
        <v>18893191</v>
      </c>
      <c r="F274" s="11" t="s">
        <v>98</v>
      </c>
      <c r="G274" s="11" t="s">
        <v>99</v>
      </c>
      <c r="H274" s="11" t="s">
        <v>671</v>
      </c>
      <c r="I274" s="11" t="s">
        <v>667</v>
      </c>
      <c r="J274" s="11" t="s">
        <v>672</v>
      </c>
    </row>
    <row r="275" customFormat="false" ht="15" hidden="false" customHeight="false" outlineLevel="0" collapsed="false">
      <c r="A275" s="11" t="s">
        <v>145</v>
      </c>
      <c r="B275" s="11" t="s">
        <v>146</v>
      </c>
      <c r="C275" s="11" t="n">
        <v>2019</v>
      </c>
      <c r="D275" s="11" t="s">
        <v>18</v>
      </c>
      <c r="E275" s="17" t="n">
        <v>19197744</v>
      </c>
      <c r="F275" s="11" t="s">
        <v>98</v>
      </c>
      <c r="G275" s="11" t="s">
        <v>99</v>
      </c>
      <c r="H275" s="11" t="s">
        <v>671</v>
      </c>
      <c r="I275" s="11" t="s">
        <v>667</v>
      </c>
      <c r="J275" s="11" t="s">
        <v>672</v>
      </c>
    </row>
    <row r="276" customFormat="false" ht="15" hidden="false" customHeight="false" outlineLevel="0" collapsed="false">
      <c r="A276" s="11" t="s">
        <v>145</v>
      </c>
      <c r="B276" s="11" t="s">
        <v>146</v>
      </c>
      <c r="C276" s="11" t="n">
        <v>2020</v>
      </c>
      <c r="D276" s="11" t="s">
        <v>18</v>
      </c>
      <c r="E276" s="17" t="n">
        <v>19370624</v>
      </c>
      <c r="F276" s="11" t="s">
        <v>98</v>
      </c>
      <c r="G276" s="11" t="s">
        <v>99</v>
      </c>
      <c r="H276" s="11" t="s">
        <v>671</v>
      </c>
      <c r="I276" s="11" t="s">
        <v>667</v>
      </c>
      <c r="J276" s="11" t="s">
        <v>672</v>
      </c>
    </row>
    <row r="277" customFormat="false" ht="15" hidden="false" customHeight="false" outlineLevel="0" collapsed="false">
      <c r="A277" s="11" t="s">
        <v>145</v>
      </c>
      <c r="B277" s="11" t="s">
        <v>146</v>
      </c>
      <c r="C277" s="11" t="n">
        <v>2021</v>
      </c>
      <c r="D277" s="11" t="s">
        <v>18</v>
      </c>
      <c r="E277" s="17" t="n">
        <v>19456334</v>
      </c>
      <c r="F277" s="11" t="s">
        <v>98</v>
      </c>
      <c r="G277" s="11" t="s">
        <v>99</v>
      </c>
      <c r="H277" s="11" t="s">
        <v>671</v>
      </c>
      <c r="I277" s="11" t="s">
        <v>667</v>
      </c>
      <c r="J277" s="11" t="s">
        <v>672</v>
      </c>
    </row>
    <row r="278" customFormat="false" ht="15" hidden="false" customHeight="false" outlineLevel="0" collapsed="false">
      <c r="A278" s="11" t="s">
        <v>145</v>
      </c>
      <c r="B278" s="11" t="s">
        <v>146</v>
      </c>
      <c r="C278" s="11" t="n">
        <v>2022</v>
      </c>
      <c r="D278" s="11" t="s">
        <v>18</v>
      </c>
      <c r="E278" s="17" t="n">
        <v>19553036</v>
      </c>
      <c r="F278" s="11" t="s">
        <v>98</v>
      </c>
      <c r="G278" s="11" t="s">
        <v>99</v>
      </c>
      <c r="H278" s="11" t="s">
        <v>671</v>
      </c>
      <c r="I278" s="11" t="s">
        <v>667</v>
      </c>
      <c r="J278" s="11" t="s">
        <v>672</v>
      </c>
    </row>
    <row r="279" customFormat="false" ht="15" hidden="false" customHeight="false" outlineLevel="0" collapsed="false">
      <c r="A279" s="11" t="s">
        <v>163</v>
      </c>
      <c r="B279" s="11" t="s">
        <v>164</v>
      </c>
      <c r="C279" s="11" t="n">
        <v>2010</v>
      </c>
      <c r="D279" s="11" t="s">
        <v>22</v>
      </c>
      <c r="E279" s="17" t="n">
        <v>1010008</v>
      </c>
      <c r="F279" s="11" t="s">
        <v>167</v>
      </c>
      <c r="G279" s="11" t="s">
        <v>168</v>
      </c>
      <c r="H279" s="11" t="s">
        <v>169</v>
      </c>
      <c r="I279" s="11" t="s">
        <v>667</v>
      </c>
      <c r="J279" s="11" t="s">
        <v>676</v>
      </c>
    </row>
    <row r="280" customFormat="false" ht="15" hidden="false" customHeight="false" outlineLevel="0" collapsed="false">
      <c r="A280" s="11" t="s">
        <v>163</v>
      </c>
      <c r="B280" s="11" t="s">
        <v>164</v>
      </c>
      <c r="C280" s="11" t="n">
        <v>2015</v>
      </c>
      <c r="D280" s="11" t="s">
        <v>22</v>
      </c>
      <c r="E280" s="17" t="n">
        <v>1196007</v>
      </c>
      <c r="F280" s="11" t="s">
        <v>167</v>
      </c>
      <c r="G280" s="11" t="s">
        <v>168</v>
      </c>
      <c r="H280" s="11" t="s">
        <v>174</v>
      </c>
      <c r="I280" s="11" t="s">
        <v>667</v>
      </c>
      <c r="J280" s="11" t="s">
        <v>676</v>
      </c>
    </row>
    <row r="281" customFormat="false" ht="15" hidden="false" customHeight="false" outlineLevel="0" collapsed="false">
      <c r="A281" s="11" t="s">
        <v>163</v>
      </c>
      <c r="B281" s="11" t="s">
        <v>164</v>
      </c>
      <c r="C281" s="11" t="n">
        <v>2020</v>
      </c>
      <c r="D281" s="11" t="s">
        <v>22</v>
      </c>
      <c r="E281" s="17" t="n">
        <v>1415116</v>
      </c>
      <c r="F281" s="11" t="s">
        <v>167</v>
      </c>
      <c r="G281" s="11" t="s">
        <v>168</v>
      </c>
      <c r="H281" s="11" t="s">
        <v>174</v>
      </c>
      <c r="I281" s="11" t="s">
        <v>667</v>
      </c>
      <c r="J281" s="11" t="s">
        <v>676</v>
      </c>
    </row>
    <row r="282" customFormat="false" ht="15" hidden="false" customHeight="false" outlineLevel="0" collapsed="false">
      <c r="A282" s="11" t="s">
        <v>163</v>
      </c>
      <c r="B282" s="11" t="s">
        <v>164</v>
      </c>
      <c r="C282" s="11" t="n">
        <v>2010</v>
      </c>
      <c r="D282" s="11" t="s">
        <v>26</v>
      </c>
      <c r="E282" s="17" t="n">
        <v>593832</v>
      </c>
      <c r="F282" s="11" t="s">
        <v>171</v>
      </c>
      <c r="G282" s="11" t="s">
        <v>172</v>
      </c>
      <c r="H282" s="11" t="s">
        <v>173</v>
      </c>
      <c r="I282" s="11" t="s">
        <v>667</v>
      </c>
      <c r="J282" s="11" t="s">
        <v>676</v>
      </c>
    </row>
    <row r="283" customFormat="false" ht="15" hidden="false" customHeight="false" outlineLevel="0" collapsed="false">
      <c r="A283" s="11" t="s">
        <v>163</v>
      </c>
      <c r="B283" s="11" t="s">
        <v>164</v>
      </c>
      <c r="C283" s="11" t="n">
        <v>2020</v>
      </c>
      <c r="D283" s="11" t="s">
        <v>26</v>
      </c>
      <c r="E283" s="17" t="n">
        <v>845697</v>
      </c>
      <c r="F283" s="11" t="s">
        <v>175</v>
      </c>
      <c r="G283" s="11" t="s">
        <v>176</v>
      </c>
      <c r="H283" s="11" t="s">
        <v>177</v>
      </c>
      <c r="I283" s="11" t="s">
        <v>667</v>
      </c>
      <c r="J283" s="11" t="s">
        <v>676</v>
      </c>
    </row>
    <row r="284" customFormat="false" ht="15" hidden="false" customHeight="false" outlineLevel="0" collapsed="false">
      <c r="A284" s="11" t="s">
        <v>163</v>
      </c>
      <c r="B284" s="11" t="s">
        <v>164</v>
      </c>
      <c r="C284" s="11" t="n">
        <v>2010</v>
      </c>
      <c r="D284" s="11" t="s">
        <v>18</v>
      </c>
      <c r="E284" s="17" t="n">
        <v>1337705000</v>
      </c>
      <c r="F284" s="11" t="s">
        <v>98</v>
      </c>
      <c r="G284" s="11" t="s">
        <v>99</v>
      </c>
      <c r="H284" s="11" t="s">
        <v>671</v>
      </c>
      <c r="I284" s="11" t="s">
        <v>667</v>
      </c>
      <c r="J284" s="11" t="s">
        <v>672</v>
      </c>
    </row>
    <row r="285" customFormat="false" ht="15" hidden="false" customHeight="false" outlineLevel="0" collapsed="false">
      <c r="A285" s="11" t="s">
        <v>163</v>
      </c>
      <c r="B285" s="11" t="s">
        <v>164</v>
      </c>
      <c r="C285" s="11" t="n">
        <v>2011</v>
      </c>
      <c r="D285" s="11" t="s">
        <v>18</v>
      </c>
      <c r="E285" s="17" t="n">
        <v>1345035000</v>
      </c>
      <c r="F285" s="11" t="s">
        <v>98</v>
      </c>
      <c r="G285" s="11" t="s">
        <v>99</v>
      </c>
      <c r="H285" s="11" t="s">
        <v>671</v>
      </c>
      <c r="I285" s="11" t="s">
        <v>667</v>
      </c>
      <c r="J285" s="11" t="s">
        <v>672</v>
      </c>
    </row>
    <row r="286" customFormat="false" ht="15" hidden="false" customHeight="false" outlineLevel="0" collapsed="false">
      <c r="A286" s="11" t="s">
        <v>163</v>
      </c>
      <c r="B286" s="11" t="s">
        <v>164</v>
      </c>
      <c r="C286" s="11" t="n">
        <v>2012</v>
      </c>
      <c r="D286" s="11" t="s">
        <v>18</v>
      </c>
      <c r="E286" s="17" t="n">
        <v>1354190000</v>
      </c>
      <c r="F286" s="11" t="s">
        <v>98</v>
      </c>
      <c r="G286" s="11" t="s">
        <v>99</v>
      </c>
      <c r="H286" s="11" t="s">
        <v>671</v>
      </c>
      <c r="I286" s="11" t="s">
        <v>667</v>
      </c>
      <c r="J286" s="11" t="s">
        <v>672</v>
      </c>
    </row>
    <row r="287" customFormat="false" ht="15" hidden="false" customHeight="false" outlineLevel="0" collapsed="false">
      <c r="A287" s="11" t="s">
        <v>163</v>
      </c>
      <c r="B287" s="11" t="s">
        <v>164</v>
      </c>
      <c r="C287" s="11" t="n">
        <v>2013</v>
      </c>
      <c r="D287" s="11" t="s">
        <v>18</v>
      </c>
      <c r="E287" s="17" t="n">
        <v>1363240000</v>
      </c>
      <c r="F287" s="11" t="s">
        <v>98</v>
      </c>
      <c r="G287" s="11" t="s">
        <v>99</v>
      </c>
      <c r="H287" s="11" t="s">
        <v>671</v>
      </c>
      <c r="I287" s="11" t="s">
        <v>667</v>
      </c>
      <c r="J287" s="11" t="s">
        <v>672</v>
      </c>
    </row>
    <row r="288" customFormat="false" ht="15" hidden="false" customHeight="false" outlineLevel="0" collapsed="false">
      <c r="A288" s="11" t="s">
        <v>163</v>
      </c>
      <c r="B288" s="11" t="s">
        <v>164</v>
      </c>
      <c r="C288" s="11" t="n">
        <v>2014</v>
      </c>
      <c r="D288" s="11" t="s">
        <v>18</v>
      </c>
      <c r="E288" s="17" t="n">
        <v>1371860000</v>
      </c>
      <c r="F288" s="11" t="s">
        <v>98</v>
      </c>
      <c r="G288" s="11" t="s">
        <v>99</v>
      </c>
      <c r="H288" s="11" t="s">
        <v>671</v>
      </c>
      <c r="I288" s="11" t="s">
        <v>667</v>
      </c>
      <c r="J288" s="11" t="s">
        <v>672</v>
      </c>
    </row>
    <row r="289" customFormat="false" ht="15" hidden="false" customHeight="false" outlineLevel="0" collapsed="false">
      <c r="A289" s="11" t="s">
        <v>163</v>
      </c>
      <c r="B289" s="11" t="s">
        <v>164</v>
      </c>
      <c r="C289" s="11" t="n">
        <v>2015</v>
      </c>
      <c r="D289" s="11" t="s">
        <v>18</v>
      </c>
      <c r="E289" s="17" t="n">
        <v>1379860000</v>
      </c>
      <c r="F289" s="11" t="s">
        <v>98</v>
      </c>
      <c r="G289" s="11" t="s">
        <v>99</v>
      </c>
      <c r="H289" s="11" t="s">
        <v>671</v>
      </c>
      <c r="I289" s="11" t="s">
        <v>667</v>
      </c>
      <c r="J289" s="11" t="s">
        <v>672</v>
      </c>
    </row>
    <row r="290" customFormat="false" ht="15" hidden="false" customHeight="false" outlineLevel="0" collapsed="false">
      <c r="A290" s="11" t="s">
        <v>163</v>
      </c>
      <c r="B290" s="11" t="s">
        <v>164</v>
      </c>
      <c r="C290" s="11" t="n">
        <v>2016</v>
      </c>
      <c r="D290" s="11" t="s">
        <v>18</v>
      </c>
      <c r="E290" s="17" t="n">
        <v>1387790000</v>
      </c>
      <c r="F290" s="11" t="s">
        <v>98</v>
      </c>
      <c r="G290" s="11" t="s">
        <v>99</v>
      </c>
      <c r="H290" s="11" t="s">
        <v>671</v>
      </c>
      <c r="I290" s="11" t="s">
        <v>667</v>
      </c>
      <c r="J290" s="11" t="s">
        <v>672</v>
      </c>
    </row>
    <row r="291" customFormat="false" ht="15" hidden="false" customHeight="false" outlineLevel="0" collapsed="false">
      <c r="A291" s="11" t="s">
        <v>163</v>
      </c>
      <c r="B291" s="11" t="s">
        <v>164</v>
      </c>
      <c r="C291" s="11" t="n">
        <v>2017</v>
      </c>
      <c r="D291" s="11" t="s">
        <v>18</v>
      </c>
      <c r="E291" s="17" t="n">
        <v>1396215000</v>
      </c>
      <c r="F291" s="11" t="s">
        <v>98</v>
      </c>
      <c r="G291" s="11" t="s">
        <v>99</v>
      </c>
      <c r="H291" s="11" t="s">
        <v>671</v>
      </c>
      <c r="I291" s="11" t="s">
        <v>667</v>
      </c>
      <c r="J291" s="11" t="s">
        <v>672</v>
      </c>
    </row>
    <row r="292" customFormat="false" ht="15" hidden="false" customHeight="false" outlineLevel="0" collapsed="false">
      <c r="A292" s="11" t="s">
        <v>163</v>
      </c>
      <c r="B292" s="11" t="s">
        <v>164</v>
      </c>
      <c r="C292" s="11" t="n">
        <v>2018</v>
      </c>
      <c r="D292" s="11" t="s">
        <v>18</v>
      </c>
      <c r="E292" s="17" t="n">
        <v>1402760000</v>
      </c>
      <c r="F292" s="11" t="s">
        <v>98</v>
      </c>
      <c r="G292" s="11" t="s">
        <v>99</v>
      </c>
      <c r="H292" s="11" t="s">
        <v>671</v>
      </c>
      <c r="I292" s="11" t="s">
        <v>667</v>
      </c>
      <c r="J292" s="11" t="s">
        <v>672</v>
      </c>
    </row>
    <row r="293" customFormat="false" ht="15" hidden="false" customHeight="false" outlineLevel="0" collapsed="false">
      <c r="A293" s="11" t="s">
        <v>163</v>
      </c>
      <c r="B293" s="11" t="s">
        <v>164</v>
      </c>
      <c r="C293" s="11" t="n">
        <v>2019</v>
      </c>
      <c r="D293" s="11" t="s">
        <v>18</v>
      </c>
      <c r="E293" s="17" t="n">
        <v>1407745000</v>
      </c>
      <c r="F293" s="11" t="s">
        <v>98</v>
      </c>
      <c r="G293" s="11" t="s">
        <v>99</v>
      </c>
      <c r="H293" s="11" t="s">
        <v>671</v>
      </c>
      <c r="I293" s="11" t="s">
        <v>667</v>
      </c>
      <c r="J293" s="11" t="s">
        <v>672</v>
      </c>
    </row>
    <row r="294" customFormat="false" ht="15" hidden="false" customHeight="false" outlineLevel="0" collapsed="false">
      <c r="A294" s="11" t="s">
        <v>163</v>
      </c>
      <c r="B294" s="11" t="s">
        <v>164</v>
      </c>
      <c r="C294" s="11" t="n">
        <v>2020</v>
      </c>
      <c r="D294" s="11" t="s">
        <v>18</v>
      </c>
      <c r="E294" s="17" t="n">
        <v>1411100000</v>
      </c>
      <c r="F294" s="11" t="s">
        <v>98</v>
      </c>
      <c r="G294" s="11" t="s">
        <v>99</v>
      </c>
      <c r="H294" s="11" t="s">
        <v>671</v>
      </c>
      <c r="I294" s="11" t="s">
        <v>667</v>
      </c>
      <c r="J294" s="11" t="s">
        <v>672</v>
      </c>
    </row>
    <row r="295" customFormat="false" ht="15" hidden="false" customHeight="false" outlineLevel="0" collapsed="false">
      <c r="A295" s="11" t="s">
        <v>163</v>
      </c>
      <c r="B295" s="11" t="s">
        <v>164</v>
      </c>
      <c r="C295" s="11" t="n">
        <v>2021</v>
      </c>
      <c r="D295" s="11" t="s">
        <v>18</v>
      </c>
      <c r="E295" s="17" t="n">
        <v>1412360000</v>
      </c>
      <c r="F295" s="11" t="s">
        <v>98</v>
      </c>
      <c r="G295" s="11" t="s">
        <v>99</v>
      </c>
      <c r="H295" s="11" t="s">
        <v>671</v>
      </c>
      <c r="I295" s="11" t="s">
        <v>667</v>
      </c>
      <c r="J295" s="11" t="s">
        <v>672</v>
      </c>
    </row>
    <row r="296" customFormat="false" ht="15" hidden="false" customHeight="false" outlineLevel="0" collapsed="false">
      <c r="A296" s="11" t="s">
        <v>163</v>
      </c>
      <c r="B296" s="11" t="s">
        <v>164</v>
      </c>
      <c r="C296" s="11" t="n">
        <v>2022</v>
      </c>
      <c r="D296" s="11" t="s">
        <v>18</v>
      </c>
      <c r="E296" s="17" t="n">
        <v>1412175000</v>
      </c>
      <c r="F296" s="11" t="s">
        <v>98</v>
      </c>
      <c r="G296" s="11" t="s">
        <v>99</v>
      </c>
      <c r="H296" s="11" t="s">
        <v>671</v>
      </c>
      <c r="I296" s="11" t="s">
        <v>667</v>
      </c>
      <c r="J296" s="11" t="s">
        <v>672</v>
      </c>
    </row>
    <row r="297" customFormat="false" ht="15" hidden="false" customHeight="false" outlineLevel="0" collapsed="false">
      <c r="A297" s="11" t="s">
        <v>194</v>
      </c>
      <c r="B297" s="11" t="s">
        <v>195</v>
      </c>
      <c r="C297" s="11" t="n">
        <v>2010</v>
      </c>
      <c r="D297" s="11" t="s">
        <v>22</v>
      </c>
      <c r="E297" s="17" t="n">
        <v>398493</v>
      </c>
      <c r="F297" s="11" t="s">
        <v>116</v>
      </c>
      <c r="G297" s="11" t="s">
        <v>198</v>
      </c>
      <c r="H297" s="11" t="s">
        <v>118</v>
      </c>
      <c r="I297" s="11" t="s">
        <v>667</v>
      </c>
      <c r="J297" s="11" t="s">
        <v>673</v>
      </c>
    </row>
    <row r="298" customFormat="false" ht="15" hidden="false" customHeight="false" outlineLevel="0" collapsed="false">
      <c r="A298" s="11" t="s">
        <v>194</v>
      </c>
      <c r="B298" s="11" t="s">
        <v>195</v>
      </c>
      <c r="C298" s="11" t="n">
        <v>2011</v>
      </c>
      <c r="D298" s="11" t="s">
        <v>22</v>
      </c>
      <c r="E298" s="17" t="n">
        <v>387971</v>
      </c>
      <c r="F298" s="11" t="s">
        <v>116</v>
      </c>
      <c r="G298" s="11" t="s">
        <v>198</v>
      </c>
      <c r="H298" s="11" t="s">
        <v>118</v>
      </c>
      <c r="I298" s="11" t="s">
        <v>667</v>
      </c>
      <c r="J298" s="11" t="s">
        <v>673</v>
      </c>
    </row>
    <row r="299" customFormat="false" ht="15" hidden="false" customHeight="false" outlineLevel="0" collapsed="false">
      <c r="A299" s="11" t="s">
        <v>194</v>
      </c>
      <c r="B299" s="11" t="s">
        <v>195</v>
      </c>
      <c r="C299" s="11" t="n">
        <v>2012</v>
      </c>
      <c r="D299" s="11" t="s">
        <v>22</v>
      </c>
      <c r="E299" s="17" t="n">
        <v>390843</v>
      </c>
      <c r="F299" s="11" t="s">
        <v>116</v>
      </c>
      <c r="G299" s="11" t="s">
        <v>198</v>
      </c>
      <c r="H299" s="11" t="s">
        <v>118</v>
      </c>
      <c r="I299" s="11" t="s">
        <v>667</v>
      </c>
      <c r="J299" s="11" t="s">
        <v>673</v>
      </c>
    </row>
    <row r="300" customFormat="false" ht="15" hidden="false" customHeight="false" outlineLevel="0" collapsed="false">
      <c r="A300" s="11" t="s">
        <v>194</v>
      </c>
      <c r="B300" s="11" t="s">
        <v>195</v>
      </c>
      <c r="C300" s="11" t="n">
        <v>2013</v>
      </c>
      <c r="D300" s="11" t="s">
        <v>22</v>
      </c>
      <c r="E300" s="17" t="n">
        <v>387337</v>
      </c>
      <c r="F300" s="11" t="s">
        <v>116</v>
      </c>
      <c r="G300" s="11" t="s">
        <v>198</v>
      </c>
      <c r="H300" s="11" t="s">
        <v>118</v>
      </c>
      <c r="I300" s="11" t="s">
        <v>667</v>
      </c>
      <c r="J300" s="11" t="s">
        <v>673</v>
      </c>
    </row>
    <row r="301" customFormat="false" ht="15" hidden="false" customHeight="false" outlineLevel="0" collapsed="false">
      <c r="A301" s="11" t="s">
        <v>194</v>
      </c>
      <c r="B301" s="11" t="s">
        <v>195</v>
      </c>
      <c r="C301" s="11" t="n">
        <v>2014</v>
      </c>
      <c r="D301" s="11" t="s">
        <v>22</v>
      </c>
      <c r="E301" s="17" t="n">
        <v>396156</v>
      </c>
      <c r="F301" s="11" t="s">
        <v>116</v>
      </c>
      <c r="G301" s="11" t="s">
        <v>198</v>
      </c>
      <c r="H301" s="11" t="s">
        <v>118</v>
      </c>
      <c r="I301" s="11" t="s">
        <v>667</v>
      </c>
      <c r="J301" s="11" t="s">
        <v>673</v>
      </c>
    </row>
    <row r="302" customFormat="false" ht="15" hidden="false" customHeight="false" outlineLevel="0" collapsed="false">
      <c r="A302" s="11" t="s">
        <v>194</v>
      </c>
      <c r="B302" s="11" t="s">
        <v>195</v>
      </c>
      <c r="C302" s="11" t="n">
        <v>2015</v>
      </c>
      <c r="D302" s="11" t="s">
        <v>22</v>
      </c>
      <c r="E302" s="17" t="n">
        <v>416454</v>
      </c>
      <c r="F302" s="11" t="s">
        <v>116</v>
      </c>
      <c r="G302" s="11" t="s">
        <v>198</v>
      </c>
      <c r="H302" s="11" t="s">
        <v>118</v>
      </c>
      <c r="I302" s="11" t="s">
        <v>667</v>
      </c>
      <c r="J302" s="11" t="s">
        <v>673</v>
      </c>
    </row>
    <row r="303" customFormat="false" ht="15" hidden="false" customHeight="false" outlineLevel="0" collapsed="false">
      <c r="A303" s="11" t="s">
        <v>194</v>
      </c>
      <c r="B303" s="11" t="s">
        <v>195</v>
      </c>
      <c r="C303" s="11" t="n">
        <v>2016</v>
      </c>
      <c r="D303" s="11" t="s">
        <v>22</v>
      </c>
      <c r="E303" s="17" t="n">
        <v>433290</v>
      </c>
      <c r="F303" s="11" t="s">
        <v>116</v>
      </c>
      <c r="G303" s="11" t="s">
        <v>198</v>
      </c>
      <c r="H303" s="11" t="s">
        <v>118</v>
      </c>
      <c r="I303" s="11" t="s">
        <v>667</v>
      </c>
      <c r="J303" s="11" t="s">
        <v>673</v>
      </c>
    </row>
    <row r="304" customFormat="false" ht="15" hidden="false" customHeight="false" outlineLevel="0" collapsed="false">
      <c r="A304" s="11" t="s">
        <v>194</v>
      </c>
      <c r="B304" s="11" t="s">
        <v>195</v>
      </c>
      <c r="C304" s="11" t="n">
        <v>2017</v>
      </c>
      <c r="D304" s="11" t="s">
        <v>22</v>
      </c>
      <c r="E304" s="17" t="n">
        <v>465056</v>
      </c>
      <c r="F304" s="11" t="s">
        <v>116</v>
      </c>
      <c r="G304" s="11" t="s">
        <v>198</v>
      </c>
      <c r="H304" s="11" t="s">
        <v>118</v>
      </c>
      <c r="I304" s="11" t="s">
        <v>667</v>
      </c>
      <c r="J304" s="11" t="s">
        <v>673</v>
      </c>
    </row>
    <row r="305" customFormat="false" ht="15" hidden="false" customHeight="false" outlineLevel="0" collapsed="false">
      <c r="A305" s="11" t="s">
        <v>194</v>
      </c>
      <c r="B305" s="11" t="s">
        <v>195</v>
      </c>
      <c r="C305" s="11" t="n">
        <v>2018</v>
      </c>
      <c r="D305" s="11" t="s">
        <v>22</v>
      </c>
      <c r="E305" s="17" t="n">
        <v>467580</v>
      </c>
      <c r="F305" s="11" t="s">
        <v>116</v>
      </c>
      <c r="G305" s="11" t="s">
        <v>198</v>
      </c>
      <c r="H305" s="11" t="s">
        <v>118</v>
      </c>
      <c r="I305" s="11" t="s">
        <v>667</v>
      </c>
      <c r="J305" s="11" t="s">
        <v>673</v>
      </c>
    </row>
    <row r="306" customFormat="false" ht="15" hidden="false" customHeight="false" outlineLevel="0" collapsed="false">
      <c r="A306" s="11" t="s">
        <v>194</v>
      </c>
      <c r="B306" s="11" t="s">
        <v>195</v>
      </c>
      <c r="C306" s="11" t="n">
        <v>2019</v>
      </c>
      <c r="D306" s="11" t="s">
        <v>22</v>
      </c>
      <c r="E306" s="17" t="n">
        <v>507051</v>
      </c>
      <c r="F306" s="11" t="s">
        <v>116</v>
      </c>
      <c r="G306" s="11" t="s">
        <v>198</v>
      </c>
      <c r="H306" s="11" t="s">
        <v>118</v>
      </c>
      <c r="I306" s="11" t="s">
        <v>667</v>
      </c>
      <c r="J306" s="11" t="s">
        <v>673</v>
      </c>
    </row>
    <row r="307" customFormat="false" ht="15" hidden="false" customHeight="false" outlineLevel="0" collapsed="false">
      <c r="A307" s="11" t="s">
        <v>194</v>
      </c>
      <c r="B307" s="11" t="s">
        <v>195</v>
      </c>
      <c r="C307" s="11" t="n">
        <v>2020</v>
      </c>
      <c r="D307" s="11" t="s">
        <v>22</v>
      </c>
      <c r="E307" s="17" t="n">
        <v>533639</v>
      </c>
      <c r="F307" s="11" t="s">
        <v>116</v>
      </c>
      <c r="G307" s="11" t="s">
        <v>198</v>
      </c>
      <c r="H307" s="11" t="s">
        <v>118</v>
      </c>
      <c r="I307" s="11" t="s">
        <v>667</v>
      </c>
      <c r="J307" s="11" t="s">
        <v>673</v>
      </c>
    </row>
    <row r="308" customFormat="false" ht="15" hidden="false" customHeight="false" outlineLevel="0" collapsed="false">
      <c r="A308" s="11" t="s">
        <v>194</v>
      </c>
      <c r="B308" s="11" t="s">
        <v>195</v>
      </c>
      <c r="C308" s="11" t="n">
        <v>2021</v>
      </c>
      <c r="D308" s="11" t="s">
        <v>22</v>
      </c>
      <c r="E308" s="17" t="n">
        <v>409220</v>
      </c>
      <c r="F308" s="11" t="s">
        <v>116</v>
      </c>
      <c r="G308" s="11" t="s">
        <v>198</v>
      </c>
      <c r="H308" s="11" t="s">
        <v>200</v>
      </c>
      <c r="I308" s="11" t="s">
        <v>667</v>
      </c>
      <c r="J308" s="11" t="s">
        <v>673</v>
      </c>
    </row>
    <row r="309" customFormat="false" ht="15" hidden="false" customHeight="false" outlineLevel="0" collapsed="false">
      <c r="A309" s="11" t="s">
        <v>194</v>
      </c>
      <c r="B309" s="11" t="s">
        <v>195</v>
      </c>
      <c r="C309" s="11" t="n">
        <v>2022</v>
      </c>
      <c r="D309" s="11" t="s">
        <v>22</v>
      </c>
      <c r="E309" s="17" t="n">
        <v>685840</v>
      </c>
      <c r="F309" s="11" t="s">
        <v>116</v>
      </c>
      <c r="G309" s="11" t="s">
        <v>198</v>
      </c>
      <c r="H309" s="11" t="s">
        <v>200</v>
      </c>
      <c r="I309" s="11" t="s">
        <v>667</v>
      </c>
      <c r="J309" s="11" t="s">
        <v>673</v>
      </c>
    </row>
    <row r="310" customFormat="false" ht="15" hidden="false" customHeight="false" outlineLevel="0" collapsed="false">
      <c r="A310" s="11" t="s">
        <v>194</v>
      </c>
      <c r="B310" s="11" t="s">
        <v>195</v>
      </c>
      <c r="C310" s="11" t="n">
        <v>2010</v>
      </c>
      <c r="D310" s="11" t="s">
        <v>26</v>
      </c>
      <c r="E310" s="17" t="n">
        <v>424419</v>
      </c>
      <c r="F310" s="11" t="s">
        <v>119</v>
      </c>
      <c r="G310" s="11" t="s">
        <v>199</v>
      </c>
      <c r="H310" s="11" t="s">
        <v>121</v>
      </c>
      <c r="I310" s="11" t="s">
        <v>667</v>
      </c>
      <c r="J310" s="11" t="s">
        <v>673</v>
      </c>
    </row>
    <row r="311" customFormat="false" ht="15" hidden="false" customHeight="false" outlineLevel="0" collapsed="false">
      <c r="A311" s="11" t="s">
        <v>194</v>
      </c>
      <c r="B311" s="11" t="s">
        <v>195</v>
      </c>
      <c r="C311" s="11" t="n">
        <v>2011</v>
      </c>
      <c r="D311" s="11" t="s">
        <v>26</v>
      </c>
      <c r="E311" s="17" t="n">
        <v>416737</v>
      </c>
      <c r="F311" s="11" t="s">
        <v>119</v>
      </c>
      <c r="G311" s="11" t="s">
        <v>199</v>
      </c>
      <c r="H311" s="11" t="s">
        <v>121</v>
      </c>
      <c r="I311" s="11" t="s">
        <v>667</v>
      </c>
      <c r="J311" s="11" t="s">
        <v>673</v>
      </c>
    </row>
    <row r="312" customFormat="false" ht="15" hidden="false" customHeight="false" outlineLevel="0" collapsed="false">
      <c r="A312" s="11" t="s">
        <v>194</v>
      </c>
      <c r="B312" s="11" t="s">
        <v>195</v>
      </c>
      <c r="C312" s="11" t="n">
        <v>2012</v>
      </c>
      <c r="D312" s="11" t="s">
        <v>26</v>
      </c>
      <c r="E312" s="17" t="n">
        <v>422966</v>
      </c>
      <c r="F312" s="11" t="s">
        <v>119</v>
      </c>
      <c r="G312" s="11" t="s">
        <v>199</v>
      </c>
      <c r="H312" s="11" t="s">
        <v>121</v>
      </c>
      <c r="I312" s="11" t="s">
        <v>667</v>
      </c>
      <c r="J312" s="11" t="s">
        <v>673</v>
      </c>
    </row>
    <row r="313" customFormat="false" ht="15" hidden="false" customHeight="false" outlineLevel="0" collapsed="false">
      <c r="A313" s="11" t="s">
        <v>194</v>
      </c>
      <c r="B313" s="11" t="s">
        <v>195</v>
      </c>
      <c r="C313" s="11" t="n">
        <v>2013</v>
      </c>
      <c r="D313" s="11" t="s">
        <v>26</v>
      </c>
      <c r="E313" s="17" t="n">
        <v>422280</v>
      </c>
      <c r="F313" s="11" t="s">
        <v>119</v>
      </c>
      <c r="G313" s="11" t="s">
        <v>199</v>
      </c>
      <c r="H313" s="11" t="s">
        <v>121</v>
      </c>
      <c r="I313" s="11" t="s">
        <v>667</v>
      </c>
      <c r="J313" s="11" t="s">
        <v>673</v>
      </c>
    </row>
    <row r="314" customFormat="false" ht="15" hidden="false" customHeight="false" outlineLevel="0" collapsed="false">
      <c r="A314" s="11" t="s">
        <v>194</v>
      </c>
      <c r="B314" s="11" t="s">
        <v>195</v>
      </c>
      <c r="C314" s="11" t="n">
        <v>2014</v>
      </c>
      <c r="D314" s="11" t="s">
        <v>26</v>
      </c>
      <c r="E314" s="17" t="n">
        <v>434581</v>
      </c>
      <c r="F314" s="11" t="s">
        <v>119</v>
      </c>
      <c r="G314" s="11" t="s">
        <v>199</v>
      </c>
      <c r="H314" s="11" t="s">
        <v>121</v>
      </c>
      <c r="I314" s="11" t="s">
        <v>667</v>
      </c>
      <c r="J314" s="11" t="s">
        <v>673</v>
      </c>
    </row>
    <row r="315" customFormat="false" ht="15" hidden="false" customHeight="false" outlineLevel="0" collapsed="false">
      <c r="A315" s="11" t="s">
        <v>194</v>
      </c>
      <c r="B315" s="11" t="s">
        <v>195</v>
      </c>
      <c r="C315" s="11" t="n">
        <v>2015</v>
      </c>
      <c r="D315" s="11" t="s">
        <v>26</v>
      </c>
      <c r="E315" s="17" t="n">
        <v>457323</v>
      </c>
      <c r="F315" s="11" t="s">
        <v>119</v>
      </c>
      <c r="G315" s="11" t="s">
        <v>199</v>
      </c>
      <c r="H315" s="11" t="s">
        <v>121</v>
      </c>
      <c r="I315" s="11" t="s">
        <v>667</v>
      </c>
      <c r="J315" s="11" t="s">
        <v>673</v>
      </c>
    </row>
    <row r="316" customFormat="false" ht="15" hidden="false" customHeight="false" outlineLevel="0" collapsed="false">
      <c r="A316" s="11" t="s">
        <v>194</v>
      </c>
      <c r="B316" s="11" t="s">
        <v>195</v>
      </c>
      <c r="C316" s="11" t="n">
        <v>2016</v>
      </c>
      <c r="D316" s="11" t="s">
        <v>26</v>
      </c>
      <c r="E316" s="17" t="n">
        <v>476345</v>
      </c>
      <c r="F316" s="11" t="s">
        <v>119</v>
      </c>
      <c r="G316" s="11" t="s">
        <v>199</v>
      </c>
      <c r="H316" s="11" t="s">
        <v>121</v>
      </c>
      <c r="I316" s="11" t="s">
        <v>667</v>
      </c>
      <c r="J316" s="11" t="s">
        <v>673</v>
      </c>
    </row>
    <row r="317" customFormat="false" ht="15" hidden="false" customHeight="false" outlineLevel="0" collapsed="false">
      <c r="A317" s="11" t="s">
        <v>194</v>
      </c>
      <c r="B317" s="11" t="s">
        <v>195</v>
      </c>
      <c r="C317" s="11" t="n">
        <v>2017</v>
      </c>
      <c r="D317" s="11" t="s">
        <v>26</v>
      </c>
      <c r="E317" s="17" t="n">
        <v>510841</v>
      </c>
      <c r="F317" s="11" t="s">
        <v>119</v>
      </c>
      <c r="G317" s="11" t="s">
        <v>199</v>
      </c>
      <c r="H317" s="11" t="s">
        <v>121</v>
      </c>
      <c r="I317" s="11" t="s">
        <v>667</v>
      </c>
      <c r="J317" s="11" t="s">
        <v>673</v>
      </c>
    </row>
    <row r="318" customFormat="false" ht="15" hidden="false" customHeight="false" outlineLevel="0" collapsed="false">
      <c r="A318" s="11" t="s">
        <v>194</v>
      </c>
      <c r="B318" s="11" t="s">
        <v>195</v>
      </c>
      <c r="C318" s="11" t="n">
        <v>2018</v>
      </c>
      <c r="D318" s="11" t="s">
        <v>26</v>
      </c>
      <c r="E318" s="17" t="n">
        <v>515422</v>
      </c>
      <c r="F318" s="11" t="s">
        <v>119</v>
      </c>
      <c r="G318" s="11" t="s">
        <v>199</v>
      </c>
      <c r="H318" s="11" t="s">
        <v>121</v>
      </c>
      <c r="I318" s="11" t="s">
        <v>667</v>
      </c>
      <c r="J318" s="11" t="s">
        <v>673</v>
      </c>
    </row>
    <row r="319" customFormat="false" ht="15" hidden="false" customHeight="false" outlineLevel="0" collapsed="false">
      <c r="A319" s="11" t="s">
        <v>194</v>
      </c>
      <c r="B319" s="11" t="s">
        <v>195</v>
      </c>
      <c r="C319" s="11" t="n">
        <v>2019</v>
      </c>
      <c r="D319" s="11" t="s">
        <v>26</v>
      </c>
      <c r="E319" s="17" t="n">
        <v>557458</v>
      </c>
      <c r="F319" s="11" t="s">
        <v>119</v>
      </c>
      <c r="G319" s="11" t="s">
        <v>199</v>
      </c>
      <c r="H319" s="11" t="s">
        <v>121</v>
      </c>
      <c r="I319" s="11" t="s">
        <v>667</v>
      </c>
      <c r="J319" s="11" t="s">
        <v>673</v>
      </c>
    </row>
    <row r="320" customFormat="false" ht="15" hidden="false" customHeight="false" outlineLevel="0" collapsed="false">
      <c r="A320" s="11" t="s">
        <v>194</v>
      </c>
      <c r="B320" s="11" t="s">
        <v>195</v>
      </c>
      <c r="C320" s="11" t="n">
        <v>2020</v>
      </c>
      <c r="D320" s="11" t="s">
        <v>26</v>
      </c>
      <c r="E320" s="17" t="n">
        <v>586646</v>
      </c>
      <c r="F320" s="11" t="s">
        <v>119</v>
      </c>
      <c r="G320" s="11" t="s">
        <v>199</v>
      </c>
      <c r="H320" s="11" t="s">
        <v>121</v>
      </c>
      <c r="I320" s="11" t="s">
        <v>667</v>
      </c>
      <c r="J320" s="11" t="s">
        <v>673</v>
      </c>
    </row>
    <row r="321" customFormat="false" ht="15" hidden="false" customHeight="false" outlineLevel="0" collapsed="false">
      <c r="A321" s="11" t="s">
        <v>194</v>
      </c>
      <c r="B321" s="11" t="s">
        <v>195</v>
      </c>
      <c r="C321" s="11" t="n">
        <v>2021</v>
      </c>
      <c r="D321" s="11" t="s">
        <v>26</v>
      </c>
      <c r="E321" s="17" t="n">
        <v>488532</v>
      </c>
      <c r="F321" s="11" t="s">
        <v>119</v>
      </c>
      <c r="G321" s="11" t="s">
        <v>199</v>
      </c>
      <c r="H321" s="11" t="s">
        <v>144</v>
      </c>
      <c r="I321" s="11" t="s">
        <v>667</v>
      </c>
      <c r="J321" s="11" t="s">
        <v>673</v>
      </c>
    </row>
    <row r="322" customFormat="false" ht="15" hidden="false" customHeight="false" outlineLevel="0" collapsed="false">
      <c r="A322" s="11" t="s">
        <v>194</v>
      </c>
      <c r="B322" s="11" t="s">
        <v>195</v>
      </c>
      <c r="C322" s="11" t="n">
        <v>2022</v>
      </c>
      <c r="D322" s="11" t="s">
        <v>26</v>
      </c>
      <c r="E322" s="17" t="n">
        <v>538237</v>
      </c>
      <c r="F322" s="11" t="s">
        <v>119</v>
      </c>
      <c r="G322" s="11" t="s">
        <v>199</v>
      </c>
      <c r="H322" s="11" t="s">
        <v>121</v>
      </c>
      <c r="I322" s="11" t="s">
        <v>667</v>
      </c>
      <c r="J322" s="11" t="s">
        <v>673</v>
      </c>
    </row>
    <row r="323" customFormat="false" ht="15" hidden="false" customHeight="false" outlineLevel="0" collapsed="false">
      <c r="A323" s="11" t="s">
        <v>194</v>
      </c>
      <c r="B323" s="11" t="s">
        <v>195</v>
      </c>
      <c r="C323" s="11" t="n">
        <v>2010</v>
      </c>
      <c r="D323" s="11" t="s">
        <v>38</v>
      </c>
      <c r="E323" s="17" t="n">
        <v>2655</v>
      </c>
      <c r="F323" s="11" t="s">
        <v>123</v>
      </c>
      <c r="G323" s="11" t="s">
        <v>124</v>
      </c>
      <c r="H323" s="11" t="s">
        <v>125</v>
      </c>
      <c r="I323" s="11" t="s">
        <v>667</v>
      </c>
      <c r="J323" s="11" t="s">
        <v>674</v>
      </c>
    </row>
    <row r="324" customFormat="false" ht="15" hidden="false" customHeight="false" outlineLevel="0" collapsed="false">
      <c r="A324" s="11" t="s">
        <v>194</v>
      </c>
      <c r="B324" s="11" t="s">
        <v>195</v>
      </c>
      <c r="C324" s="11" t="n">
        <v>2011</v>
      </c>
      <c r="D324" s="11" t="s">
        <v>38</v>
      </c>
      <c r="E324" s="17" t="n">
        <v>3085</v>
      </c>
      <c r="F324" s="11" t="s">
        <v>123</v>
      </c>
      <c r="G324" s="11" t="s">
        <v>124</v>
      </c>
      <c r="H324" s="11" t="s">
        <v>125</v>
      </c>
      <c r="I324" s="11" t="s">
        <v>667</v>
      </c>
      <c r="J324" s="11" t="s">
        <v>674</v>
      </c>
    </row>
    <row r="325" customFormat="false" ht="15" hidden="false" customHeight="false" outlineLevel="0" collapsed="false">
      <c r="A325" s="11" t="s">
        <v>194</v>
      </c>
      <c r="B325" s="11" t="s">
        <v>195</v>
      </c>
      <c r="C325" s="11" t="n">
        <v>2012</v>
      </c>
      <c r="D325" s="11" t="s">
        <v>38</v>
      </c>
      <c r="E325" s="17" t="n">
        <v>3315</v>
      </c>
      <c r="F325" s="11" t="s">
        <v>123</v>
      </c>
      <c r="G325" s="11" t="s">
        <v>124</v>
      </c>
      <c r="H325" s="11" t="s">
        <v>125</v>
      </c>
      <c r="I325" s="11" t="s">
        <v>667</v>
      </c>
      <c r="J325" s="11" t="s">
        <v>674</v>
      </c>
    </row>
    <row r="326" customFormat="false" ht="15" hidden="false" customHeight="false" outlineLevel="0" collapsed="false">
      <c r="A326" s="11" t="s">
        <v>194</v>
      </c>
      <c r="B326" s="11" t="s">
        <v>195</v>
      </c>
      <c r="C326" s="11" t="n">
        <v>2013</v>
      </c>
      <c r="D326" s="11" t="s">
        <v>38</v>
      </c>
      <c r="E326" s="17" t="n">
        <v>3695</v>
      </c>
      <c r="F326" s="11" t="s">
        <v>123</v>
      </c>
      <c r="G326" s="11" t="s">
        <v>124</v>
      </c>
      <c r="H326" s="11" t="s">
        <v>125</v>
      </c>
      <c r="I326" s="11" t="s">
        <v>667</v>
      </c>
      <c r="J326" s="11" t="s">
        <v>674</v>
      </c>
    </row>
    <row r="327" customFormat="false" ht="15" hidden="false" customHeight="false" outlineLevel="0" collapsed="false">
      <c r="A327" s="11" t="s">
        <v>194</v>
      </c>
      <c r="B327" s="11" t="s">
        <v>195</v>
      </c>
      <c r="C327" s="11" t="n">
        <v>2014</v>
      </c>
      <c r="D327" s="11" t="s">
        <v>38</v>
      </c>
      <c r="E327" s="17" t="n">
        <v>4430</v>
      </c>
      <c r="F327" s="11" t="s">
        <v>123</v>
      </c>
      <c r="G327" s="11" t="s">
        <v>124</v>
      </c>
      <c r="H327" s="11" t="s">
        <v>125</v>
      </c>
      <c r="I327" s="11" t="s">
        <v>667</v>
      </c>
      <c r="J327" s="11" t="s">
        <v>674</v>
      </c>
    </row>
    <row r="328" customFormat="false" ht="15" hidden="false" customHeight="false" outlineLevel="0" collapsed="false">
      <c r="A328" s="11" t="s">
        <v>194</v>
      </c>
      <c r="B328" s="11" t="s">
        <v>195</v>
      </c>
      <c r="C328" s="11" t="n">
        <v>2015</v>
      </c>
      <c r="D328" s="11" t="s">
        <v>38</v>
      </c>
      <c r="E328" s="17" t="n">
        <v>8165</v>
      </c>
      <c r="F328" s="11" t="s">
        <v>123</v>
      </c>
      <c r="G328" s="11" t="s">
        <v>124</v>
      </c>
      <c r="H328" s="11" t="s">
        <v>125</v>
      </c>
      <c r="I328" s="11" t="s">
        <v>667</v>
      </c>
      <c r="J328" s="11" t="s">
        <v>674</v>
      </c>
    </row>
    <row r="329" customFormat="false" ht="15" hidden="false" customHeight="false" outlineLevel="0" collapsed="false">
      <c r="A329" s="11" t="s">
        <v>194</v>
      </c>
      <c r="B329" s="11" t="s">
        <v>195</v>
      </c>
      <c r="C329" s="11" t="n">
        <v>2016</v>
      </c>
      <c r="D329" s="11" t="s">
        <v>38</v>
      </c>
      <c r="E329" s="17" t="n">
        <v>4885</v>
      </c>
      <c r="F329" s="11" t="s">
        <v>123</v>
      </c>
      <c r="G329" s="11" t="s">
        <v>124</v>
      </c>
      <c r="H329" s="11" t="s">
        <v>125</v>
      </c>
      <c r="I329" s="11" t="s">
        <v>667</v>
      </c>
      <c r="J329" s="11" t="s">
        <v>674</v>
      </c>
    </row>
    <row r="330" customFormat="false" ht="15" hidden="false" customHeight="false" outlineLevel="0" collapsed="false">
      <c r="A330" s="11" t="s">
        <v>194</v>
      </c>
      <c r="B330" s="11" t="s">
        <v>195</v>
      </c>
      <c r="C330" s="11" t="n">
        <v>2017</v>
      </c>
      <c r="D330" s="11" t="s">
        <v>38</v>
      </c>
      <c r="E330" s="17" t="n">
        <v>4360</v>
      </c>
      <c r="F330" s="11" t="s">
        <v>123</v>
      </c>
      <c r="G330" s="11" t="s">
        <v>124</v>
      </c>
      <c r="H330" s="11" t="s">
        <v>125</v>
      </c>
      <c r="I330" s="11" t="s">
        <v>667</v>
      </c>
      <c r="J330" s="11" t="s">
        <v>674</v>
      </c>
    </row>
    <row r="331" customFormat="false" ht="15" hidden="false" customHeight="false" outlineLevel="0" collapsed="false">
      <c r="A331" s="11" t="s">
        <v>194</v>
      </c>
      <c r="B331" s="11" t="s">
        <v>195</v>
      </c>
      <c r="C331" s="11" t="n">
        <v>2018</v>
      </c>
      <c r="D331" s="11" t="s">
        <v>38</v>
      </c>
      <c r="E331" s="17" t="n">
        <v>4505</v>
      </c>
      <c r="F331" s="11" t="s">
        <v>123</v>
      </c>
      <c r="G331" s="11" t="s">
        <v>124</v>
      </c>
      <c r="H331" s="11" t="s">
        <v>125</v>
      </c>
      <c r="I331" s="11" t="s">
        <v>667</v>
      </c>
      <c r="J331" s="11" t="s">
        <v>674</v>
      </c>
    </row>
    <row r="332" customFormat="false" ht="15" hidden="false" customHeight="false" outlineLevel="0" collapsed="false">
      <c r="A332" s="11" t="s">
        <v>194</v>
      </c>
      <c r="B332" s="11" t="s">
        <v>195</v>
      </c>
      <c r="C332" s="11" t="n">
        <v>2019</v>
      </c>
      <c r="D332" s="11" t="s">
        <v>38</v>
      </c>
      <c r="E332" s="17" t="n">
        <v>4995</v>
      </c>
      <c r="F332" s="11" t="s">
        <v>123</v>
      </c>
      <c r="G332" s="11" t="s">
        <v>124</v>
      </c>
      <c r="H332" s="11" t="s">
        <v>125</v>
      </c>
      <c r="I332" s="11" t="s">
        <v>667</v>
      </c>
      <c r="J332" s="11" t="s">
        <v>674</v>
      </c>
    </row>
    <row r="333" customFormat="false" ht="15" hidden="false" customHeight="false" outlineLevel="0" collapsed="false">
      <c r="A333" s="11" t="s">
        <v>194</v>
      </c>
      <c r="B333" s="11" t="s">
        <v>195</v>
      </c>
      <c r="C333" s="11" t="n">
        <v>2020</v>
      </c>
      <c r="D333" s="11" t="s">
        <v>38</v>
      </c>
      <c r="E333" s="17" t="n">
        <v>6515</v>
      </c>
      <c r="F333" s="11" t="s">
        <v>123</v>
      </c>
      <c r="G333" s="11" t="s">
        <v>124</v>
      </c>
      <c r="H333" s="11" t="s">
        <v>125</v>
      </c>
      <c r="I333" s="11" t="s">
        <v>667</v>
      </c>
      <c r="J333" s="11" t="s">
        <v>674</v>
      </c>
    </row>
    <row r="334" customFormat="false" ht="15" hidden="false" customHeight="false" outlineLevel="0" collapsed="false">
      <c r="A334" s="11" t="s">
        <v>194</v>
      </c>
      <c r="B334" s="11" t="s">
        <v>195</v>
      </c>
      <c r="C334" s="11" t="n">
        <v>2021</v>
      </c>
      <c r="D334" s="11" t="s">
        <v>38</v>
      </c>
      <c r="E334" s="17" t="n">
        <v>11040</v>
      </c>
      <c r="F334" s="11" t="s">
        <v>123</v>
      </c>
      <c r="G334" s="11" t="s">
        <v>124</v>
      </c>
      <c r="H334" s="11" t="s">
        <v>125</v>
      </c>
      <c r="I334" s="11" t="s">
        <v>667</v>
      </c>
      <c r="J334" s="11" t="s">
        <v>674</v>
      </c>
    </row>
    <row r="335" customFormat="false" ht="15" hidden="false" customHeight="false" outlineLevel="0" collapsed="false">
      <c r="A335" s="11" t="s">
        <v>194</v>
      </c>
      <c r="B335" s="11" t="s">
        <v>195</v>
      </c>
      <c r="C335" s="11" t="n">
        <v>2022</v>
      </c>
      <c r="D335" s="11" t="s">
        <v>38</v>
      </c>
      <c r="E335" s="17" t="n">
        <v>29130</v>
      </c>
      <c r="F335" s="11" t="s">
        <v>123</v>
      </c>
      <c r="G335" s="11" t="s">
        <v>124</v>
      </c>
      <c r="H335" s="11" t="s">
        <v>125</v>
      </c>
      <c r="I335" s="11" t="s">
        <v>667</v>
      </c>
      <c r="J335" s="11" t="s">
        <v>674</v>
      </c>
    </row>
    <row r="336" customFormat="false" ht="15" hidden="false" customHeight="false" outlineLevel="0" collapsed="false">
      <c r="A336" s="11" t="s">
        <v>194</v>
      </c>
      <c r="B336" s="11" t="s">
        <v>195</v>
      </c>
      <c r="C336" s="11" t="n">
        <v>2017</v>
      </c>
      <c r="D336" s="11" t="s">
        <v>30</v>
      </c>
      <c r="E336" s="17" t="n">
        <v>150000</v>
      </c>
      <c r="F336" s="11" t="s">
        <v>127</v>
      </c>
      <c r="G336" s="11" t="s">
        <v>128</v>
      </c>
      <c r="H336" s="11" t="s">
        <v>129</v>
      </c>
      <c r="I336" s="11" t="s">
        <v>667</v>
      </c>
      <c r="J336" s="11" t="s">
        <v>674</v>
      </c>
    </row>
    <row r="337" customFormat="false" ht="15" hidden="false" customHeight="false" outlineLevel="0" collapsed="false">
      <c r="A337" s="11" t="s">
        <v>194</v>
      </c>
      <c r="B337" s="11" t="s">
        <v>195</v>
      </c>
      <c r="C337" s="11" t="n">
        <v>2010</v>
      </c>
      <c r="D337" s="11" t="s">
        <v>18</v>
      </c>
      <c r="E337" s="17" t="n">
        <v>10474410</v>
      </c>
      <c r="F337" s="11" t="s">
        <v>98</v>
      </c>
      <c r="G337" s="11" t="s">
        <v>99</v>
      </c>
      <c r="H337" s="11" t="s">
        <v>671</v>
      </c>
      <c r="I337" s="11" t="s">
        <v>667</v>
      </c>
      <c r="J337" s="11" t="s">
        <v>672</v>
      </c>
    </row>
    <row r="338" customFormat="false" ht="15" hidden="false" customHeight="false" outlineLevel="0" collapsed="false">
      <c r="A338" s="11" t="s">
        <v>194</v>
      </c>
      <c r="B338" s="11" t="s">
        <v>195</v>
      </c>
      <c r="C338" s="11" t="n">
        <v>2011</v>
      </c>
      <c r="D338" s="11" t="s">
        <v>18</v>
      </c>
      <c r="E338" s="17" t="n">
        <v>10496088</v>
      </c>
      <c r="F338" s="11" t="s">
        <v>98</v>
      </c>
      <c r="G338" s="11" t="s">
        <v>99</v>
      </c>
      <c r="H338" s="11" t="s">
        <v>671</v>
      </c>
      <c r="I338" s="11" t="s">
        <v>667</v>
      </c>
      <c r="J338" s="11" t="s">
        <v>672</v>
      </c>
    </row>
    <row r="339" customFormat="false" ht="15" hidden="false" customHeight="false" outlineLevel="0" collapsed="false">
      <c r="A339" s="11" t="s">
        <v>194</v>
      </c>
      <c r="B339" s="11" t="s">
        <v>195</v>
      </c>
      <c r="C339" s="11" t="n">
        <v>2012</v>
      </c>
      <c r="D339" s="11" t="s">
        <v>18</v>
      </c>
      <c r="E339" s="17" t="n">
        <v>10510785</v>
      </c>
      <c r="F339" s="11" t="s">
        <v>98</v>
      </c>
      <c r="G339" s="11" t="s">
        <v>99</v>
      </c>
      <c r="H339" s="11" t="s">
        <v>671</v>
      </c>
      <c r="I339" s="11" t="s">
        <v>667</v>
      </c>
      <c r="J339" s="11" t="s">
        <v>672</v>
      </c>
    </row>
    <row r="340" customFormat="false" ht="15" hidden="false" customHeight="false" outlineLevel="0" collapsed="false">
      <c r="A340" s="11" t="s">
        <v>194</v>
      </c>
      <c r="B340" s="11" t="s">
        <v>195</v>
      </c>
      <c r="C340" s="11" t="n">
        <v>2013</v>
      </c>
      <c r="D340" s="11" t="s">
        <v>18</v>
      </c>
      <c r="E340" s="17" t="n">
        <v>10514272</v>
      </c>
      <c r="F340" s="11" t="s">
        <v>98</v>
      </c>
      <c r="G340" s="11" t="s">
        <v>99</v>
      </c>
      <c r="H340" s="11" t="s">
        <v>671</v>
      </c>
      <c r="I340" s="11" t="s">
        <v>667</v>
      </c>
      <c r="J340" s="11" t="s">
        <v>672</v>
      </c>
    </row>
    <row r="341" customFormat="false" ht="15" hidden="false" customHeight="false" outlineLevel="0" collapsed="false">
      <c r="A341" s="11" t="s">
        <v>194</v>
      </c>
      <c r="B341" s="11" t="s">
        <v>195</v>
      </c>
      <c r="C341" s="11" t="n">
        <v>2014</v>
      </c>
      <c r="D341" s="11" t="s">
        <v>18</v>
      </c>
      <c r="E341" s="17" t="n">
        <v>10525347</v>
      </c>
      <c r="F341" s="11" t="s">
        <v>98</v>
      </c>
      <c r="G341" s="11" t="s">
        <v>99</v>
      </c>
      <c r="H341" s="11" t="s">
        <v>671</v>
      </c>
      <c r="I341" s="11" t="s">
        <v>667</v>
      </c>
      <c r="J341" s="11" t="s">
        <v>672</v>
      </c>
    </row>
    <row r="342" customFormat="false" ht="15" hidden="false" customHeight="false" outlineLevel="0" collapsed="false">
      <c r="A342" s="11" t="s">
        <v>194</v>
      </c>
      <c r="B342" s="11" t="s">
        <v>195</v>
      </c>
      <c r="C342" s="11" t="n">
        <v>2015</v>
      </c>
      <c r="D342" s="11" t="s">
        <v>18</v>
      </c>
      <c r="E342" s="17" t="n">
        <v>10546059</v>
      </c>
      <c r="F342" s="11" t="s">
        <v>98</v>
      </c>
      <c r="G342" s="11" t="s">
        <v>99</v>
      </c>
      <c r="H342" s="11" t="s">
        <v>671</v>
      </c>
      <c r="I342" s="11" t="s">
        <v>667</v>
      </c>
      <c r="J342" s="11" t="s">
        <v>672</v>
      </c>
    </row>
    <row r="343" customFormat="false" ht="15" hidden="false" customHeight="false" outlineLevel="0" collapsed="false">
      <c r="A343" s="11" t="s">
        <v>194</v>
      </c>
      <c r="B343" s="11" t="s">
        <v>195</v>
      </c>
      <c r="C343" s="11" t="n">
        <v>2016</v>
      </c>
      <c r="D343" s="11" t="s">
        <v>18</v>
      </c>
      <c r="E343" s="17" t="n">
        <v>10566332</v>
      </c>
      <c r="F343" s="11" t="s">
        <v>98</v>
      </c>
      <c r="G343" s="11" t="s">
        <v>99</v>
      </c>
      <c r="H343" s="11" t="s">
        <v>671</v>
      </c>
      <c r="I343" s="11" t="s">
        <v>667</v>
      </c>
      <c r="J343" s="11" t="s">
        <v>672</v>
      </c>
    </row>
    <row r="344" customFormat="false" ht="15" hidden="false" customHeight="false" outlineLevel="0" collapsed="false">
      <c r="A344" s="11" t="s">
        <v>194</v>
      </c>
      <c r="B344" s="11" t="s">
        <v>195</v>
      </c>
      <c r="C344" s="11" t="n">
        <v>2017</v>
      </c>
      <c r="D344" s="11" t="s">
        <v>18</v>
      </c>
      <c r="E344" s="17" t="n">
        <v>10594438</v>
      </c>
      <c r="F344" s="11" t="s">
        <v>98</v>
      </c>
      <c r="G344" s="11" t="s">
        <v>99</v>
      </c>
      <c r="H344" s="11" t="s">
        <v>671</v>
      </c>
      <c r="I344" s="11" t="s">
        <v>667</v>
      </c>
      <c r="J344" s="11" t="s">
        <v>672</v>
      </c>
    </row>
    <row r="345" customFormat="false" ht="15" hidden="false" customHeight="false" outlineLevel="0" collapsed="false">
      <c r="A345" s="11" t="s">
        <v>194</v>
      </c>
      <c r="B345" s="11" t="s">
        <v>195</v>
      </c>
      <c r="C345" s="11" t="n">
        <v>2018</v>
      </c>
      <c r="D345" s="11" t="s">
        <v>18</v>
      </c>
      <c r="E345" s="17" t="n">
        <v>10629928</v>
      </c>
      <c r="F345" s="11" t="s">
        <v>98</v>
      </c>
      <c r="G345" s="11" t="s">
        <v>99</v>
      </c>
      <c r="H345" s="11" t="s">
        <v>671</v>
      </c>
      <c r="I345" s="11" t="s">
        <v>667</v>
      </c>
      <c r="J345" s="11" t="s">
        <v>672</v>
      </c>
    </row>
    <row r="346" customFormat="false" ht="15" hidden="false" customHeight="false" outlineLevel="0" collapsed="false">
      <c r="A346" s="11" t="s">
        <v>194</v>
      </c>
      <c r="B346" s="11" t="s">
        <v>195</v>
      </c>
      <c r="C346" s="11" t="n">
        <v>2019</v>
      </c>
      <c r="D346" s="11" t="s">
        <v>18</v>
      </c>
      <c r="E346" s="17" t="n">
        <v>10671870</v>
      </c>
      <c r="F346" s="11" t="s">
        <v>98</v>
      </c>
      <c r="G346" s="11" t="s">
        <v>99</v>
      </c>
      <c r="H346" s="11" t="s">
        <v>671</v>
      </c>
      <c r="I346" s="11" t="s">
        <v>667</v>
      </c>
      <c r="J346" s="11" t="s">
        <v>672</v>
      </c>
    </row>
    <row r="347" customFormat="false" ht="15" hidden="false" customHeight="false" outlineLevel="0" collapsed="false">
      <c r="A347" s="11" t="s">
        <v>194</v>
      </c>
      <c r="B347" s="11" t="s">
        <v>195</v>
      </c>
      <c r="C347" s="11" t="n">
        <v>2020</v>
      </c>
      <c r="D347" s="11" t="s">
        <v>18</v>
      </c>
      <c r="E347" s="17" t="n">
        <v>10697858</v>
      </c>
      <c r="F347" s="11" t="s">
        <v>98</v>
      </c>
      <c r="G347" s="11" t="s">
        <v>99</v>
      </c>
      <c r="H347" s="11" t="s">
        <v>671</v>
      </c>
      <c r="I347" s="11" t="s">
        <v>667</v>
      </c>
      <c r="J347" s="11" t="s">
        <v>672</v>
      </c>
    </row>
    <row r="348" customFormat="false" ht="15" hidden="false" customHeight="false" outlineLevel="0" collapsed="false">
      <c r="A348" s="11" t="s">
        <v>194</v>
      </c>
      <c r="B348" s="11" t="s">
        <v>195</v>
      </c>
      <c r="C348" s="11" t="n">
        <v>2021</v>
      </c>
      <c r="D348" s="11" t="s">
        <v>18</v>
      </c>
      <c r="E348" s="17" t="n">
        <v>10505772</v>
      </c>
      <c r="F348" s="11" t="s">
        <v>98</v>
      </c>
      <c r="G348" s="11" t="s">
        <v>99</v>
      </c>
      <c r="H348" s="11" t="s">
        <v>671</v>
      </c>
      <c r="I348" s="11" t="s">
        <v>667</v>
      </c>
      <c r="J348" s="11" t="s">
        <v>672</v>
      </c>
    </row>
    <row r="349" customFormat="false" ht="15" hidden="false" customHeight="false" outlineLevel="0" collapsed="false">
      <c r="A349" s="11" t="s">
        <v>194</v>
      </c>
      <c r="B349" s="11" t="s">
        <v>195</v>
      </c>
      <c r="C349" s="11" t="n">
        <v>2022</v>
      </c>
      <c r="D349" s="11" t="s">
        <v>18</v>
      </c>
      <c r="E349" s="17" t="n">
        <v>10672118</v>
      </c>
      <c r="F349" s="11" t="s">
        <v>98</v>
      </c>
      <c r="G349" s="11" t="s">
        <v>99</v>
      </c>
      <c r="H349" s="11" t="s">
        <v>671</v>
      </c>
      <c r="I349" s="11" t="s">
        <v>667</v>
      </c>
      <c r="J349" s="11" t="s">
        <v>672</v>
      </c>
    </row>
    <row r="350" customFormat="false" ht="15" hidden="false" customHeight="false" outlineLevel="0" collapsed="false">
      <c r="A350" s="11" t="s">
        <v>221</v>
      </c>
      <c r="B350" s="11" t="s">
        <v>222</v>
      </c>
      <c r="C350" s="11" t="n">
        <v>2010</v>
      </c>
      <c r="D350" s="11" t="s">
        <v>22</v>
      </c>
      <c r="E350" s="17" t="n">
        <v>9812263</v>
      </c>
      <c r="F350" s="11" t="s">
        <v>116</v>
      </c>
      <c r="G350" s="11" t="s">
        <v>225</v>
      </c>
      <c r="H350" s="11" t="s">
        <v>118</v>
      </c>
      <c r="I350" s="11" t="s">
        <v>667</v>
      </c>
      <c r="J350" s="11" t="s">
        <v>673</v>
      </c>
    </row>
    <row r="351" customFormat="false" ht="15" hidden="false" customHeight="false" outlineLevel="0" collapsed="false">
      <c r="A351" s="11" t="s">
        <v>221</v>
      </c>
      <c r="B351" s="11" t="s">
        <v>222</v>
      </c>
      <c r="C351" s="11" t="n">
        <v>2011</v>
      </c>
      <c r="D351" s="11" t="s">
        <v>22</v>
      </c>
      <c r="E351" s="17" t="n">
        <v>8935603</v>
      </c>
      <c r="F351" s="11" t="s">
        <v>116</v>
      </c>
      <c r="G351" s="11" t="s">
        <v>225</v>
      </c>
      <c r="H351" s="11" t="s">
        <v>200</v>
      </c>
      <c r="I351" s="11" t="s">
        <v>667</v>
      </c>
      <c r="J351" s="11" t="s">
        <v>673</v>
      </c>
    </row>
    <row r="352" customFormat="false" ht="15" hidden="false" customHeight="false" outlineLevel="0" collapsed="false">
      <c r="A352" s="11" t="s">
        <v>221</v>
      </c>
      <c r="B352" s="11" t="s">
        <v>222</v>
      </c>
      <c r="C352" s="11" t="n">
        <v>2012</v>
      </c>
      <c r="D352" s="11" t="s">
        <v>22</v>
      </c>
      <c r="E352" s="17" t="n">
        <v>9117874</v>
      </c>
      <c r="F352" s="11" t="s">
        <v>116</v>
      </c>
      <c r="G352" s="11" t="s">
        <v>225</v>
      </c>
      <c r="H352" s="11" t="s">
        <v>118</v>
      </c>
      <c r="I352" s="11" t="s">
        <v>667</v>
      </c>
      <c r="J352" s="11" t="s">
        <v>673</v>
      </c>
    </row>
    <row r="353" customFormat="false" ht="15" hidden="false" customHeight="false" outlineLevel="0" collapsed="false">
      <c r="A353" s="11" t="s">
        <v>221</v>
      </c>
      <c r="B353" s="11" t="s">
        <v>222</v>
      </c>
      <c r="C353" s="11" t="n">
        <v>2013</v>
      </c>
      <c r="D353" s="11" t="s">
        <v>22</v>
      </c>
      <c r="E353" s="17" t="n">
        <v>9456225</v>
      </c>
      <c r="F353" s="11" t="s">
        <v>116</v>
      </c>
      <c r="G353" s="11" t="s">
        <v>225</v>
      </c>
      <c r="H353" s="11" t="s">
        <v>118</v>
      </c>
      <c r="I353" s="11" t="s">
        <v>667</v>
      </c>
      <c r="J353" s="11" t="s">
        <v>673</v>
      </c>
    </row>
    <row r="354" customFormat="false" ht="15" hidden="false" customHeight="false" outlineLevel="0" collapsed="false">
      <c r="A354" s="11" t="s">
        <v>221</v>
      </c>
      <c r="B354" s="11" t="s">
        <v>222</v>
      </c>
      <c r="C354" s="11" t="n">
        <v>2014</v>
      </c>
      <c r="D354" s="11" t="s">
        <v>22</v>
      </c>
      <c r="E354" s="17" t="n">
        <v>9807877</v>
      </c>
      <c r="F354" s="11" t="s">
        <v>116</v>
      </c>
      <c r="G354" s="11" t="s">
        <v>225</v>
      </c>
      <c r="H354" s="11" t="s">
        <v>118</v>
      </c>
      <c r="I354" s="11" t="s">
        <v>667</v>
      </c>
      <c r="J354" s="11" t="s">
        <v>673</v>
      </c>
    </row>
    <row r="355" customFormat="false" ht="15" hidden="false" customHeight="false" outlineLevel="0" collapsed="false">
      <c r="A355" s="11" t="s">
        <v>221</v>
      </c>
      <c r="B355" s="11" t="s">
        <v>222</v>
      </c>
      <c r="C355" s="11" t="n">
        <v>2015</v>
      </c>
      <c r="D355" s="11" t="s">
        <v>22</v>
      </c>
      <c r="E355" s="17" t="n">
        <v>10220418</v>
      </c>
      <c r="F355" s="11" t="s">
        <v>116</v>
      </c>
      <c r="G355" s="11" t="s">
        <v>225</v>
      </c>
      <c r="H355" s="11" t="s">
        <v>118</v>
      </c>
      <c r="I355" s="11" t="s">
        <v>667</v>
      </c>
      <c r="J355" s="11" t="s">
        <v>673</v>
      </c>
    </row>
    <row r="356" customFormat="false" ht="15" hidden="false" customHeight="false" outlineLevel="0" collapsed="false">
      <c r="A356" s="11" t="s">
        <v>221</v>
      </c>
      <c r="B356" s="11" t="s">
        <v>222</v>
      </c>
      <c r="C356" s="11" t="n">
        <v>2016</v>
      </c>
      <c r="D356" s="11" t="s">
        <v>22</v>
      </c>
      <c r="E356" s="17" t="n">
        <v>10908255</v>
      </c>
      <c r="F356" s="11" t="s">
        <v>116</v>
      </c>
      <c r="G356" s="11" t="s">
        <v>225</v>
      </c>
      <c r="H356" s="11" t="s">
        <v>118</v>
      </c>
      <c r="I356" s="11" t="s">
        <v>667</v>
      </c>
      <c r="J356" s="11" t="s">
        <v>673</v>
      </c>
    </row>
    <row r="357" customFormat="false" ht="15" hidden="false" customHeight="false" outlineLevel="0" collapsed="false">
      <c r="A357" s="11" t="s">
        <v>221</v>
      </c>
      <c r="B357" s="11" t="s">
        <v>222</v>
      </c>
      <c r="C357" s="11" t="n">
        <v>2017</v>
      </c>
      <c r="D357" s="11" t="s">
        <v>22</v>
      </c>
      <c r="E357" s="17" t="n">
        <v>12105436</v>
      </c>
      <c r="F357" s="11" t="s">
        <v>116</v>
      </c>
      <c r="G357" s="11" t="s">
        <v>225</v>
      </c>
      <c r="H357" s="11" t="s">
        <v>118</v>
      </c>
      <c r="I357" s="11" t="s">
        <v>667</v>
      </c>
      <c r="J357" s="11" t="s">
        <v>673</v>
      </c>
    </row>
    <row r="358" customFormat="false" ht="15" hidden="false" customHeight="false" outlineLevel="0" collapsed="false">
      <c r="A358" s="11" t="s">
        <v>221</v>
      </c>
      <c r="B358" s="11" t="s">
        <v>222</v>
      </c>
      <c r="C358" s="11" t="n">
        <v>2018</v>
      </c>
      <c r="D358" s="11" t="s">
        <v>22</v>
      </c>
      <c r="E358" s="17" t="n">
        <v>13745843</v>
      </c>
      <c r="F358" s="11" t="s">
        <v>116</v>
      </c>
      <c r="G358" s="11" t="s">
        <v>225</v>
      </c>
      <c r="H358" s="11" t="s">
        <v>118</v>
      </c>
      <c r="I358" s="11" t="s">
        <v>667</v>
      </c>
      <c r="J358" s="11" t="s">
        <v>673</v>
      </c>
    </row>
    <row r="359" customFormat="false" ht="15" hidden="false" customHeight="false" outlineLevel="0" collapsed="false">
      <c r="A359" s="11" t="s">
        <v>221</v>
      </c>
      <c r="B359" s="11" t="s">
        <v>222</v>
      </c>
      <c r="C359" s="11" t="n">
        <v>2019</v>
      </c>
      <c r="D359" s="11" t="s">
        <v>22</v>
      </c>
      <c r="E359" s="17" t="n">
        <v>14879635</v>
      </c>
      <c r="F359" s="11" t="s">
        <v>116</v>
      </c>
      <c r="G359" s="11" t="s">
        <v>225</v>
      </c>
      <c r="H359" s="11" t="s">
        <v>118</v>
      </c>
      <c r="I359" s="11" t="s">
        <v>667</v>
      </c>
      <c r="J359" s="11" t="s">
        <v>673</v>
      </c>
    </row>
    <row r="360" customFormat="false" ht="15" hidden="false" customHeight="false" outlineLevel="0" collapsed="false">
      <c r="A360" s="11" t="s">
        <v>221</v>
      </c>
      <c r="B360" s="11" t="s">
        <v>222</v>
      </c>
      <c r="C360" s="11" t="n">
        <v>2020</v>
      </c>
      <c r="D360" s="11" t="s">
        <v>22</v>
      </c>
      <c r="E360" s="17" t="n">
        <v>15040708</v>
      </c>
      <c r="F360" s="11" t="s">
        <v>116</v>
      </c>
      <c r="G360" s="11" t="s">
        <v>225</v>
      </c>
      <c r="H360" s="11" t="s">
        <v>118</v>
      </c>
      <c r="I360" s="11" t="s">
        <v>667</v>
      </c>
      <c r="J360" s="11" t="s">
        <v>673</v>
      </c>
    </row>
    <row r="361" customFormat="false" ht="15" hidden="false" customHeight="false" outlineLevel="0" collapsed="false">
      <c r="A361" s="11" t="s">
        <v>221</v>
      </c>
      <c r="B361" s="11" t="s">
        <v>222</v>
      </c>
      <c r="C361" s="11" t="n">
        <v>2021</v>
      </c>
      <c r="D361" s="11" t="s">
        <v>22</v>
      </c>
      <c r="E361" s="17" t="n">
        <v>15162728</v>
      </c>
      <c r="F361" s="11" t="s">
        <v>116</v>
      </c>
      <c r="G361" s="11" t="s">
        <v>225</v>
      </c>
      <c r="H361" s="11" t="s">
        <v>118</v>
      </c>
      <c r="I361" s="11" t="s">
        <v>667</v>
      </c>
      <c r="J361" s="11" t="s">
        <v>673</v>
      </c>
    </row>
    <row r="362" customFormat="false" ht="15" hidden="false" customHeight="false" outlineLevel="0" collapsed="false">
      <c r="A362" s="11" t="s">
        <v>221</v>
      </c>
      <c r="B362" s="11" t="s">
        <v>222</v>
      </c>
      <c r="C362" s="11" t="n">
        <v>2022</v>
      </c>
      <c r="D362" s="11" t="s">
        <v>22</v>
      </c>
      <c r="E362" s="17" t="n">
        <v>15287650</v>
      </c>
      <c r="F362" s="11" t="s">
        <v>116</v>
      </c>
      <c r="G362" s="11" t="s">
        <v>225</v>
      </c>
      <c r="H362" s="11" t="s">
        <v>118</v>
      </c>
      <c r="I362" s="11" t="s">
        <v>667</v>
      </c>
      <c r="J362" s="11" t="s">
        <v>673</v>
      </c>
    </row>
    <row r="363" customFormat="false" ht="15" hidden="false" customHeight="false" outlineLevel="0" collapsed="false">
      <c r="A363" s="11" t="s">
        <v>221</v>
      </c>
      <c r="B363" s="11" t="s">
        <v>222</v>
      </c>
      <c r="C363" s="11" t="n">
        <v>2010</v>
      </c>
      <c r="D363" s="11" t="s">
        <v>26</v>
      </c>
      <c r="E363" s="17" t="n">
        <v>7130919</v>
      </c>
      <c r="F363" s="11" t="s">
        <v>119</v>
      </c>
      <c r="G363" s="11" t="s">
        <v>226</v>
      </c>
      <c r="H363" s="11" t="s">
        <v>121</v>
      </c>
      <c r="I363" s="11" t="s">
        <v>667</v>
      </c>
      <c r="J363" s="11" t="s">
        <v>673</v>
      </c>
    </row>
    <row r="364" customFormat="false" ht="15" hidden="false" customHeight="false" outlineLevel="0" collapsed="false">
      <c r="A364" s="11" t="s">
        <v>221</v>
      </c>
      <c r="B364" s="11" t="s">
        <v>222</v>
      </c>
      <c r="C364" s="11" t="n">
        <v>2011</v>
      </c>
      <c r="D364" s="11" t="s">
        <v>26</v>
      </c>
      <c r="E364" s="17" t="n">
        <v>6107216</v>
      </c>
      <c r="F364" s="11" t="s">
        <v>119</v>
      </c>
      <c r="G364" s="11" t="s">
        <v>226</v>
      </c>
      <c r="H364" s="11" t="s">
        <v>144</v>
      </c>
      <c r="I364" s="11" t="s">
        <v>667</v>
      </c>
      <c r="J364" s="11" t="s">
        <v>673</v>
      </c>
    </row>
    <row r="365" customFormat="false" ht="15" hidden="false" customHeight="false" outlineLevel="0" collapsed="false">
      <c r="A365" s="11" t="s">
        <v>221</v>
      </c>
      <c r="B365" s="11" t="s">
        <v>222</v>
      </c>
      <c r="C365" s="11" t="n">
        <v>2012</v>
      </c>
      <c r="D365" s="11" t="s">
        <v>26</v>
      </c>
      <c r="E365" s="17" t="n">
        <v>6342394</v>
      </c>
      <c r="F365" s="11" t="s">
        <v>119</v>
      </c>
      <c r="G365" s="11" t="s">
        <v>226</v>
      </c>
      <c r="H365" s="11" t="s">
        <v>121</v>
      </c>
      <c r="I365" s="11" t="s">
        <v>667</v>
      </c>
      <c r="J365" s="11" t="s">
        <v>673</v>
      </c>
    </row>
    <row r="366" customFormat="false" ht="15" hidden="false" customHeight="false" outlineLevel="0" collapsed="false">
      <c r="A366" s="11" t="s">
        <v>221</v>
      </c>
      <c r="B366" s="11" t="s">
        <v>222</v>
      </c>
      <c r="C366" s="11" t="n">
        <v>2013</v>
      </c>
      <c r="D366" s="11" t="s">
        <v>26</v>
      </c>
      <c r="E366" s="17" t="n">
        <v>6643699</v>
      </c>
      <c r="F366" s="11" t="s">
        <v>119</v>
      </c>
      <c r="G366" s="11" t="s">
        <v>226</v>
      </c>
      <c r="H366" s="11" t="s">
        <v>121</v>
      </c>
      <c r="I366" s="11" t="s">
        <v>667</v>
      </c>
      <c r="J366" s="11" t="s">
        <v>673</v>
      </c>
    </row>
    <row r="367" customFormat="false" ht="15" hidden="false" customHeight="false" outlineLevel="0" collapsed="false">
      <c r="A367" s="11" t="s">
        <v>221</v>
      </c>
      <c r="B367" s="11" t="s">
        <v>222</v>
      </c>
      <c r="C367" s="11" t="n">
        <v>2014</v>
      </c>
      <c r="D367" s="11" t="s">
        <v>26</v>
      </c>
      <c r="E367" s="17" t="n">
        <v>7015236</v>
      </c>
      <c r="F367" s="11" t="s">
        <v>119</v>
      </c>
      <c r="G367" s="11" t="s">
        <v>226</v>
      </c>
      <c r="H367" s="11" t="s">
        <v>121</v>
      </c>
      <c r="I367" s="11" t="s">
        <v>667</v>
      </c>
      <c r="J367" s="11" t="s">
        <v>673</v>
      </c>
    </row>
    <row r="368" customFormat="false" ht="15" hidden="false" customHeight="false" outlineLevel="0" collapsed="false">
      <c r="A368" s="11" t="s">
        <v>221</v>
      </c>
      <c r="B368" s="11" t="s">
        <v>222</v>
      </c>
      <c r="C368" s="11" t="n">
        <v>2015</v>
      </c>
      <c r="D368" s="11" t="s">
        <v>26</v>
      </c>
      <c r="E368" s="17" t="n">
        <v>7539774</v>
      </c>
      <c r="F368" s="11" t="s">
        <v>119</v>
      </c>
      <c r="G368" s="11" t="s">
        <v>226</v>
      </c>
      <c r="H368" s="11" t="s">
        <v>121</v>
      </c>
      <c r="I368" s="11" t="s">
        <v>667</v>
      </c>
      <c r="J368" s="11" t="s">
        <v>673</v>
      </c>
    </row>
    <row r="369" customFormat="false" ht="15" hidden="false" customHeight="false" outlineLevel="0" collapsed="false">
      <c r="A369" s="11" t="s">
        <v>221</v>
      </c>
      <c r="B369" s="11" t="s">
        <v>222</v>
      </c>
      <c r="C369" s="11" t="n">
        <v>2016</v>
      </c>
      <c r="D369" s="11" t="s">
        <v>26</v>
      </c>
      <c r="E369" s="17" t="n">
        <v>8651958</v>
      </c>
      <c r="F369" s="11" t="s">
        <v>119</v>
      </c>
      <c r="G369" s="11" t="s">
        <v>226</v>
      </c>
      <c r="H369" s="11" t="s">
        <v>121</v>
      </c>
      <c r="I369" s="11" t="s">
        <v>667</v>
      </c>
      <c r="J369" s="11" t="s">
        <v>673</v>
      </c>
    </row>
    <row r="370" customFormat="false" ht="15" hidden="false" customHeight="false" outlineLevel="0" collapsed="false">
      <c r="A370" s="11" t="s">
        <v>221</v>
      </c>
      <c r="B370" s="11" t="s">
        <v>222</v>
      </c>
      <c r="C370" s="11" t="n">
        <v>2017</v>
      </c>
      <c r="D370" s="11" t="s">
        <v>26</v>
      </c>
      <c r="E370" s="17" t="n">
        <v>9219989</v>
      </c>
      <c r="F370" s="11" t="s">
        <v>119</v>
      </c>
      <c r="G370" s="11" t="s">
        <v>226</v>
      </c>
      <c r="H370" s="11" t="s">
        <v>121</v>
      </c>
      <c r="I370" s="11" t="s">
        <v>667</v>
      </c>
      <c r="J370" s="11" t="s">
        <v>673</v>
      </c>
    </row>
    <row r="371" customFormat="false" ht="15" hidden="false" customHeight="false" outlineLevel="0" collapsed="false">
      <c r="A371" s="11" t="s">
        <v>221</v>
      </c>
      <c r="B371" s="11" t="s">
        <v>222</v>
      </c>
      <c r="C371" s="11" t="n">
        <v>2018</v>
      </c>
      <c r="D371" s="11" t="s">
        <v>26</v>
      </c>
      <c r="E371" s="17" t="n">
        <v>9678868</v>
      </c>
      <c r="F371" s="11" t="s">
        <v>119</v>
      </c>
      <c r="G371" s="11" t="s">
        <v>226</v>
      </c>
      <c r="H371" s="11" t="s">
        <v>121</v>
      </c>
      <c r="I371" s="11" t="s">
        <v>667</v>
      </c>
      <c r="J371" s="11" t="s">
        <v>673</v>
      </c>
    </row>
    <row r="372" customFormat="false" ht="15" hidden="false" customHeight="false" outlineLevel="0" collapsed="false">
      <c r="A372" s="11" t="s">
        <v>221</v>
      </c>
      <c r="B372" s="11" t="s">
        <v>222</v>
      </c>
      <c r="C372" s="11" t="n">
        <v>2019</v>
      </c>
      <c r="D372" s="11" t="s">
        <v>26</v>
      </c>
      <c r="E372" s="17" t="n">
        <v>10089292</v>
      </c>
      <c r="F372" s="11" t="s">
        <v>119</v>
      </c>
      <c r="G372" s="11" t="s">
        <v>226</v>
      </c>
      <c r="H372" s="11" t="s">
        <v>121</v>
      </c>
      <c r="I372" s="11" t="s">
        <v>667</v>
      </c>
      <c r="J372" s="11" t="s">
        <v>673</v>
      </c>
    </row>
    <row r="373" customFormat="false" ht="15" hidden="false" customHeight="false" outlineLevel="0" collapsed="false">
      <c r="A373" s="11" t="s">
        <v>221</v>
      </c>
      <c r="B373" s="11" t="s">
        <v>222</v>
      </c>
      <c r="C373" s="11" t="n">
        <v>2020</v>
      </c>
      <c r="D373" s="11" t="s">
        <v>26</v>
      </c>
      <c r="E373" s="17" t="n">
        <v>10398022</v>
      </c>
      <c r="F373" s="11" t="s">
        <v>119</v>
      </c>
      <c r="G373" s="11" t="s">
        <v>226</v>
      </c>
      <c r="H373" s="11" t="s">
        <v>121</v>
      </c>
      <c r="I373" s="11" t="s">
        <v>667</v>
      </c>
      <c r="J373" s="11" t="s">
        <v>673</v>
      </c>
    </row>
    <row r="374" customFormat="false" ht="15" hidden="false" customHeight="false" outlineLevel="0" collapsed="false">
      <c r="A374" s="11" t="s">
        <v>221</v>
      </c>
      <c r="B374" s="11" t="s">
        <v>222</v>
      </c>
      <c r="C374" s="11" t="n">
        <v>2021</v>
      </c>
      <c r="D374" s="11" t="s">
        <v>26</v>
      </c>
      <c r="E374" s="17" t="n">
        <v>10585053</v>
      </c>
      <c r="F374" s="11" t="s">
        <v>119</v>
      </c>
      <c r="G374" s="11" t="s">
        <v>226</v>
      </c>
      <c r="H374" s="11" t="s">
        <v>121</v>
      </c>
      <c r="I374" s="11" t="s">
        <v>667</v>
      </c>
      <c r="J374" s="11" t="s">
        <v>673</v>
      </c>
    </row>
    <row r="375" customFormat="false" ht="15" hidden="false" customHeight="false" outlineLevel="0" collapsed="false">
      <c r="A375" s="11" t="s">
        <v>221</v>
      </c>
      <c r="B375" s="11" t="s">
        <v>222</v>
      </c>
      <c r="C375" s="11" t="n">
        <v>2022</v>
      </c>
      <c r="D375" s="11" t="s">
        <v>26</v>
      </c>
      <c r="E375" s="17" t="n">
        <v>10893053</v>
      </c>
      <c r="F375" s="11" t="s">
        <v>119</v>
      </c>
      <c r="G375" s="11" t="s">
        <v>226</v>
      </c>
      <c r="H375" s="11" t="s">
        <v>121</v>
      </c>
      <c r="I375" s="11" t="s">
        <v>667</v>
      </c>
      <c r="J375" s="11" t="s">
        <v>673</v>
      </c>
    </row>
    <row r="376" customFormat="false" ht="15" hidden="false" customHeight="false" outlineLevel="0" collapsed="false">
      <c r="A376" s="11" t="s">
        <v>221</v>
      </c>
      <c r="B376" s="11" t="s">
        <v>222</v>
      </c>
      <c r="C376" s="11" t="n">
        <v>2010</v>
      </c>
      <c r="D376" s="11" t="s">
        <v>38</v>
      </c>
      <c r="E376" s="17" t="n">
        <v>50250</v>
      </c>
      <c r="F376" s="11" t="s">
        <v>123</v>
      </c>
      <c r="G376" s="11" t="s">
        <v>124</v>
      </c>
      <c r="H376" s="11" t="s">
        <v>125</v>
      </c>
      <c r="I376" s="11" t="s">
        <v>667</v>
      </c>
      <c r="J376" s="11" t="s">
        <v>674</v>
      </c>
    </row>
    <row r="377" customFormat="false" ht="15" hidden="false" customHeight="false" outlineLevel="0" collapsed="false">
      <c r="A377" s="11" t="s">
        <v>221</v>
      </c>
      <c r="B377" s="11" t="s">
        <v>222</v>
      </c>
      <c r="C377" s="11" t="n">
        <v>2011</v>
      </c>
      <c r="D377" s="11" t="s">
        <v>38</v>
      </c>
      <c r="E377" s="17" t="n">
        <v>56345</v>
      </c>
      <c r="F377" s="11" t="s">
        <v>123</v>
      </c>
      <c r="G377" s="11" t="s">
        <v>124</v>
      </c>
      <c r="H377" s="11" t="s">
        <v>125</v>
      </c>
      <c r="I377" s="11" t="s">
        <v>667</v>
      </c>
      <c r="J377" s="11" t="s">
        <v>674</v>
      </c>
    </row>
    <row r="378" customFormat="false" ht="15" hidden="false" customHeight="false" outlineLevel="0" collapsed="false">
      <c r="A378" s="11" t="s">
        <v>221</v>
      </c>
      <c r="B378" s="11" t="s">
        <v>222</v>
      </c>
      <c r="C378" s="11" t="n">
        <v>2012</v>
      </c>
      <c r="D378" s="11" t="s">
        <v>38</v>
      </c>
      <c r="E378" s="17" t="n">
        <v>64815</v>
      </c>
      <c r="F378" s="11" t="s">
        <v>123</v>
      </c>
      <c r="G378" s="11" t="s">
        <v>124</v>
      </c>
      <c r="H378" s="11" t="s">
        <v>125</v>
      </c>
      <c r="I378" s="11" t="s">
        <v>667</v>
      </c>
      <c r="J378" s="11" t="s">
        <v>674</v>
      </c>
    </row>
    <row r="379" customFormat="false" ht="15" hidden="false" customHeight="false" outlineLevel="0" collapsed="false">
      <c r="A379" s="11" t="s">
        <v>221</v>
      </c>
      <c r="B379" s="11" t="s">
        <v>222</v>
      </c>
      <c r="C379" s="11" t="n">
        <v>2013</v>
      </c>
      <c r="D379" s="11" t="s">
        <v>38</v>
      </c>
      <c r="E379" s="17" t="n">
        <v>86305</v>
      </c>
      <c r="F379" s="11" t="s">
        <v>123</v>
      </c>
      <c r="G379" s="11" t="s">
        <v>124</v>
      </c>
      <c r="H379" s="11" t="s">
        <v>125</v>
      </c>
      <c r="I379" s="11" t="s">
        <v>667</v>
      </c>
      <c r="J379" s="11" t="s">
        <v>674</v>
      </c>
    </row>
    <row r="380" customFormat="false" ht="15" hidden="false" customHeight="false" outlineLevel="0" collapsed="false">
      <c r="A380" s="11" t="s">
        <v>221</v>
      </c>
      <c r="B380" s="11" t="s">
        <v>222</v>
      </c>
      <c r="C380" s="11" t="n">
        <v>2014</v>
      </c>
      <c r="D380" s="11" t="s">
        <v>38</v>
      </c>
      <c r="E380" s="17" t="n">
        <v>128290</v>
      </c>
      <c r="F380" s="11" t="s">
        <v>123</v>
      </c>
      <c r="G380" s="11" t="s">
        <v>124</v>
      </c>
      <c r="H380" s="11" t="s">
        <v>125</v>
      </c>
      <c r="I380" s="11" t="s">
        <v>667</v>
      </c>
      <c r="J380" s="11" t="s">
        <v>674</v>
      </c>
    </row>
    <row r="381" customFormat="false" ht="15" hidden="false" customHeight="false" outlineLevel="0" collapsed="false">
      <c r="A381" s="11" t="s">
        <v>221</v>
      </c>
      <c r="B381" s="11" t="s">
        <v>222</v>
      </c>
      <c r="C381" s="11" t="n">
        <v>2015</v>
      </c>
      <c r="D381" s="11" t="s">
        <v>38</v>
      </c>
      <c r="E381" s="17" t="n">
        <v>376435</v>
      </c>
      <c r="F381" s="11" t="s">
        <v>123</v>
      </c>
      <c r="G381" s="11" t="s">
        <v>124</v>
      </c>
      <c r="H381" s="11" t="s">
        <v>125</v>
      </c>
      <c r="I381" s="11" t="s">
        <v>667</v>
      </c>
      <c r="J381" s="11" t="s">
        <v>674</v>
      </c>
    </row>
    <row r="382" customFormat="false" ht="15" hidden="false" customHeight="false" outlineLevel="0" collapsed="false">
      <c r="A382" s="11" t="s">
        <v>221</v>
      </c>
      <c r="B382" s="11" t="s">
        <v>222</v>
      </c>
      <c r="C382" s="11" t="n">
        <v>2016</v>
      </c>
      <c r="D382" s="11" t="s">
        <v>38</v>
      </c>
      <c r="E382" s="17" t="n">
        <v>370555</v>
      </c>
      <c r="F382" s="11" t="s">
        <v>123</v>
      </c>
      <c r="G382" s="11" t="s">
        <v>124</v>
      </c>
      <c r="H382" s="11" t="s">
        <v>125</v>
      </c>
      <c r="I382" s="11" t="s">
        <v>667</v>
      </c>
      <c r="J382" s="11" t="s">
        <v>674</v>
      </c>
    </row>
    <row r="383" customFormat="false" ht="15" hidden="false" customHeight="false" outlineLevel="0" collapsed="false">
      <c r="A383" s="11" t="s">
        <v>221</v>
      </c>
      <c r="B383" s="11" t="s">
        <v>222</v>
      </c>
      <c r="C383" s="11" t="n">
        <v>2017</v>
      </c>
      <c r="D383" s="11" t="s">
        <v>38</v>
      </c>
      <c r="E383" s="17" t="n">
        <v>156710</v>
      </c>
      <c r="F383" s="11" t="s">
        <v>123</v>
      </c>
      <c r="G383" s="11" t="s">
        <v>124</v>
      </c>
      <c r="H383" s="11" t="s">
        <v>125</v>
      </c>
      <c r="I383" s="11" t="s">
        <v>667</v>
      </c>
      <c r="J383" s="11" t="s">
        <v>674</v>
      </c>
    </row>
    <row r="384" customFormat="false" ht="15" hidden="false" customHeight="false" outlineLevel="0" collapsed="false">
      <c r="A384" s="11" t="s">
        <v>221</v>
      </c>
      <c r="B384" s="11" t="s">
        <v>222</v>
      </c>
      <c r="C384" s="11" t="n">
        <v>2018</v>
      </c>
      <c r="D384" s="11" t="s">
        <v>38</v>
      </c>
      <c r="E384" s="17" t="n">
        <v>134125</v>
      </c>
      <c r="F384" s="11" t="s">
        <v>123</v>
      </c>
      <c r="G384" s="11" t="s">
        <v>124</v>
      </c>
      <c r="H384" s="11" t="s">
        <v>125</v>
      </c>
      <c r="I384" s="11" t="s">
        <v>667</v>
      </c>
      <c r="J384" s="11" t="s">
        <v>674</v>
      </c>
    </row>
    <row r="385" customFormat="false" ht="15" hidden="false" customHeight="false" outlineLevel="0" collapsed="false">
      <c r="A385" s="11" t="s">
        <v>221</v>
      </c>
      <c r="B385" s="11" t="s">
        <v>222</v>
      </c>
      <c r="C385" s="11" t="n">
        <v>2019</v>
      </c>
      <c r="D385" s="11" t="s">
        <v>38</v>
      </c>
      <c r="E385" s="17" t="n">
        <v>133525</v>
      </c>
      <c r="F385" s="11" t="s">
        <v>123</v>
      </c>
      <c r="G385" s="11" t="s">
        <v>124</v>
      </c>
      <c r="H385" s="11" t="s">
        <v>125</v>
      </c>
      <c r="I385" s="11" t="s">
        <v>667</v>
      </c>
      <c r="J385" s="11" t="s">
        <v>674</v>
      </c>
    </row>
    <row r="386" customFormat="false" ht="15" hidden="false" customHeight="false" outlineLevel="0" collapsed="false">
      <c r="A386" s="11" t="s">
        <v>221</v>
      </c>
      <c r="B386" s="11" t="s">
        <v>222</v>
      </c>
      <c r="C386" s="11" t="n">
        <v>2020</v>
      </c>
      <c r="D386" s="11" t="s">
        <v>38</v>
      </c>
      <c r="E386" s="17" t="n">
        <v>117930</v>
      </c>
      <c r="F386" s="11" t="s">
        <v>123</v>
      </c>
      <c r="G386" s="11" t="s">
        <v>124</v>
      </c>
      <c r="H386" s="11" t="s">
        <v>125</v>
      </c>
      <c r="I386" s="11" t="s">
        <v>667</v>
      </c>
      <c r="J386" s="11" t="s">
        <v>674</v>
      </c>
    </row>
    <row r="387" customFormat="false" ht="15" hidden="false" customHeight="false" outlineLevel="0" collapsed="false">
      <c r="A387" s="11" t="s">
        <v>221</v>
      </c>
      <c r="B387" s="11" t="s">
        <v>222</v>
      </c>
      <c r="C387" s="11" t="n">
        <v>2021</v>
      </c>
      <c r="D387" s="11" t="s">
        <v>38</v>
      </c>
      <c r="E387" s="17" t="n">
        <v>120285</v>
      </c>
      <c r="F387" s="11" t="s">
        <v>123</v>
      </c>
      <c r="G387" s="11" t="s">
        <v>124</v>
      </c>
      <c r="H387" s="11" t="s">
        <v>125</v>
      </c>
      <c r="I387" s="11" t="s">
        <v>667</v>
      </c>
      <c r="J387" s="11" t="s">
        <v>674</v>
      </c>
    </row>
    <row r="388" customFormat="false" ht="15" hidden="false" customHeight="false" outlineLevel="0" collapsed="false">
      <c r="A388" s="11" t="s">
        <v>221</v>
      </c>
      <c r="B388" s="11" t="s">
        <v>222</v>
      </c>
      <c r="C388" s="11" t="n">
        <v>2022</v>
      </c>
      <c r="D388" s="11" t="s">
        <v>38</v>
      </c>
      <c r="E388" s="17" t="n">
        <v>198310</v>
      </c>
      <c r="F388" s="11" t="s">
        <v>123</v>
      </c>
      <c r="G388" s="11" t="s">
        <v>124</v>
      </c>
      <c r="H388" s="11" t="s">
        <v>125</v>
      </c>
      <c r="I388" s="11" t="s">
        <v>667</v>
      </c>
      <c r="J388" s="11" t="s">
        <v>674</v>
      </c>
    </row>
    <row r="389" customFormat="false" ht="15" hidden="false" customHeight="false" outlineLevel="0" collapsed="false">
      <c r="A389" s="11" t="s">
        <v>221</v>
      </c>
      <c r="B389" s="11" t="s">
        <v>222</v>
      </c>
      <c r="C389" s="11" t="n">
        <v>2014</v>
      </c>
      <c r="D389" s="11" t="s">
        <v>30</v>
      </c>
      <c r="E389" s="17" t="n">
        <v>550000</v>
      </c>
      <c r="F389" s="11" t="s">
        <v>127</v>
      </c>
      <c r="G389" s="11" t="s">
        <v>128</v>
      </c>
      <c r="H389" s="11" t="s">
        <v>227</v>
      </c>
      <c r="I389" s="11" t="s">
        <v>667</v>
      </c>
      <c r="J389" s="11" t="s">
        <v>674</v>
      </c>
    </row>
    <row r="390" customFormat="false" ht="15" hidden="false" customHeight="false" outlineLevel="0" collapsed="false">
      <c r="A390" s="11" t="s">
        <v>221</v>
      </c>
      <c r="B390" s="11" t="s">
        <v>222</v>
      </c>
      <c r="C390" s="11" t="n">
        <v>2014</v>
      </c>
      <c r="D390" s="11" t="s">
        <v>30</v>
      </c>
      <c r="E390" s="17" t="n">
        <v>350000</v>
      </c>
      <c r="F390" s="11" t="s">
        <v>599</v>
      </c>
      <c r="G390" s="11" t="s">
        <v>600</v>
      </c>
      <c r="H390" s="11" t="s">
        <v>601</v>
      </c>
      <c r="I390" s="11" t="s">
        <v>675</v>
      </c>
      <c r="J390" s="11" t="s">
        <v>674</v>
      </c>
    </row>
    <row r="391" customFormat="false" ht="15" hidden="false" customHeight="false" outlineLevel="0" collapsed="false">
      <c r="A391" s="11" t="s">
        <v>221</v>
      </c>
      <c r="B391" s="11" t="s">
        <v>222</v>
      </c>
      <c r="C391" s="11" t="n">
        <v>2015</v>
      </c>
      <c r="D391" s="11" t="s">
        <v>30</v>
      </c>
      <c r="E391" s="17" t="n">
        <v>900000</v>
      </c>
      <c r="F391" s="11" t="s">
        <v>127</v>
      </c>
      <c r="G391" s="11" t="s">
        <v>128</v>
      </c>
      <c r="H391" s="11" t="s">
        <v>228</v>
      </c>
      <c r="I391" s="11" t="s">
        <v>667</v>
      </c>
      <c r="J391" s="11" t="s">
        <v>674</v>
      </c>
    </row>
    <row r="392" customFormat="false" ht="15" hidden="false" customHeight="false" outlineLevel="0" collapsed="false">
      <c r="A392" s="11" t="s">
        <v>221</v>
      </c>
      <c r="B392" s="11" t="s">
        <v>222</v>
      </c>
      <c r="C392" s="11" t="n">
        <v>2016</v>
      </c>
      <c r="D392" s="11" t="s">
        <v>30</v>
      </c>
      <c r="E392" s="17" t="n">
        <v>1250000</v>
      </c>
      <c r="F392" s="11" t="s">
        <v>127</v>
      </c>
      <c r="G392" s="11" t="s">
        <v>128</v>
      </c>
      <c r="H392" s="11" t="s">
        <v>229</v>
      </c>
      <c r="I392" s="11" t="s">
        <v>667</v>
      </c>
      <c r="J392" s="11" t="s">
        <v>674</v>
      </c>
    </row>
    <row r="393" customFormat="false" ht="15" hidden="false" customHeight="false" outlineLevel="0" collapsed="false">
      <c r="A393" s="11" t="s">
        <v>221</v>
      </c>
      <c r="B393" s="11" t="s">
        <v>222</v>
      </c>
      <c r="C393" s="11" t="n">
        <v>2017</v>
      </c>
      <c r="D393" s="11" t="s">
        <v>30</v>
      </c>
      <c r="E393" s="17" t="n">
        <v>1100000</v>
      </c>
      <c r="F393" s="11" t="s">
        <v>127</v>
      </c>
      <c r="G393" s="11" t="s">
        <v>128</v>
      </c>
      <c r="H393" s="11" t="s">
        <v>230</v>
      </c>
      <c r="I393" s="11" t="s">
        <v>667</v>
      </c>
      <c r="J393" s="11" t="s">
        <v>674</v>
      </c>
    </row>
    <row r="394" customFormat="false" ht="15" hidden="false" customHeight="false" outlineLevel="0" collapsed="false">
      <c r="A394" s="11" t="s">
        <v>221</v>
      </c>
      <c r="B394" s="11" t="s">
        <v>222</v>
      </c>
      <c r="C394" s="11" t="n">
        <v>2010</v>
      </c>
      <c r="D394" s="11" t="s">
        <v>18</v>
      </c>
      <c r="E394" s="17" t="n">
        <v>81776930</v>
      </c>
      <c r="F394" s="11" t="s">
        <v>98</v>
      </c>
      <c r="G394" s="11" t="s">
        <v>99</v>
      </c>
      <c r="H394" s="11" t="s">
        <v>671</v>
      </c>
      <c r="I394" s="11" t="s">
        <v>667</v>
      </c>
      <c r="J394" s="11" t="s">
        <v>672</v>
      </c>
    </row>
    <row r="395" customFormat="false" ht="15" hidden="false" customHeight="false" outlineLevel="0" collapsed="false">
      <c r="A395" s="11" t="s">
        <v>221</v>
      </c>
      <c r="B395" s="11" t="s">
        <v>222</v>
      </c>
      <c r="C395" s="11" t="n">
        <v>2011</v>
      </c>
      <c r="D395" s="11" t="s">
        <v>18</v>
      </c>
      <c r="E395" s="17" t="n">
        <v>80274983</v>
      </c>
      <c r="F395" s="11" t="s">
        <v>98</v>
      </c>
      <c r="G395" s="11" t="s">
        <v>99</v>
      </c>
      <c r="H395" s="11" t="s">
        <v>671</v>
      </c>
      <c r="I395" s="11" t="s">
        <v>667</v>
      </c>
      <c r="J395" s="11" t="s">
        <v>672</v>
      </c>
    </row>
    <row r="396" customFormat="false" ht="15" hidden="false" customHeight="false" outlineLevel="0" collapsed="false">
      <c r="A396" s="11" t="s">
        <v>221</v>
      </c>
      <c r="B396" s="11" t="s">
        <v>222</v>
      </c>
      <c r="C396" s="11" t="n">
        <v>2012</v>
      </c>
      <c r="D396" s="11" t="s">
        <v>18</v>
      </c>
      <c r="E396" s="17" t="n">
        <v>80425823</v>
      </c>
      <c r="F396" s="11" t="s">
        <v>98</v>
      </c>
      <c r="G396" s="11" t="s">
        <v>99</v>
      </c>
      <c r="H396" s="11" t="s">
        <v>671</v>
      </c>
      <c r="I396" s="11" t="s">
        <v>667</v>
      </c>
      <c r="J396" s="11" t="s">
        <v>672</v>
      </c>
    </row>
    <row r="397" customFormat="false" ht="15" hidden="false" customHeight="false" outlineLevel="0" collapsed="false">
      <c r="A397" s="11" t="s">
        <v>221</v>
      </c>
      <c r="B397" s="11" t="s">
        <v>222</v>
      </c>
      <c r="C397" s="11" t="n">
        <v>2013</v>
      </c>
      <c r="D397" s="11" t="s">
        <v>18</v>
      </c>
      <c r="E397" s="17" t="n">
        <v>80645605</v>
      </c>
      <c r="F397" s="11" t="s">
        <v>98</v>
      </c>
      <c r="G397" s="11" t="s">
        <v>99</v>
      </c>
      <c r="H397" s="11" t="s">
        <v>671</v>
      </c>
      <c r="I397" s="11" t="s">
        <v>667</v>
      </c>
      <c r="J397" s="11" t="s">
        <v>672</v>
      </c>
    </row>
    <row r="398" customFormat="false" ht="15" hidden="false" customHeight="false" outlineLevel="0" collapsed="false">
      <c r="A398" s="11" t="s">
        <v>221</v>
      </c>
      <c r="B398" s="11" t="s">
        <v>222</v>
      </c>
      <c r="C398" s="11" t="n">
        <v>2014</v>
      </c>
      <c r="D398" s="11" t="s">
        <v>18</v>
      </c>
      <c r="E398" s="17" t="n">
        <v>80982500</v>
      </c>
      <c r="F398" s="11" t="s">
        <v>98</v>
      </c>
      <c r="G398" s="11" t="s">
        <v>99</v>
      </c>
      <c r="H398" s="11" t="s">
        <v>671</v>
      </c>
      <c r="I398" s="11" t="s">
        <v>667</v>
      </c>
      <c r="J398" s="11" t="s">
        <v>672</v>
      </c>
    </row>
    <row r="399" customFormat="false" ht="15" hidden="false" customHeight="false" outlineLevel="0" collapsed="false">
      <c r="A399" s="11" t="s">
        <v>221</v>
      </c>
      <c r="B399" s="11" t="s">
        <v>222</v>
      </c>
      <c r="C399" s="11" t="n">
        <v>2015</v>
      </c>
      <c r="D399" s="11" t="s">
        <v>18</v>
      </c>
      <c r="E399" s="17" t="n">
        <v>81686611</v>
      </c>
      <c r="F399" s="11" t="s">
        <v>98</v>
      </c>
      <c r="G399" s="11" t="s">
        <v>99</v>
      </c>
      <c r="H399" s="11" t="s">
        <v>671</v>
      </c>
      <c r="I399" s="11" t="s">
        <v>667</v>
      </c>
      <c r="J399" s="11" t="s">
        <v>672</v>
      </c>
    </row>
    <row r="400" customFormat="false" ht="15" hidden="false" customHeight="false" outlineLevel="0" collapsed="false">
      <c r="A400" s="11" t="s">
        <v>221</v>
      </c>
      <c r="B400" s="11" t="s">
        <v>222</v>
      </c>
      <c r="C400" s="11" t="n">
        <v>2016</v>
      </c>
      <c r="D400" s="11" t="s">
        <v>18</v>
      </c>
      <c r="E400" s="17" t="n">
        <v>82348669</v>
      </c>
      <c r="F400" s="11" t="s">
        <v>98</v>
      </c>
      <c r="G400" s="11" t="s">
        <v>99</v>
      </c>
      <c r="H400" s="11" t="s">
        <v>671</v>
      </c>
      <c r="I400" s="11" t="s">
        <v>667</v>
      </c>
      <c r="J400" s="11" t="s">
        <v>672</v>
      </c>
    </row>
    <row r="401" customFormat="false" ht="15" hidden="false" customHeight="false" outlineLevel="0" collapsed="false">
      <c r="A401" s="11" t="s">
        <v>221</v>
      </c>
      <c r="B401" s="11" t="s">
        <v>222</v>
      </c>
      <c r="C401" s="11" t="n">
        <v>2017</v>
      </c>
      <c r="D401" s="11" t="s">
        <v>18</v>
      </c>
      <c r="E401" s="17" t="n">
        <v>82657002</v>
      </c>
      <c r="F401" s="11" t="s">
        <v>98</v>
      </c>
      <c r="G401" s="11" t="s">
        <v>99</v>
      </c>
      <c r="H401" s="11" t="s">
        <v>671</v>
      </c>
      <c r="I401" s="11" t="s">
        <v>667</v>
      </c>
      <c r="J401" s="11" t="s">
        <v>672</v>
      </c>
    </row>
    <row r="402" customFormat="false" ht="15" hidden="false" customHeight="false" outlineLevel="0" collapsed="false">
      <c r="A402" s="11" t="s">
        <v>221</v>
      </c>
      <c r="B402" s="11" t="s">
        <v>222</v>
      </c>
      <c r="C402" s="11" t="n">
        <v>2018</v>
      </c>
      <c r="D402" s="11" t="s">
        <v>18</v>
      </c>
      <c r="E402" s="17" t="n">
        <v>82905782</v>
      </c>
      <c r="F402" s="11" t="s">
        <v>98</v>
      </c>
      <c r="G402" s="11" t="s">
        <v>99</v>
      </c>
      <c r="H402" s="11" t="s">
        <v>671</v>
      </c>
      <c r="I402" s="11" t="s">
        <v>667</v>
      </c>
      <c r="J402" s="11" t="s">
        <v>672</v>
      </c>
    </row>
    <row r="403" customFormat="false" ht="15" hidden="false" customHeight="false" outlineLevel="0" collapsed="false">
      <c r="A403" s="11" t="s">
        <v>221</v>
      </c>
      <c r="B403" s="11" t="s">
        <v>222</v>
      </c>
      <c r="C403" s="11" t="n">
        <v>2019</v>
      </c>
      <c r="D403" s="11" t="s">
        <v>18</v>
      </c>
      <c r="E403" s="17" t="n">
        <v>83092962</v>
      </c>
      <c r="F403" s="11" t="s">
        <v>98</v>
      </c>
      <c r="G403" s="11" t="s">
        <v>99</v>
      </c>
      <c r="H403" s="11" t="s">
        <v>671</v>
      </c>
      <c r="I403" s="11" t="s">
        <v>667</v>
      </c>
      <c r="J403" s="11" t="s">
        <v>672</v>
      </c>
    </row>
    <row r="404" customFormat="false" ht="15" hidden="false" customHeight="false" outlineLevel="0" collapsed="false">
      <c r="A404" s="11" t="s">
        <v>221</v>
      </c>
      <c r="B404" s="11" t="s">
        <v>222</v>
      </c>
      <c r="C404" s="11" t="n">
        <v>2020</v>
      </c>
      <c r="D404" s="11" t="s">
        <v>18</v>
      </c>
      <c r="E404" s="17" t="n">
        <v>83160871</v>
      </c>
      <c r="F404" s="11" t="s">
        <v>98</v>
      </c>
      <c r="G404" s="11" t="s">
        <v>99</v>
      </c>
      <c r="H404" s="11" t="s">
        <v>671</v>
      </c>
      <c r="I404" s="11" t="s">
        <v>667</v>
      </c>
      <c r="J404" s="11" t="s">
        <v>672</v>
      </c>
    </row>
    <row r="405" customFormat="false" ht="15" hidden="false" customHeight="false" outlineLevel="0" collapsed="false">
      <c r="A405" s="11" t="s">
        <v>221</v>
      </c>
      <c r="B405" s="11" t="s">
        <v>222</v>
      </c>
      <c r="C405" s="11" t="n">
        <v>2021</v>
      </c>
      <c r="D405" s="11" t="s">
        <v>18</v>
      </c>
      <c r="E405" s="17" t="n">
        <v>83196078</v>
      </c>
      <c r="F405" s="11" t="s">
        <v>98</v>
      </c>
      <c r="G405" s="11" t="s">
        <v>99</v>
      </c>
      <c r="H405" s="11" t="s">
        <v>671</v>
      </c>
      <c r="I405" s="11" t="s">
        <v>667</v>
      </c>
      <c r="J405" s="11" t="s">
        <v>672</v>
      </c>
    </row>
    <row r="406" customFormat="false" ht="15" hidden="false" customHeight="false" outlineLevel="0" collapsed="false">
      <c r="A406" s="11" t="s">
        <v>221</v>
      </c>
      <c r="B406" s="11" t="s">
        <v>222</v>
      </c>
      <c r="C406" s="11" t="n">
        <v>2022</v>
      </c>
      <c r="D406" s="11" t="s">
        <v>18</v>
      </c>
      <c r="E406" s="17" t="n">
        <v>83177813</v>
      </c>
      <c r="F406" s="11" t="s">
        <v>98</v>
      </c>
      <c r="G406" s="11" t="s">
        <v>99</v>
      </c>
      <c r="H406" s="11" t="s">
        <v>671</v>
      </c>
      <c r="I406" s="11" t="s">
        <v>667</v>
      </c>
      <c r="J406" s="11" t="s">
        <v>672</v>
      </c>
    </row>
    <row r="407" customFormat="false" ht="15" hidden="false" customHeight="false" outlineLevel="0" collapsed="false">
      <c r="A407" s="11" t="s">
        <v>201</v>
      </c>
      <c r="B407" s="11" t="s">
        <v>202</v>
      </c>
      <c r="C407" s="11" t="n">
        <v>2010</v>
      </c>
      <c r="D407" s="11" t="s">
        <v>22</v>
      </c>
      <c r="E407" s="17" t="n">
        <v>500772</v>
      </c>
      <c r="F407" s="11" t="s">
        <v>116</v>
      </c>
      <c r="G407" s="11" t="s">
        <v>205</v>
      </c>
      <c r="H407" s="11" t="s">
        <v>118</v>
      </c>
      <c r="I407" s="11" t="s">
        <v>667</v>
      </c>
      <c r="J407" s="11" t="s">
        <v>673</v>
      </c>
    </row>
    <row r="408" customFormat="false" ht="15" hidden="false" customHeight="false" outlineLevel="0" collapsed="false">
      <c r="A408" s="11" t="s">
        <v>201</v>
      </c>
      <c r="B408" s="11" t="s">
        <v>202</v>
      </c>
      <c r="C408" s="11" t="n">
        <v>2011</v>
      </c>
      <c r="D408" s="11" t="s">
        <v>22</v>
      </c>
      <c r="E408" s="17" t="n">
        <v>517230</v>
      </c>
      <c r="F408" s="11" t="s">
        <v>116</v>
      </c>
      <c r="G408" s="11" t="s">
        <v>205</v>
      </c>
      <c r="H408" s="11" t="s">
        <v>118</v>
      </c>
      <c r="I408" s="11" t="s">
        <v>667</v>
      </c>
      <c r="J408" s="11" t="s">
        <v>673</v>
      </c>
    </row>
    <row r="409" customFormat="false" ht="15" hidden="false" customHeight="false" outlineLevel="0" collapsed="false">
      <c r="A409" s="11" t="s">
        <v>201</v>
      </c>
      <c r="B409" s="11" t="s">
        <v>202</v>
      </c>
      <c r="C409" s="11" t="n">
        <v>2012</v>
      </c>
      <c r="D409" s="11" t="s">
        <v>22</v>
      </c>
      <c r="E409" s="17" t="n">
        <v>531540</v>
      </c>
      <c r="F409" s="11" t="s">
        <v>116</v>
      </c>
      <c r="G409" s="11" t="s">
        <v>205</v>
      </c>
      <c r="H409" s="11" t="s">
        <v>118</v>
      </c>
      <c r="I409" s="11" t="s">
        <v>667</v>
      </c>
      <c r="J409" s="11" t="s">
        <v>673</v>
      </c>
    </row>
    <row r="410" customFormat="false" ht="15" hidden="false" customHeight="false" outlineLevel="0" collapsed="false">
      <c r="A410" s="11" t="s">
        <v>201</v>
      </c>
      <c r="B410" s="11" t="s">
        <v>202</v>
      </c>
      <c r="C410" s="11" t="n">
        <v>2013</v>
      </c>
      <c r="D410" s="11" t="s">
        <v>22</v>
      </c>
      <c r="E410" s="17" t="n">
        <v>548411</v>
      </c>
      <c r="F410" s="11" t="s">
        <v>116</v>
      </c>
      <c r="G410" s="11" t="s">
        <v>205</v>
      </c>
      <c r="H410" s="11" t="s">
        <v>118</v>
      </c>
      <c r="I410" s="11" t="s">
        <v>667</v>
      </c>
      <c r="J410" s="11" t="s">
        <v>673</v>
      </c>
    </row>
    <row r="411" customFormat="false" ht="15" hidden="false" customHeight="false" outlineLevel="0" collapsed="false">
      <c r="A411" s="11" t="s">
        <v>201</v>
      </c>
      <c r="B411" s="11" t="s">
        <v>202</v>
      </c>
      <c r="C411" s="11" t="n">
        <v>2014</v>
      </c>
      <c r="D411" s="11" t="s">
        <v>22</v>
      </c>
      <c r="E411" s="17" t="n">
        <v>569596</v>
      </c>
      <c r="F411" s="11" t="s">
        <v>116</v>
      </c>
      <c r="G411" s="11" t="s">
        <v>205</v>
      </c>
      <c r="H411" s="11" t="s">
        <v>118</v>
      </c>
      <c r="I411" s="11" t="s">
        <v>667</v>
      </c>
      <c r="J411" s="11" t="s">
        <v>673</v>
      </c>
    </row>
    <row r="412" customFormat="false" ht="15" hidden="false" customHeight="false" outlineLevel="0" collapsed="false">
      <c r="A412" s="11" t="s">
        <v>201</v>
      </c>
      <c r="B412" s="11" t="s">
        <v>202</v>
      </c>
      <c r="C412" s="11" t="n">
        <v>2015</v>
      </c>
      <c r="D412" s="11" t="s">
        <v>22</v>
      </c>
      <c r="E412" s="17" t="n">
        <v>595876</v>
      </c>
      <c r="F412" s="11" t="s">
        <v>116</v>
      </c>
      <c r="G412" s="11" t="s">
        <v>205</v>
      </c>
      <c r="H412" s="11" t="s">
        <v>118</v>
      </c>
      <c r="I412" s="11" t="s">
        <v>667</v>
      </c>
      <c r="J412" s="11" t="s">
        <v>673</v>
      </c>
    </row>
    <row r="413" customFormat="false" ht="15" hidden="false" customHeight="false" outlineLevel="0" collapsed="false">
      <c r="A413" s="11" t="s">
        <v>201</v>
      </c>
      <c r="B413" s="11" t="s">
        <v>202</v>
      </c>
      <c r="C413" s="11" t="n">
        <v>2016</v>
      </c>
      <c r="D413" s="11" t="s">
        <v>22</v>
      </c>
      <c r="E413" s="17" t="n">
        <v>636666</v>
      </c>
      <c r="F413" s="11" t="s">
        <v>116</v>
      </c>
      <c r="G413" s="11" t="s">
        <v>205</v>
      </c>
      <c r="H413" s="11" t="s">
        <v>118</v>
      </c>
      <c r="I413" s="11" t="s">
        <v>667</v>
      </c>
      <c r="J413" s="11" t="s">
        <v>673</v>
      </c>
    </row>
    <row r="414" customFormat="false" ht="15" hidden="false" customHeight="false" outlineLevel="0" collapsed="false">
      <c r="A414" s="11" t="s">
        <v>201</v>
      </c>
      <c r="B414" s="11" t="s">
        <v>202</v>
      </c>
      <c r="C414" s="11" t="n">
        <v>2017</v>
      </c>
      <c r="D414" s="11" t="s">
        <v>22</v>
      </c>
      <c r="E414" s="17" t="n">
        <v>668090</v>
      </c>
      <c r="F414" s="11" t="s">
        <v>116</v>
      </c>
      <c r="G414" s="11" t="s">
        <v>205</v>
      </c>
      <c r="H414" s="11" t="s">
        <v>118</v>
      </c>
      <c r="I414" s="11" t="s">
        <v>667</v>
      </c>
      <c r="J414" s="11" t="s">
        <v>673</v>
      </c>
    </row>
    <row r="415" customFormat="false" ht="15" hidden="false" customHeight="false" outlineLevel="0" collapsed="false">
      <c r="A415" s="11" t="s">
        <v>201</v>
      </c>
      <c r="B415" s="11" t="s">
        <v>202</v>
      </c>
      <c r="C415" s="11" t="n">
        <v>2018</v>
      </c>
      <c r="D415" s="11" t="s">
        <v>22</v>
      </c>
      <c r="E415" s="17" t="n">
        <v>690549</v>
      </c>
      <c r="F415" s="11" t="s">
        <v>116</v>
      </c>
      <c r="G415" s="11" t="s">
        <v>205</v>
      </c>
      <c r="H415" s="11" t="s">
        <v>118</v>
      </c>
      <c r="I415" s="11" t="s">
        <v>667</v>
      </c>
      <c r="J415" s="11" t="s">
        <v>673</v>
      </c>
    </row>
    <row r="416" customFormat="false" ht="15" hidden="false" customHeight="false" outlineLevel="0" collapsed="false">
      <c r="A416" s="11" t="s">
        <v>201</v>
      </c>
      <c r="B416" s="11" t="s">
        <v>202</v>
      </c>
      <c r="C416" s="11" t="n">
        <v>2019</v>
      </c>
      <c r="D416" s="11" t="s">
        <v>22</v>
      </c>
      <c r="E416" s="17" t="n">
        <v>707880</v>
      </c>
      <c r="F416" s="11" t="s">
        <v>116</v>
      </c>
      <c r="G416" s="11" t="s">
        <v>205</v>
      </c>
      <c r="H416" s="11" t="s">
        <v>118</v>
      </c>
      <c r="I416" s="11" t="s">
        <v>667</v>
      </c>
      <c r="J416" s="11" t="s">
        <v>673</v>
      </c>
    </row>
    <row r="417" customFormat="false" ht="15" hidden="false" customHeight="false" outlineLevel="0" collapsed="false">
      <c r="A417" s="11" t="s">
        <v>201</v>
      </c>
      <c r="B417" s="11" t="s">
        <v>202</v>
      </c>
      <c r="C417" s="11" t="n">
        <v>2020</v>
      </c>
      <c r="D417" s="11" t="s">
        <v>22</v>
      </c>
      <c r="E417" s="17" t="n">
        <v>715936</v>
      </c>
      <c r="F417" s="11" t="s">
        <v>116</v>
      </c>
      <c r="G417" s="11" t="s">
        <v>205</v>
      </c>
      <c r="H417" s="11" t="s">
        <v>118</v>
      </c>
      <c r="I417" s="11" t="s">
        <v>667</v>
      </c>
      <c r="J417" s="11" t="s">
        <v>673</v>
      </c>
    </row>
    <row r="418" customFormat="false" ht="15" hidden="false" customHeight="false" outlineLevel="0" collapsed="false">
      <c r="A418" s="11" t="s">
        <v>201</v>
      </c>
      <c r="B418" s="11" t="s">
        <v>202</v>
      </c>
      <c r="C418" s="11" t="n">
        <v>2021</v>
      </c>
      <c r="D418" s="11" t="s">
        <v>22</v>
      </c>
      <c r="E418" s="17" t="n">
        <v>721135</v>
      </c>
      <c r="F418" s="11" t="s">
        <v>116</v>
      </c>
      <c r="G418" s="11" t="s">
        <v>205</v>
      </c>
      <c r="H418" s="11" t="s">
        <v>118</v>
      </c>
      <c r="I418" s="11" t="s">
        <v>667</v>
      </c>
      <c r="J418" s="11" t="s">
        <v>673</v>
      </c>
    </row>
    <row r="419" customFormat="false" ht="15" hidden="false" customHeight="false" outlineLevel="0" collapsed="false">
      <c r="A419" s="11" t="s">
        <v>201</v>
      </c>
      <c r="B419" s="11" t="s">
        <v>202</v>
      </c>
      <c r="C419" s="11" t="n">
        <v>2022</v>
      </c>
      <c r="D419" s="11" t="s">
        <v>22</v>
      </c>
      <c r="E419" s="17" t="n">
        <v>745851</v>
      </c>
      <c r="F419" s="11" t="s">
        <v>116</v>
      </c>
      <c r="G419" s="11" t="s">
        <v>205</v>
      </c>
      <c r="H419" s="11" t="s">
        <v>118</v>
      </c>
      <c r="I419" s="11" t="s">
        <v>667</v>
      </c>
      <c r="J419" s="11" t="s">
        <v>673</v>
      </c>
    </row>
    <row r="420" customFormat="false" ht="15" hidden="false" customHeight="false" outlineLevel="0" collapsed="false">
      <c r="A420" s="11" t="s">
        <v>201</v>
      </c>
      <c r="B420" s="11" t="s">
        <v>202</v>
      </c>
      <c r="C420" s="11" t="n">
        <v>2010</v>
      </c>
      <c r="D420" s="11" t="s">
        <v>26</v>
      </c>
      <c r="E420" s="17" t="n">
        <v>329797</v>
      </c>
      <c r="F420" s="11" t="s">
        <v>119</v>
      </c>
      <c r="G420" s="11" t="s">
        <v>206</v>
      </c>
      <c r="H420" s="11" t="s">
        <v>121</v>
      </c>
      <c r="I420" s="11" t="s">
        <v>667</v>
      </c>
      <c r="J420" s="11" t="s">
        <v>673</v>
      </c>
    </row>
    <row r="421" customFormat="false" ht="15" hidden="false" customHeight="false" outlineLevel="0" collapsed="false">
      <c r="A421" s="11" t="s">
        <v>201</v>
      </c>
      <c r="B421" s="11" t="s">
        <v>202</v>
      </c>
      <c r="C421" s="11" t="n">
        <v>2011</v>
      </c>
      <c r="D421" s="11" t="s">
        <v>26</v>
      </c>
      <c r="E421" s="17" t="n">
        <v>345884</v>
      </c>
      <c r="F421" s="11" t="s">
        <v>119</v>
      </c>
      <c r="G421" s="11" t="s">
        <v>206</v>
      </c>
      <c r="H421" s="11" t="s">
        <v>121</v>
      </c>
      <c r="I421" s="11" t="s">
        <v>667</v>
      </c>
      <c r="J421" s="11" t="s">
        <v>673</v>
      </c>
    </row>
    <row r="422" customFormat="false" ht="15" hidden="false" customHeight="false" outlineLevel="0" collapsed="false">
      <c r="A422" s="11" t="s">
        <v>201</v>
      </c>
      <c r="B422" s="11" t="s">
        <v>202</v>
      </c>
      <c r="C422" s="11" t="n">
        <v>2012</v>
      </c>
      <c r="D422" s="11" t="s">
        <v>26</v>
      </c>
      <c r="E422" s="17" t="n">
        <v>358714</v>
      </c>
      <c r="F422" s="11" t="s">
        <v>119</v>
      </c>
      <c r="G422" s="11" t="s">
        <v>206</v>
      </c>
      <c r="H422" s="11" t="s">
        <v>121</v>
      </c>
      <c r="I422" s="11" t="s">
        <v>667</v>
      </c>
      <c r="J422" s="11" t="s">
        <v>673</v>
      </c>
    </row>
    <row r="423" customFormat="false" ht="15" hidden="false" customHeight="false" outlineLevel="0" collapsed="false">
      <c r="A423" s="11" t="s">
        <v>201</v>
      </c>
      <c r="B423" s="11" t="s">
        <v>202</v>
      </c>
      <c r="C423" s="11" t="n">
        <v>2013</v>
      </c>
      <c r="D423" s="11" t="s">
        <v>26</v>
      </c>
      <c r="E423" s="17" t="n">
        <v>374569</v>
      </c>
      <c r="F423" s="11" t="s">
        <v>119</v>
      </c>
      <c r="G423" s="11" t="s">
        <v>206</v>
      </c>
      <c r="H423" s="11" t="s">
        <v>121</v>
      </c>
      <c r="I423" s="11" t="s">
        <v>667</v>
      </c>
      <c r="J423" s="11" t="s">
        <v>673</v>
      </c>
    </row>
    <row r="424" customFormat="false" ht="15" hidden="false" customHeight="false" outlineLevel="0" collapsed="false">
      <c r="A424" s="11" t="s">
        <v>201</v>
      </c>
      <c r="B424" s="11" t="s">
        <v>202</v>
      </c>
      <c r="C424" s="11" t="n">
        <v>2014</v>
      </c>
      <c r="D424" s="11" t="s">
        <v>26</v>
      </c>
      <c r="E424" s="17" t="n">
        <v>397221</v>
      </c>
      <c r="F424" s="11" t="s">
        <v>119</v>
      </c>
      <c r="G424" s="11" t="s">
        <v>206</v>
      </c>
      <c r="H424" s="11" t="s">
        <v>121</v>
      </c>
      <c r="I424" s="11" t="s">
        <v>667</v>
      </c>
      <c r="J424" s="11" t="s">
        <v>673</v>
      </c>
    </row>
    <row r="425" customFormat="false" ht="15" hidden="false" customHeight="false" outlineLevel="0" collapsed="false">
      <c r="A425" s="11" t="s">
        <v>201</v>
      </c>
      <c r="B425" s="11" t="s">
        <v>202</v>
      </c>
      <c r="C425" s="11" t="n">
        <v>2015</v>
      </c>
      <c r="D425" s="11" t="s">
        <v>26</v>
      </c>
      <c r="E425" s="17" t="n">
        <v>422492</v>
      </c>
      <c r="F425" s="11" t="s">
        <v>119</v>
      </c>
      <c r="G425" s="11" t="s">
        <v>206</v>
      </c>
      <c r="H425" s="11" t="s">
        <v>121</v>
      </c>
      <c r="I425" s="11" t="s">
        <v>667</v>
      </c>
      <c r="J425" s="11" t="s">
        <v>673</v>
      </c>
    </row>
    <row r="426" customFormat="false" ht="15" hidden="false" customHeight="false" outlineLevel="0" collapsed="false">
      <c r="A426" s="11" t="s">
        <v>201</v>
      </c>
      <c r="B426" s="11" t="s">
        <v>202</v>
      </c>
      <c r="C426" s="11" t="n">
        <v>2016</v>
      </c>
      <c r="D426" s="11" t="s">
        <v>26</v>
      </c>
      <c r="E426" s="17" t="n">
        <v>463088</v>
      </c>
      <c r="F426" s="11" t="s">
        <v>119</v>
      </c>
      <c r="G426" s="11" t="s">
        <v>206</v>
      </c>
      <c r="H426" s="11" t="s">
        <v>121</v>
      </c>
      <c r="I426" s="11" t="s">
        <v>667</v>
      </c>
      <c r="J426" s="11" t="s">
        <v>673</v>
      </c>
    </row>
    <row r="427" customFormat="false" ht="15" hidden="false" customHeight="false" outlineLevel="0" collapsed="false">
      <c r="A427" s="11" t="s">
        <v>201</v>
      </c>
      <c r="B427" s="11" t="s">
        <v>202</v>
      </c>
      <c r="C427" s="11" t="n">
        <v>2017</v>
      </c>
      <c r="D427" s="11" t="s">
        <v>26</v>
      </c>
      <c r="E427" s="17" t="n">
        <v>484934</v>
      </c>
      <c r="F427" s="11" t="s">
        <v>119</v>
      </c>
      <c r="G427" s="11" t="s">
        <v>206</v>
      </c>
      <c r="H427" s="11" t="s">
        <v>121</v>
      </c>
      <c r="I427" s="11" t="s">
        <v>667</v>
      </c>
      <c r="J427" s="11" t="s">
        <v>673</v>
      </c>
    </row>
    <row r="428" customFormat="false" ht="15" hidden="false" customHeight="false" outlineLevel="0" collapsed="false">
      <c r="A428" s="11" t="s">
        <v>201</v>
      </c>
      <c r="B428" s="11" t="s">
        <v>202</v>
      </c>
      <c r="C428" s="11" t="n">
        <v>2018</v>
      </c>
      <c r="D428" s="11" t="s">
        <v>26</v>
      </c>
      <c r="E428" s="17" t="n">
        <v>505934</v>
      </c>
      <c r="F428" s="11" t="s">
        <v>119</v>
      </c>
      <c r="G428" s="11" t="s">
        <v>206</v>
      </c>
      <c r="H428" s="11" t="s">
        <v>121</v>
      </c>
      <c r="I428" s="11" t="s">
        <v>667</v>
      </c>
      <c r="J428" s="11" t="s">
        <v>673</v>
      </c>
    </row>
    <row r="429" customFormat="false" ht="15" hidden="false" customHeight="false" outlineLevel="0" collapsed="false">
      <c r="A429" s="11" t="s">
        <v>201</v>
      </c>
      <c r="B429" s="11" t="s">
        <v>202</v>
      </c>
      <c r="C429" s="11" t="n">
        <v>2019</v>
      </c>
      <c r="D429" s="11" t="s">
        <v>26</v>
      </c>
      <c r="E429" s="17" t="n">
        <v>525849</v>
      </c>
      <c r="F429" s="11" t="s">
        <v>119</v>
      </c>
      <c r="G429" s="11" t="s">
        <v>206</v>
      </c>
      <c r="H429" s="11" t="s">
        <v>121</v>
      </c>
      <c r="I429" s="11" t="s">
        <v>667</v>
      </c>
      <c r="J429" s="11" t="s">
        <v>673</v>
      </c>
    </row>
    <row r="430" customFormat="false" ht="15" hidden="false" customHeight="false" outlineLevel="0" collapsed="false">
      <c r="A430" s="11" t="s">
        <v>201</v>
      </c>
      <c r="B430" s="11" t="s">
        <v>202</v>
      </c>
      <c r="C430" s="11" t="n">
        <v>2020</v>
      </c>
      <c r="D430" s="11" t="s">
        <v>26</v>
      </c>
      <c r="E430" s="17" t="n">
        <v>537071</v>
      </c>
      <c r="F430" s="11" t="s">
        <v>119</v>
      </c>
      <c r="G430" s="11" t="s">
        <v>206</v>
      </c>
      <c r="H430" s="11" t="s">
        <v>121</v>
      </c>
      <c r="I430" s="11" t="s">
        <v>667</v>
      </c>
      <c r="J430" s="11" t="s">
        <v>673</v>
      </c>
    </row>
    <row r="431" customFormat="false" ht="15" hidden="false" customHeight="false" outlineLevel="0" collapsed="false">
      <c r="A431" s="11" t="s">
        <v>201</v>
      </c>
      <c r="B431" s="11" t="s">
        <v>202</v>
      </c>
      <c r="C431" s="11" t="n">
        <v>2021</v>
      </c>
      <c r="D431" s="11" t="s">
        <v>26</v>
      </c>
      <c r="E431" s="17" t="n">
        <v>539443</v>
      </c>
      <c r="F431" s="11" t="s">
        <v>119</v>
      </c>
      <c r="G431" s="11" t="s">
        <v>206</v>
      </c>
      <c r="H431" s="11" t="s">
        <v>121</v>
      </c>
      <c r="I431" s="11" t="s">
        <v>667</v>
      </c>
      <c r="J431" s="11" t="s">
        <v>673</v>
      </c>
    </row>
    <row r="432" customFormat="false" ht="15" hidden="false" customHeight="false" outlineLevel="0" collapsed="false">
      <c r="A432" s="11" t="s">
        <v>201</v>
      </c>
      <c r="B432" s="11" t="s">
        <v>202</v>
      </c>
      <c r="C432" s="11" t="n">
        <v>2022</v>
      </c>
      <c r="D432" s="11" t="s">
        <v>26</v>
      </c>
      <c r="E432" s="17" t="n">
        <v>562205</v>
      </c>
      <c r="F432" s="11" t="s">
        <v>119</v>
      </c>
      <c r="G432" s="11" t="s">
        <v>206</v>
      </c>
      <c r="H432" s="11" t="s">
        <v>121</v>
      </c>
      <c r="I432" s="11" t="s">
        <v>667</v>
      </c>
      <c r="J432" s="11" t="s">
        <v>673</v>
      </c>
    </row>
    <row r="433" customFormat="false" ht="15" hidden="false" customHeight="false" outlineLevel="0" collapsed="false">
      <c r="A433" s="11" t="s">
        <v>201</v>
      </c>
      <c r="B433" s="11" t="s">
        <v>202</v>
      </c>
      <c r="C433" s="11" t="n">
        <v>2010</v>
      </c>
      <c r="D433" s="11" t="s">
        <v>38</v>
      </c>
      <c r="E433" s="17" t="n">
        <v>665</v>
      </c>
      <c r="F433" s="11" t="s">
        <v>123</v>
      </c>
      <c r="G433" s="11" t="s">
        <v>124</v>
      </c>
      <c r="H433" s="11" t="s">
        <v>125</v>
      </c>
      <c r="I433" s="11" t="s">
        <v>667</v>
      </c>
      <c r="J433" s="11" t="s">
        <v>674</v>
      </c>
    </row>
    <row r="434" customFormat="false" ht="15" hidden="false" customHeight="false" outlineLevel="0" collapsed="false">
      <c r="A434" s="11" t="s">
        <v>201</v>
      </c>
      <c r="B434" s="11" t="s">
        <v>202</v>
      </c>
      <c r="C434" s="11" t="n">
        <v>2011</v>
      </c>
      <c r="D434" s="11" t="s">
        <v>38</v>
      </c>
      <c r="E434" s="17" t="n">
        <v>400</v>
      </c>
      <c r="F434" s="11" t="s">
        <v>123</v>
      </c>
      <c r="G434" s="11" t="s">
        <v>124</v>
      </c>
      <c r="H434" s="11" t="s">
        <v>125</v>
      </c>
      <c r="I434" s="11" t="s">
        <v>667</v>
      </c>
      <c r="J434" s="11" t="s">
        <v>674</v>
      </c>
    </row>
    <row r="435" customFormat="false" ht="15" hidden="false" customHeight="false" outlineLevel="0" collapsed="false">
      <c r="A435" s="11" t="s">
        <v>201</v>
      </c>
      <c r="B435" s="11" t="s">
        <v>202</v>
      </c>
      <c r="C435" s="11" t="n">
        <v>2012</v>
      </c>
      <c r="D435" s="11" t="s">
        <v>38</v>
      </c>
      <c r="E435" s="17" t="n">
        <v>630</v>
      </c>
      <c r="F435" s="11" t="s">
        <v>123</v>
      </c>
      <c r="G435" s="11" t="s">
        <v>124</v>
      </c>
      <c r="H435" s="11" t="s">
        <v>125</v>
      </c>
      <c r="I435" s="11" t="s">
        <v>667</v>
      </c>
      <c r="J435" s="11" t="s">
        <v>674</v>
      </c>
    </row>
    <row r="436" customFormat="false" ht="15" hidden="false" customHeight="false" outlineLevel="0" collapsed="false">
      <c r="A436" s="11" t="s">
        <v>201</v>
      </c>
      <c r="B436" s="11" t="s">
        <v>202</v>
      </c>
      <c r="C436" s="11" t="n">
        <v>2013</v>
      </c>
      <c r="D436" s="11" t="s">
        <v>38</v>
      </c>
      <c r="E436" s="17" t="n">
        <v>395</v>
      </c>
      <c r="F436" s="11" t="s">
        <v>123</v>
      </c>
      <c r="G436" s="11" t="s">
        <v>124</v>
      </c>
      <c r="H436" s="11" t="s">
        <v>125</v>
      </c>
      <c r="I436" s="11" t="s">
        <v>667</v>
      </c>
      <c r="J436" s="11" t="s">
        <v>674</v>
      </c>
    </row>
    <row r="437" customFormat="false" ht="15" hidden="false" customHeight="false" outlineLevel="0" collapsed="false">
      <c r="A437" s="11" t="s">
        <v>201</v>
      </c>
      <c r="B437" s="11" t="s">
        <v>202</v>
      </c>
      <c r="C437" s="11" t="n">
        <v>2014</v>
      </c>
      <c r="D437" s="11" t="s">
        <v>38</v>
      </c>
      <c r="E437" s="17" t="n">
        <v>515</v>
      </c>
      <c r="F437" s="11" t="s">
        <v>123</v>
      </c>
      <c r="G437" s="11" t="s">
        <v>124</v>
      </c>
      <c r="H437" s="11" t="s">
        <v>125</v>
      </c>
      <c r="I437" s="11" t="s">
        <v>667</v>
      </c>
      <c r="J437" s="11" t="s">
        <v>674</v>
      </c>
    </row>
    <row r="438" customFormat="false" ht="15" hidden="false" customHeight="false" outlineLevel="0" collapsed="false">
      <c r="A438" s="11" t="s">
        <v>201</v>
      </c>
      <c r="B438" s="11" t="s">
        <v>202</v>
      </c>
      <c r="C438" s="11" t="n">
        <v>2015</v>
      </c>
      <c r="D438" s="11" t="s">
        <v>38</v>
      </c>
      <c r="E438" s="17" t="n">
        <v>2165</v>
      </c>
      <c r="F438" s="11" t="s">
        <v>123</v>
      </c>
      <c r="G438" s="11" t="s">
        <v>124</v>
      </c>
      <c r="H438" s="11" t="s">
        <v>125</v>
      </c>
      <c r="I438" s="11" t="s">
        <v>667</v>
      </c>
      <c r="J438" s="11" t="s">
        <v>674</v>
      </c>
    </row>
    <row r="439" customFormat="false" ht="15" hidden="false" customHeight="false" outlineLevel="0" collapsed="false">
      <c r="A439" s="11" t="s">
        <v>201</v>
      </c>
      <c r="B439" s="11" t="s">
        <v>202</v>
      </c>
      <c r="C439" s="11" t="n">
        <v>2016</v>
      </c>
      <c r="D439" s="11" t="s">
        <v>38</v>
      </c>
      <c r="E439" s="17" t="n">
        <v>1390</v>
      </c>
      <c r="F439" s="11" t="s">
        <v>123</v>
      </c>
      <c r="G439" s="11" t="s">
        <v>124</v>
      </c>
      <c r="H439" s="11" t="s">
        <v>125</v>
      </c>
      <c r="I439" s="11" t="s">
        <v>667</v>
      </c>
      <c r="J439" s="11" t="s">
        <v>674</v>
      </c>
    </row>
    <row r="440" customFormat="false" ht="15" hidden="false" customHeight="false" outlineLevel="0" collapsed="false">
      <c r="A440" s="11" t="s">
        <v>201</v>
      </c>
      <c r="B440" s="11" t="s">
        <v>202</v>
      </c>
      <c r="C440" s="11" t="n">
        <v>2017</v>
      </c>
      <c r="D440" s="11" t="s">
        <v>38</v>
      </c>
      <c r="E440" s="17" t="n">
        <v>1105</v>
      </c>
      <c r="F440" s="11" t="s">
        <v>123</v>
      </c>
      <c r="G440" s="11" t="s">
        <v>124</v>
      </c>
      <c r="H440" s="11" t="s">
        <v>125</v>
      </c>
      <c r="I440" s="11" t="s">
        <v>667</v>
      </c>
      <c r="J440" s="11" t="s">
        <v>674</v>
      </c>
    </row>
    <row r="441" customFormat="false" ht="15" hidden="false" customHeight="false" outlineLevel="0" collapsed="false">
      <c r="A441" s="11" t="s">
        <v>201</v>
      </c>
      <c r="B441" s="11" t="s">
        <v>202</v>
      </c>
      <c r="C441" s="11" t="n">
        <v>2018</v>
      </c>
      <c r="D441" s="11" t="s">
        <v>38</v>
      </c>
      <c r="E441" s="17" t="n">
        <v>1135</v>
      </c>
      <c r="F441" s="11" t="s">
        <v>123</v>
      </c>
      <c r="G441" s="11" t="s">
        <v>124</v>
      </c>
      <c r="H441" s="11" t="s">
        <v>125</v>
      </c>
      <c r="I441" s="11" t="s">
        <v>667</v>
      </c>
      <c r="J441" s="11" t="s">
        <v>674</v>
      </c>
    </row>
    <row r="442" customFormat="false" ht="15" hidden="false" customHeight="false" outlineLevel="0" collapsed="false">
      <c r="A442" s="11" t="s">
        <v>201</v>
      </c>
      <c r="B442" s="11" t="s">
        <v>202</v>
      </c>
      <c r="C442" s="11" t="n">
        <v>2019</v>
      </c>
      <c r="D442" s="11" t="s">
        <v>38</v>
      </c>
      <c r="E442" s="17" t="n">
        <v>1195</v>
      </c>
      <c r="F442" s="11" t="s">
        <v>123</v>
      </c>
      <c r="G442" s="11" t="s">
        <v>124</v>
      </c>
      <c r="H442" s="11" t="s">
        <v>125</v>
      </c>
      <c r="I442" s="11" t="s">
        <v>667</v>
      </c>
      <c r="J442" s="11" t="s">
        <v>674</v>
      </c>
    </row>
    <row r="443" customFormat="false" ht="15" hidden="false" customHeight="false" outlineLevel="0" collapsed="false">
      <c r="A443" s="11" t="s">
        <v>201</v>
      </c>
      <c r="B443" s="11" t="s">
        <v>202</v>
      </c>
      <c r="C443" s="11" t="n">
        <v>2020</v>
      </c>
      <c r="D443" s="11" t="s">
        <v>38</v>
      </c>
      <c r="E443" s="17" t="n">
        <v>490</v>
      </c>
      <c r="F443" s="11" t="s">
        <v>123</v>
      </c>
      <c r="G443" s="11" t="s">
        <v>124</v>
      </c>
      <c r="H443" s="11" t="s">
        <v>125</v>
      </c>
      <c r="I443" s="11" t="s">
        <v>667</v>
      </c>
      <c r="J443" s="11" t="s">
        <v>674</v>
      </c>
    </row>
    <row r="444" customFormat="false" ht="15" hidden="false" customHeight="false" outlineLevel="0" collapsed="false">
      <c r="A444" s="11" t="s">
        <v>201</v>
      </c>
      <c r="B444" s="11" t="s">
        <v>202</v>
      </c>
      <c r="C444" s="11" t="n">
        <v>2021</v>
      </c>
      <c r="D444" s="11" t="s">
        <v>38</v>
      </c>
      <c r="E444" s="17" t="n">
        <v>425</v>
      </c>
      <c r="F444" s="11" t="s">
        <v>123</v>
      </c>
      <c r="G444" s="11" t="s">
        <v>124</v>
      </c>
      <c r="H444" s="11" t="s">
        <v>125</v>
      </c>
      <c r="I444" s="11" t="s">
        <v>667</v>
      </c>
      <c r="J444" s="11" t="s">
        <v>674</v>
      </c>
    </row>
    <row r="445" customFormat="false" ht="15" hidden="false" customHeight="false" outlineLevel="0" collapsed="false">
      <c r="A445" s="11" t="s">
        <v>201</v>
      </c>
      <c r="B445" s="11" t="s">
        <v>202</v>
      </c>
      <c r="C445" s="11" t="n">
        <v>2022</v>
      </c>
      <c r="D445" s="11" t="s">
        <v>38</v>
      </c>
      <c r="E445" s="17" t="n">
        <v>510</v>
      </c>
      <c r="F445" s="11" t="s">
        <v>123</v>
      </c>
      <c r="G445" s="11" t="s">
        <v>124</v>
      </c>
      <c r="H445" s="11" t="s">
        <v>125</v>
      </c>
      <c r="I445" s="11" t="s">
        <v>667</v>
      </c>
      <c r="J445" s="11" t="s">
        <v>674</v>
      </c>
    </row>
    <row r="446" customFormat="false" ht="15" hidden="false" customHeight="false" outlineLevel="0" collapsed="false">
      <c r="A446" s="11" t="s">
        <v>201</v>
      </c>
      <c r="B446" s="11" t="s">
        <v>202</v>
      </c>
      <c r="C446" s="11" t="n">
        <v>2010</v>
      </c>
      <c r="D446" s="11" t="s">
        <v>18</v>
      </c>
      <c r="E446" s="17" t="n">
        <v>5547683</v>
      </c>
      <c r="F446" s="11" t="s">
        <v>98</v>
      </c>
      <c r="G446" s="11" t="s">
        <v>99</v>
      </c>
      <c r="H446" s="11" t="s">
        <v>671</v>
      </c>
      <c r="I446" s="11" t="s">
        <v>667</v>
      </c>
      <c r="J446" s="11" t="s">
        <v>672</v>
      </c>
    </row>
    <row r="447" customFormat="false" ht="15" hidden="false" customHeight="false" outlineLevel="0" collapsed="false">
      <c r="A447" s="11" t="s">
        <v>201</v>
      </c>
      <c r="B447" s="11" t="s">
        <v>202</v>
      </c>
      <c r="C447" s="11" t="n">
        <v>2011</v>
      </c>
      <c r="D447" s="11" t="s">
        <v>18</v>
      </c>
      <c r="E447" s="17" t="n">
        <v>5570572</v>
      </c>
      <c r="F447" s="11" t="s">
        <v>98</v>
      </c>
      <c r="G447" s="11" t="s">
        <v>99</v>
      </c>
      <c r="H447" s="11" t="s">
        <v>671</v>
      </c>
      <c r="I447" s="11" t="s">
        <v>667</v>
      </c>
      <c r="J447" s="11" t="s">
        <v>672</v>
      </c>
    </row>
    <row r="448" customFormat="false" ht="15" hidden="false" customHeight="false" outlineLevel="0" collapsed="false">
      <c r="A448" s="11" t="s">
        <v>201</v>
      </c>
      <c r="B448" s="11" t="s">
        <v>202</v>
      </c>
      <c r="C448" s="11" t="n">
        <v>2012</v>
      </c>
      <c r="D448" s="11" t="s">
        <v>18</v>
      </c>
      <c r="E448" s="17" t="n">
        <v>5591572</v>
      </c>
      <c r="F448" s="11" t="s">
        <v>98</v>
      </c>
      <c r="G448" s="11" t="s">
        <v>99</v>
      </c>
      <c r="H448" s="11" t="s">
        <v>671</v>
      </c>
      <c r="I448" s="11" t="s">
        <v>667</v>
      </c>
      <c r="J448" s="11" t="s">
        <v>672</v>
      </c>
    </row>
    <row r="449" customFormat="false" ht="15" hidden="false" customHeight="false" outlineLevel="0" collapsed="false">
      <c r="A449" s="11" t="s">
        <v>201</v>
      </c>
      <c r="B449" s="11" t="s">
        <v>202</v>
      </c>
      <c r="C449" s="11" t="n">
        <v>2013</v>
      </c>
      <c r="D449" s="11" t="s">
        <v>18</v>
      </c>
      <c r="E449" s="17" t="n">
        <v>5614932</v>
      </c>
      <c r="F449" s="11" t="s">
        <v>98</v>
      </c>
      <c r="G449" s="11" t="s">
        <v>99</v>
      </c>
      <c r="H449" s="11" t="s">
        <v>671</v>
      </c>
      <c r="I449" s="11" t="s">
        <v>667</v>
      </c>
      <c r="J449" s="11" t="s">
        <v>672</v>
      </c>
    </row>
    <row r="450" customFormat="false" ht="15" hidden="false" customHeight="false" outlineLevel="0" collapsed="false">
      <c r="A450" s="11" t="s">
        <v>201</v>
      </c>
      <c r="B450" s="11" t="s">
        <v>202</v>
      </c>
      <c r="C450" s="11" t="n">
        <v>2014</v>
      </c>
      <c r="D450" s="11" t="s">
        <v>18</v>
      </c>
      <c r="E450" s="17" t="n">
        <v>5643475</v>
      </c>
      <c r="F450" s="11" t="s">
        <v>98</v>
      </c>
      <c r="G450" s="11" t="s">
        <v>99</v>
      </c>
      <c r="H450" s="11" t="s">
        <v>671</v>
      </c>
      <c r="I450" s="11" t="s">
        <v>667</v>
      </c>
      <c r="J450" s="11" t="s">
        <v>672</v>
      </c>
    </row>
    <row r="451" customFormat="false" ht="15" hidden="false" customHeight="false" outlineLevel="0" collapsed="false">
      <c r="A451" s="11" t="s">
        <v>201</v>
      </c>
      <c r="B451" s="11" t="s">
        <v>202</v>
      </c>
      <c r="C451" s="11" t="n">
        <v>2015</v>
      </c>
      <c r="D451" s="11" t="s">
        <v>18</v>
      </c>
      <c r="E451" s="17" t="n">
        <v>5683483</v>
      </c>
      <c r="F451" s="11" t="s">
        <v>98</v>
      </c>
      <c r="G451" s="11" t="s">
        <v>99</v>
      </c>
      <c r="H451" s="11" t="s">
        <v>671</v>
      </c>
      <c r="I451" s="11" t="s">
        <v>667</v>
      </c>
      <c r="J451" s="11" t="s">
        <v>672</v>
      </c>
    </row>
    <row r="452" customFormat="false" ht="15" hidden="false" customHeight="false" outlineLevel="0" collapsed="false">
      <c r="A452" s="11" t="s">
        <v>201</v>
      </c>
      <c r="B452" s="11" t="s">
        <v>202</v>
      </c>
      <c r="C452" s="11" t="n">
        <v>2016</v>
      </c>
      <c r="D452" s="11" t="s">
        <v>18</v>
      </c>
      <c r="E452" s="17" t="n">
        <v>5728010</v>
      </c>
      <c r="F452" s="11" t="s">
        <v>98</v>
      </c>
      <c r="G452" s="11" t="s">
        <v>99</v>
      </c>
      <c r="H452" s="11" t="s">
        <v>671</v>
      </c>
      <c r="I452" s="11" t="s">
        <v>667</v>
      </c>
      <c r="J452" s="11" t="s">
        <v>672</v>
      </c>
    </row>
    <row r="453" customFormat="false" ht="15" hidden="false" customHeight="false" outlineLevel="0" collapsed="false">
      <c r="A453" s="11" t="s">
        <v>201</v>
      </c>
      <c r="B453" s="11" t="s">
        <v>202</v>
      </c>
      <c r="C453" s="11" t="n">
        <v>2017</v>
      </c>
      <c r="D453" s="11" t="s">
        <v>18</v>
      </c>
      <c r="E453" s="17" t="n">
        <v>5764980</v>
      </c>
      <c r="F453" s="11" t="s">
        <v>98</v>
      </c>
      <c r="G453" s="11" t="s">
        <v>99</v>
      </c>
      <c r="H453" s="11" t="s">
        <v>671</v>
      </c>
      <c r="I453" s="11" t="s">
        <v>667</v>
      </c>
      <c r="J453" s="11" t="s">
        <v>672</v>
      </c>
    </row>
    <row r="454" customFormat="false" ht="15" hidden="false" customHeight="false" outlineLevel="0" collapsed="false">
      <c r="A454" s="11" t="s">
        <v>201</v>
      </c>
      <c r="B454" s="11" t="s">
        <v>202</v>
      </c>
      <c r="C454" s="11" t="n">
        <v>2018</v>
      </c>
      <c r="D454" s="11" t="s">
        <v>18</v>
      </c>
      <c r="E454" s="17" t="n">
        <v>5793636</v>
      </c>
      <c r="F454" s="11" t="s">
        <v>98</v>
      </c>
      <c r="G454" s="11" t="s">
        <v>99</v>
      </c>
      <c r="H454" s="11" t="s">
        <v>671</v>
      </c>
      <c r="I454" s="11" t="s">
        <v>667</v>
      </c>
      <c r="J454" s="11" t="s">
        <v>672</v>
      </c>
    </row>
    <row r="455" customFormat="false" ht="15" hidden="false" customHeight="false" outlineLevel="0" collapsed="false">
      <c r="A455" s="11" t="s">
        <v>201</v>
      </c>
      <c r="B455" s="11" t="s">
        <v>202</v>
      </c>
      <c r="C455" s="11" t="n">
        <v>2019</v>
      </c>
      <c r="D455" s="11" t="s">
        <v>18</v>
      </c>
      <c r="E455" s="17" t="n">
        <v>5814422</v>
      </c>
      <c r="F455" s="11" t="s">
        <v>98</v>
      </c>
      <c r="G455" s="11" t="s">
        <v>99</v>
      </c>
      <c r="H455" s="11" t="s">
        <v>671</v>
      </c>
      <c r="I455" s="11" t="s">
        <v>667</v>
      </c>
      <c r="J455" s="11" t="s">
        <v>672</v>
      </c>
    </row>
    <row r="456" customFormat="false" ht="15" hidden="false" customHeight="false" outlineLevel="0" collapsed="false">
      <c r="A456" s="11" t="s">
        <v>201</v>
      </c>
      <c r="B456" s="11" t="s">
        <v>202</v>
      </c>
      <c r="C456" s="11" t="n">
        <v>2020</v>
      </c>
      <c r="D456" s="11" t="s">
        <v>18</v>
      </c>
      <c r="E456" s="17" t="n">
        <v>5831404</v>
      </c>
      <c r="F456" s="11" t="s">
        <v>98</v>
      </c>
      <c r="G456" s="11" t="s">
        <v>99</v>
      </c>
      <c r="H456" s="11" t="s">
        <v>671</v>
      </c>
      <c r="I456" s="11" t="s">
        <v>667</v>
      </c>
      <c r="J456" s="11" t="s">
        <v>672</v>
      </c>
    </row>
    <row r="457" customFormat="false" ht="15" hidden="false" customHeight="false" outlineLevel="0" collapsed="false">
      <c r="A457" s="11" t="s">
        <v>201</v>
      </c>
      <c r="B457" s="11" t="s">
        <v>202</v>
      </c>
      <c r="C457" s="11" t="n">
        <v>2021</v>
      </c>
      <c r="D457" s="11" t="s">
        <v>18</v>
      </c>
      <c r="E457" s="17" t="n">
        <v>5856733</v>
      </c>
      <c r="F457" s="11" t="s">
        <v>98</v>
      </c>
      <c r="G457" s="11" t="s">
        <v>99</v>
      </c>
      <c r="H457" s="11" t="s">
        <v>671</v>
      </c>
      <c r="I457" s="11" t="s">
        <v>667</v>
      </c>
      <c r="J457" s="11" t="s">
        <v>672</v>
      </c>
    </row>
    <row r="458" customFormat="false" ht="15" hidden="false" customHeight="false" outlineLevel="0" collapsed="false">
      <c r="A458" s="11" t="s">
        <v>201</v>
      </c>
      <c r="B458" s="11" t="s">
        <v>202</v>
      </c>
      <c r="C458" s="11" t="n">
        <v>2022</v>
      </c>
      <c r="D458" s="11" t="s">
        <v>18</v>
      </c>
      <c r="E458" s="17" t="n">
        <v>5903037</v>
      </c>
      <c r="F458" s="11" t="s">
        <v>98</v>
      </c>
      <c r="G458" s="11" t="s">
        <v>99</v>
      </c>
      <c r="H458" s="11" t="s">
        <v>671</v>
      </c>
      <c r="I458" s="11" t="s">
        <v>667</v>
      </c>
      <c r="J458" s="11" t="s">
        <v>672</v>
      </c>
    </row>
    <row r="459" customFormat="false" ht="15" hidden="false" customHeight="false" outlineLevel="0" collapsed="false">
      <c r="A459" s="11" t="s">
        <v>441</v>
      </c>
      <c r="B459" s="11" t="s">
        <v>442</v>
      </c>
      <c r="C459" s="11" t="n">
        <v>2010</v>
      </c>
      <c r="D459" s="11" t="s">
        <v>22</v>
      </c>
      <c r="E459" s="17" t="n">
        <v>6280062</v>
      </c>
      <c r="F459" s="11" t="s">
        <v>116</v>
      </c>
      <c r="G459" s="11" t="s">
        <v>445</v>
      </c>
      <c r="H459" s="11" t="s">
        <v>118</v>
      </c>
      <c r="I459" s="11" t="s">
        <v>667</v>
      </c>
      <c r="J459" s="11" t="s">
        <v>673</v>
      </c>
    </row>
    <row r="460" customFormat="false" ht="15" hidden="false" customHeight="false" outlineLevel="0" collapsed="false">
      <c r="A460" s="11" t="s">
        <v>441</v>
      </c>
      <c r="B460" s="11" t="s">
        <v>442</v>
      </c>
      <c r="C460" s="11" t="n">
        <v>2011</v>
      </c>
      <c r="D460" s="11" t="s">
        <v>22</v>
      </c>
      <c r="E460" s="17" t="n">
        <v>6282205</v>
      </c>
      <c r="F460" s="11" t="s">
        <v>116</v>
      </c>
      <c r="G460" s="11" t="s">
        <v>445</v>
      </c>
      <c r="H460" s="11" t="s">
        <v>118</v>
      </c>
      <c r="I460" s="11" t="s">
        <v>667</v>
      </c>
      <c r="J460" s="11" t="s">
        <v>673</v>
      </c>
    </row>
    <row r="461" customFormat="false" ht="15" hidden="false" customHeight="false" outlineLevel="0" collapsed="false">
      <c r="A461" s="11" t="s">
        <v>441</v>
      </c>
      <c r="B461" s="11" t="s">
        <v>442</v>
      </c>
      <c r="C461" s="11" t="n">
        <v>2012</v>
      </c>
      <c r="D461" s="11" t="s">
        <v>22</v>
      </c>
      <c r="E461" s="17" t="n">
        <v>6294954</v>
      </c>
      <c r="F461" s="11" t="s">
        <v>116</v>
      </c>
      <c r="G461" s="11" t="s">
        <v>445</v>
      </c>
      <c r="H461" s="11" t="s">
        <v>118</v>
      </c>
      <c r="I461" s="11" t="s">
        <v>667</v>
      </c>
      <c r="J461" s="11" t="s">
        <v>673</v>
      </c>
    </row>
    <row r="462" customFormat="false" ht="15" hidden="false" customHeight="false" outlineLevel="0" collapsed="false">
      <c r="A462" s="11" t="s">
        <v>441</v>
      </c>
      <c r="B462" s="11" t="s">
        <v>442</v>
      </c>
      <c r="C462" s="11" t="n">
        <v>2013</v>
      </c>
      <c r="D462" s="11" t="s">
        <v>22</v>
      </c>
      <c r="E462" s="17" t="n">
        <v>6165635</v>
      </c>
      <c r="F462" s="11" t="s">
        <v>116</v>
      </c>
      <c r="G462" s="11" t="s">
        <v>445</v>
      </c>
      <c r="H462" s="11" t="s">
        <v>118</v>
      </c>
      <c r="I462" s="11" t="s">
        <v>667</v>
      </c>
      <c r="J462" s="11" t="s">
        <v>673</v>
      </c>
    </row>
    <row r="463" customFormat="false" ht="15" hidden="false" customHeight="false" outlineLevel="0" collapsed="false">
      <c r="A463" s="11" t="s">
        <v>441</v>
      </c>
      <c r="B463" s="11" t="s">
        <v>442</v>
      </c>
      <c r="C463" s="11" t="n">
        <v>2014</v>
      </c>
      <c r="D463" s="11" t="s">
        <v>22</v>
      </c>
      <c r="E463" s="17" t="n">
        <v>5952770</v>
      </c>
      <c r="F463" s="11" t="s">
        <v>116</v>
      </c>
      <c r="G463" s="11" t="s">
        <v>445</v>
      </c>
      <c r="H463" s="11" t="s">
        <v>118</v>
      </c>
      <c r="I463" s="11" t="s">
        <v>667</v>
      </c>
      <c r="J463" s="11" t="s">
        <v>673</v>
      </c>
    </row>
    <row r="464" customFormat="false" ht="15" hidden="false" customHeight="false" outlineLevel="0" collapsed="false">
      <c r="A464" s="11" t="s">
        <v>441</v>
      </c>
      <c r="B464" s="11" t="s">
        <v>442</v>
      </c>
      <c r="C464" s="11" t="n">
        <v>2015</v>
      </c>
      <c r="D464" s="11" t="s">
        <v>22</v>
      </c>
      <c r="E464" s="17" t="n">
        <v>5883891</v>
      </c>
      <c r="F464" s="11" t="s">
        <v>116</v>
      </c>
      <c r="G464" s="11" t="s">
        <v>445</v>
      </c>
      <c r="H464" s="11" t="s">
        <v>118</v>
      </c>
      <c r="I464" s="11" t="s">
        <v>667</v>
      </c>
      <c r="J464" s="11" t="s">
        <v>673</v>
      </c>
    </row>
    <row r="465" customFormat="false" ht="15" hidden="false" customHeight="false" outlineLevel="0" collapsed="false">
      <c r="A465" s="11" t="s">
        <v>441</v>
      </c>
      <c r="B465" s="11" t="s">
        <v>442</v>
      </c>
      <c r="C465" s="11" t="n">
        <v>2016</v>
      </c>
      <c r="D465" s="11" t="s">
        <v>22</v>
      </c>
      <c r="E465" s="17" t="n">
        <v>5913165</v>
      </c>
      <c r="F465" s="11" t="s">
        <v>116</v>
      </c>
      <c r="G465" s="11" t="s">
        <v>445</v>
      </c>
      <c r="H465" s="11" t="s">
        <v>118</v>
      </c>
      <c r="I465" s="11" t="s">
        <v>667</v>
      </c>
      <c r="J465" s="11" t="s">
        <v>673</v>
      </c>
    </row>
    <row r="466" customFormat="false" ht="15" hidden="false" customHeight="false" outlineLevel="0" collapsed="false">
      <c r="A466" s="11" t="s">
        <v>441</v>
      </c>
      <c r="B466" s="11" t="s">
        <v>442</v>
      </c>
      <c r="C466" s="11" t="n">
        <v>2017</v>
      </c>
      <c r="D466" s="11" t="s">
        <v>22</v>
      </c>
      <c r="E466" s="17" t="n">
        <v>6014708</v>
      </c>
      <c r="F466" s="11" t="s">
        <v>116</v>
      </c>
      <c r="G466" s="11" t="s">
        <v>445</v>
      </c>
      <c r="H466" s="11" t="s">
        <v>118</v>
      </c>
      <c r="I466" s="11" t="s">
        <v>667</v>
      </c>
      <c r="J466" s="11" t="s">
        <v>673</v>
      </c>
    </row>
    <row r="467" customFormat="false" ht="15" hidden="false" customHeight="false" outlineLevel="0" collapsed="false">
      <c r="A467" s="11" t="s">
        <v>441</v>
      </c>
      <c r="B467" s="11" t="s">
        <v>442</v>
      </c>
      <c r="C467" s="11" t="n">
        <v>2018</v>
      </c>
      <c r="D467" s="11" t="s">
        <v>22</v>
      </c>
      <c r="E467" s="17" t="n">
        <v>6207509</v>
      </c>
      <c r="F467" s="11" t="s">
        <v>116</v>
      </c>
      <c r="G467" s="11" t="s">
        <v>445</v>
      </c>
      <c r="H467" s="11" t="s">
        <v>118</v>
      </c>
      <c r="I467" s="11" t="s">
        <v>667</v>
      </c>
      <c r="J467" s="11" t="s">
        <v>673</v>
      </c>
    </row>
    <row r="468" customFormat="false" ht="15" hidden="false" customHeight="false" outlineLevel="0" collapsed="false">
      <c r="A468" s="11" t="s">
        <v>441</v>
      </c>
      <c r="B468" s="11" t="s">
        <v>442</v>
      </c>
      <c r="C468" s="11" t="n">
        <v>2019</v>
      </c>
      <c r="D468" s="11" t="s">
        <v>22</v>
      </c>
      <c r="E468" s="17" t="n">
        <v>6549309</v>
      </c>
      <c r="F468" s="11" t="s">
        <v>116</v>
      </c>
      <c r="G468" s="11" t="s">
        <v>445</v>
      </c>
      <c r="H468" s="11" t="s">
        <v>118</v>
      </c>
      <c r="I468" s="11" t="s">
        <v>667</v>
      </c>
      <c r="J468" s="11" t="s">
        <v>673</v>
      </c>
    </row>
    <row r="469" customFormat="false" ht="15" hidden="false" customHeight="false" outlineLevel="0" collapsed="false">
      <c r="A469" s="11" t="s">
        <v>441</v>
      </c>
      <c r="B469" s="11" t="s">
        <v>442</v>
      </c>
      <c r="C469" s="11" t="n">
        <v>2020</v>
      </c>
      <c r="D469" s="11" t="s">
        <v>22</v>
      </c>
      <c r="E469" s="17" t="n">
        <v>7014753</v>
      </c>
      <c r="F469" s="11" t="s">
        <v>116</v>
      </c>
      <c r="G469" s="11" t="s">
        <v>445</v>
      </c>
      <c r="H469" s="11" t="s">
        <v>118</v>
      </c>
      <c r="I469" s="11" t="s">
        <v>667</v>
      </c>
      <c r="J469" s="11" t="s">
        <v>673</v>
      </c>
    </row>
    <row r="470" customFormat="false" ht="15" hidden="false" customHeight="false" outlineLevel="0" collapsed="false">
      <c r="A470" s="11" t="s">
        <v>441</v>
      </c>
      <c r="B470" s="11" t="s">
        <v>442</v>
      </c>
      <c r="C470" s="11" t="n">
        <v>2021</v>
      </c>
      <c r="D470" s="11" t="s">
        <v>22</v>
      </c>
      <c r="E470" s="17" t="n">
        <v>7254797</v>
      </c>
      <c r="F470" s="11" t="s">
        <v>116</v>
      </c>
      <c r="G470" s="11" t="s">
        <v>445</v>
      </c>
      <c r="H470" s="11" t="s">
        <v>118</v>
      </c>
      <c r="I470" s="11" t="s">
        <v>667</v>
      </c>
      <c r="J470" s="11" t="s">
        <v>673</v>
      </c>
    </row>
    <row r="471" customFormat="false" ht="15" hidden="false" customHeight="false" outlineLevel="0" collapsed="false">
      <c r="A471" s="11" t="s">
        <v>441</v>
      </c>
      <c r="B471" s="11" t="s">
        <v>442</v>
      </c>
      <c r="C471" s="11" t="n">
        <v>2022</v>
      </c>
      <c r="D471" s="11" t="s">
        <v>22</v>
      </c>
      <c r="E471" s="17" t="n">
        <v>7468144</v>
      </c>
      <c r="F471" s="11" t="s">
        <v>116</v>
      </c>
      <c r="G471" s="11" t="s">
        <v>445</v>
      </c>
      <c r="H471" s="11" t="s">
        <v>118</v>
      </c>
      <c r="I471" s="11" t="s">
        <v>667</v>
      </c>
      <c r="J471" s="11" t="s">
        <v>673</v>
      </c>
    </row>
    <row r="472" customFormat="false" ht="15" hidden="false" customHeight="false" outlineLevel="0" collapsed="false">
      <c r="A472" s="11" t="s">
        <v>441</v>
      </c>
      <c r="B472" s="11" t="s">
        <v>442</v>
      </c>
      <c r="C472" s="11" t="n">
        <v>2010</v>
      </c>
      <c r="D472" s="11" t="s">
        <v>26</v>
      </c>
      <c r="E472" s="17" t="n">
        <v>5402575</v>
      </c>
      <c r="F472" s="11" t="s">
        <v>119</v>
      </c>
      <c r="G472" s="11" t="s">
        <v>446</v>
      </c>
      <c r="H472" s="11" t="s">
        <v>121</v>
      </c>
      <c r="I472" s="11" t="s">
        <v>667</v>
      </c>
      <c r="J472" s="11" t="s">
        <v>673</v>
      </c>
    </row>
    <row r="473" customFormat="false" ht="15" hidden="false" customHeight="false" outlineLevel="0" collapsed="false">
      <c r="A473" s="11" t="s">
        <v>441</v>
      </c>
      <c r="B473" s="11" t="s">
        <v>442</v>
      </c>
      <c r="C473" s="11" t="n">
        <v>2011</v>
      </c>
      <c r="D473" s="11" t="s">
        <v>26</v>
      </c>
      <c r="E473" s="17" t="n">
        <v>5312439</v>
      </c>
      <c r="F473" s="11" t="s">
        <v>119</v>
      </c>
      <c r="G473" s="11" t="s">
        <v>446</v>
      </c>
      <c r="H473" s="11" t="s">
        <v>121</v>
      </c>
      <c r="I473" s="11" t="s">
        <v>667</v>
      </c>
      <c r="J473" s="11" t="s">
        <v>673</v>
      </c>
    </row>
    <row r="474" customFormat="false" ht="15" hidden="false" customHeight="false" outlineLevel="0" collapsed="false">
      <c r="A474" s="11" t="s">
        <v>441</v>
      </c>
      <c r="B474" s="11" t="s">
        <v>442</v>
      </c>
      <c r="C474" s="11" t="n">
        <v>2012</v>
      </c>
      <c r="D474" s="11" t="s">
        <v>26</v>
      </c>
      <c r="E474" s="17" t="n">
        <v>5236030</v>
      </c>
      <c r="F474" s="11" t="s">
        <v>119</v>
      </c>
      <c r="G474" s="11" t="s">
        <v>446</v>
      </c>
      <c r="H474" s="11" t="s">
        <v>121</v>
      </c>
      <c r="I474" s="11" t="s">
        <v>667</v>
      </c>
      <c r="J474" s="11" t="s">
        <v>673</v>
      </c>
    </row>
    <row r="475" customFormat="false" ht="15" hidden="false" customHeight="false" outlineLevel="0" collapsed="false">
      <c r="A475" s="11" t="s">
        <v>441</v>
      </c>
      <c r="B475" s="11" t="s">
        <v>442</v>
      </c>
      <c r="C475" s="11" t="n">
        <v>2013</v>
      </c>
      <c r="D475" s="11" t="s">
        <v>26</v>
      </c>
      <c r="E475" s="17" t="n">
        <v>5064584</v>
      </c>
      <c r="F475" s="11" t="s">
        <v>119</v>
      </c>
      <c r="G475" s="11" t="s">
        <v>446</v>
      </c>
      <c r="H475" s="11" t="s">
        <v>121</v>
      </c>
      <c r="I475" s="11" t="s">
        <v>667</v>
      </c>
      <c r="J475" s="11" t="s">
        <v>673</v>
      </c>
    </row>
    <row r="476" customFormat="false" ht="15" hidden="false" customHeight="false" outlineLevel="0" collapsed="false">
      <c r="A476" s="11" t="s">
        <v>441</v>
      </c>
      <c r="B476" s="11" t="s">
        <v>442</v>
      </c>
      <c r="C476" s="11" t="n">
        <v>2014</v>
      </c>
      <c r="D476" s="11" t="s">
        <v>26</v>
      </c>
      <c r="E476" s="17" t="n">
        <v>4676352</v>
      </c>
      <c r="F476" s="11" t="s">
        <v>119</v>
      </c>
      <c r="G476" s="11" t="s">
        <v>446</v>
      </c>
      <c r="H476" s="11" t="s">
        <v>121</v>
      </c>
      <c r="I476" s="11" t="s">
        <v>667</v>
      </c>
      <c r="J476" s="11" t="s">
        <v>673</v>
      </c>
    </row>
    <row r="477" customFormat="false" ht="15" hidden="false" customHeight="false" outlineLevel="0" collapsed="false">
      <c r="A477" s="11" t="s">
        <v>441</v>
      </c>
      <c r="B477" s="11" t="s">
        <v>442</v>
      </c>
      <c r="C477" s="11" t="n">
        <v>2015</v>
      </c>
      <c r="D477" s="11" t="s">
        <v>26</v>
      </c>
      <c r="E477" s="17" t="n">
        <v>4453985</v>
      </c>
      <c r="F477" s="11" t="s">
        <v>119</v>
      </c>
      <c r="G477" s="11" t="s">
        <v>446</v>
      </c>
      <c r="H477" s="11" t="s">
        <v>121</v>
      </c>
      <c r="I477" s="11" t="s">
        <v>667</v>
      </c>
      <c r="J477" s="11" t="s">
        <v>673</v>
      </c>
    </row>
    <row r="478" customFormat="false" ht="15" hidden="false" customHeight="false" outlineLevel="0" collapsed="false">
      <c r="A478" s="11" t="s">
        <v>441</v>
      </c>
      <c r="B478" s="11" t="s">
        <v>442</v>
      </c>
      <c r="C478" s="11" t="n">
        <v>2016</v>
      </c>
      <c r="D478" s="11" t="s">
        <v>26</v>
      </c>
      <c r="E478" s="17" t="n">
        <v>4419334</v>
      </c>
      <c r="F478" s="11" t="s">
        <v>119</v>
      </c>
      <c r="G478" s="11" t="s">
        <v>446</v>
      </c>
      <c r="H478" s="11" t="s">
        <v>121</v>
      </c>
      <c r="I478" s="11" t="s">
        <v>667</v>
      </c>
      <c r="J478" s="11" t="s">
        <v>673</v>
      </c>
    </row>
    <row r="479" customFormat="false" ht="15" hidden="false" customHeight="false" outlineLevel="0" collapsed="false">
      <c r="A479" s="11" t="s">
        <v>441</v>
      </c>
      <c r="B479" s="11" t="s">
        <v>442</v>
      </c>
      <c r="C479" s="11" t="n">
        <v>2017</v>
      </c>
      <c r="D479" s="11" t="s">
        <v>26</v>
      </c>
      <c r="E479" s="17" t="n">
        <v>4417653</v>
      </c>
      <c r="F479" s="11" t="s">
        <v>119</v>
      </c>
      <c r="G479" s="11" t="s">
        <v>446</v>
      </c>
      <c r="H479" s="11" t="s">
        <v>121</v>
      </c>
      <c r="I479" s="11" t="s">
        <v>667</v>
      </c>
      <c r="J479" s="11" t="s">
        <v>673</v>
      </c>
    </row>
    <row r="480" customFormat="false" ht="15" hidden="false" customHeight="false" outlineLevel="0" collapsed="false">
      <c r="A480" s="11" t="s">
        <v>441</v>
      </c>
      <c r="B480" s="11" t="s">
        <v>442</v>
      </c>
      <c r="C480" s="11" t="n">
        <v>2018</v>
      </c>
      <c r="D480" s="11" t="s">
        <v>26</v>
      </c>
      <c r="E480" s="17" t="n">
        <v>4577322</v>
      </c>
      <c r="F480" s="11" t="s">
        <v>119</v>
      </c>
      <c r="G480" s="11" t="s">
        <v>446</v>
      </c>
      <c r="H480" s="11" t="s">
        <v>121</v>
      </c>
      <c r="I480" s="11" t="s">
        <v>667</v>
      </c>
      <c r="J480" s="11" t="s">
        <v>673</v>
      </c>
    </row>
    <row r="481" customFormat="false" ht="15" hidden="false" customHeight="false" outlineLevel="0" collapsed="false">
      <c r="A481" s="11" t="s">
        <v>441</v>
      </c>
      <c r="B481" s="11" t="s">
        <v>442</v>
      </c>
      <c r="C481" s="11" t="n">
        <v>2019</v>
      </c>
      <c r="D481" s="11" t="s">
        <v>26</v>
      </c>
      <c r="E481" s="17" t="n">
        <v>4850762</v>
      </c>
      <c r="F481" s="11" t="s">
        <v>119</v>
      </c>
      <c r="G481" s="11" t="s">
        <v>446</v>
      </c>
      <c r="H481" s="11" t="s">
        <v>121</v>
      </c>
      <c r="I481" s="11" t="s">
        <v>667</v>
      </c>
      <c r="J481" s="11" t="s">
        <v>673</v>
      </c>
    </row>
    <row r="482" customFormat="false" ht="15" hidden="false" customHeight="false" outlineLevel="0" collapsed="false">
      <c r="A482" s="11" t="s">
        <v>441</v>
      </c>
      <c r="B482" s="11" t="s">
        <v>442</v>
      </c>
      <c r="C482" s="11" t="n">
        <v>2020</v>
      </c>
      <c r="D482" s="11" t="s">
        <v>26</v>
      </c>
      <c r="E482" s="17" t="n">
        <v>5241278</v>
      </c>
      <c r="F482" s="11" t="s">
        <v>119</v>
      </c>
      <c r="G482" s="11" t="s">
        <v>446</v>
      </c>
      <c r="H482" s="11" t="s">
        <v>121</v>
      </c>
      <c r="I482" s="11" t="s">
        <v>667</v>
      </c>
      <c r="J482" s="11" t="s">
        <v>673</v>
      </c>
    </row>
    <row r="483" customFormat="false" ht="15" hidden="false" customHeight="false" outlineLevel="0" collapsed="false">
      <c r="A483" s="11" t="s">
        <v>441</v>
      </c>
      <c r="B483" s="11" t="s">
        <v>442</v>
      </c>
      <c r="C483" s="11" t="n">
        <v>2021</v>
      </c>
      <c r="D483" s="11" t="s">
        <v>26</v>
      </c>
      <c r="E483" s="17" t="n">
        <v>5402702</v>
      </c>
      <c r="F483" s="11" t="s">
        <v>119</v>
      </c>
      <c r="G483" s="11" t="s">
        <v>446</v>
      </c>
      <c r="H483" s="11" t="s">
        <v>121</v>
      </c>
      <c r="I483" s="11" t="s">
        <v>667</v>
      </c>
      <c r="J483" s="11" t="s">
        <v>673</v>
      </c>
    </row>
    <row r="484" customFormat="false" ht="15" hidden="false" customHeight="false" outlineLevel="0" collapsed="false">
      <c r="A484" s="11" t="s">
        <v>441</v>
      </c>
      <c r="B484" s="11" t="s">
        <v>442</v>
      </c>
      <c r="C484" s="11" t="n">
        <v>2022</v>
      </c>
      <c r="D484" s="11" t="s">
        <v>26</v>
      </c>
      <c r="E484" s="17" t="n">
        <v>5509134</v>
      </c>
      <c r="F484" s="11" t="s">
        <v>119</v>
      </c>
      <c r="G484" s="11" t="s">
        <v>446</v>
      </c>
      <c r="H484" s="11" t="s">
        <v>121</v>
      </c>
      <c r="I484" s="11" t="s">
        <v>667</v>
      </c>
      <c r="J484" s="11" t="s">
        <v>673</v>
      </c>
    </row>
    <row r="485" customFormat="false" ht="15" hidden="false" customHeight="false" outlineLevel="0" collapsed="false">
      <c r="A485" s="11" t="s">
        <v>441</v>
      </c>
      <c r="B485" s="11" t="s">
        <v>442</v>
      </c>
      <c r="C485" s="11" t="n">
        <v>2010</v>
      </c>
      <c r="D485" s="11" t="s">
        <v>38</v>
      </c>
      <c r="E485" s="17" t="n">
        <v>70315</v>
      </c>
      <c r="F485" s="11" t="s">
        <v>123</v>
      </c>
      <c r="G485" s="11" t="s">
        <v>124</v>
      </c>
      <c r="H485" s="11" t="s">
        <v>125</v>
      </c>
      <c r="I485" s="11" t="s">
        <v>667</v>
      </c>
      <c r="J485" s="11" t="s">
        <v>674</v>
      </c>
    </row>
    <row r="486" customFormat="false" ht="15" hidden="false" customHeight="false" outlineLevel="0" collapsed="false">
      <c r="A486" s="11" t="s">
        <v>441</v>
      </c>
      <c r="B486" s="11" t="s">
        <v>442</v>
      </c>
      <c r="C486" s="11" t="n">
        <v>2011</v>
      </c>
      <c r="D486" s="11" t="s">
        <v>38</v>
      </c>
      <c r="E486" s="17" t="n">
        <v>68825</v>
      </c>
      <c r="F486" s="11" t="s">
        <v>123</v>
      </c>
      <c r="G486" s="11" t="s">
        <v>124</v>
      </c>
      <c r="H486" s="11" t="s">
        <v>125</v>
      </c>
      <c r="I486" s="11" t="s">
        <v>667</v>
      </c>
      <c r="J486" s="11" t="s">
        <v>674</v>
      </c>
    </row>
    <row r="487" customFormat="false" ht="15" hidden="false" customHeight="false" outlineLevel="0" collapsed="false">
      <c r="A487" s="11" t="s">
        <v>441</v>
      </c>
      <c r="B487" s="11" t="s">
        <v>442</v>
      </c>
      <c r="C487" s="11" t="n">
        <v>2012</v>
      </c>
      <c r="D487" s="11" t="s">
        <v>38</v>
      </c>
      <c r="E487" s="17" t="n">
        <v>52485</v>
      </c>
      <c r="F487" s="11" t="s">
        <v>123</v>
      </c>
      <c r="G487" s="11" t="s">
        <v>124</v>
      </c>
      <c r="H487" s="11" t="s">
        <v>125</v>
      </c>
      <c r="I487" s="11" t="s">
        <v>667</v>
      </c>
      <c r="J487" s="11" t="s">
        <v>674</v>
      </c>
    </row>
    <row r="488" customFormat="false" ht="15" hidden="false" customHeight="false" outlineLevel="0" collapsed="false">
      <c r="A488" s="11" t="s">
        <v>441</v>
      </c>
      <c r="B488" s="11" t="s">
        <v>442</v>
      </c>
      <c r="C488" s="11" t="n">
        <v>2013</v>
      </c>
      <c r="D488" s="11" t="s">
        <v>38</v>
      </c>
      <c r="E488" s="17" t="n">
        <v>46195</v>
      </c>
      <c r="F488" s="11" t="s">
        <v>123</v>
      </c>
      <c r="G488" s="11" t="s">
        <v>124</v>
      </c>
      <c r="H488" s="11" t="s">
        <v>125</v>
      </c>
      <c r="I488" s="11" t="s">
        <v>667</v>
      </c>
      <c r="J488" s="11" t="s">
        <v>674</v>
      </c>
    </row>
    <row r="489" customFormat="false" ht="15" hidden="false" customHeight="false" outlineLevel="0" collapsed="false">
      <c r="A489" s="11" t="s">
        <v>441</v>
      </c>
      <c r="B489" s="11" t="s">
        <v>442</v>
      </c>
      <c r="C489" s="11" t="n">
        <v>2014</v>
      </c>
      <c r="D489" s="11" t="s">
        <v>38</v>
      </c>
      <c r="E489" s="17" t="n">
        <v>47885</v>
      </c>
      <c r="F489" s="11" t="s">
        <v>123</v>
      </c>
      <c r="G489" s="11" t="s">
        <v>124</v>
      </c>
      <c r="H489" s="11" t="s">
        <v>125</v>
      </c>
      <c r="I489" s="11" t="s">
        <v>667</v>
      </c>
      <c r="J489" s="11" t="s">
        <v>674</v>
      </c>
    </row>
    <row r="490" customFormat="false" ht="15" hidden="false" customHeight="false" outlineLevel="0" collapsed="false">
      <c r="A490" s="11" t="s">
        <v>441</v>
      </c>
      <c r="B490" s="11" t="s">
        <v>442</v>
      </c>
      <c r="C490" s="11" t="n">
        <v>2015</v>
      </c>
      <c r="D490" s="11" t="s">
        <v>38</v>
      </c>
      <c r="E490" s="17" t="n">
        <v>42605</v>
      </c>
      <c r="F490" s="11" t="s">
        <v>123</v>
      </c>
      <c r="G490" s="11" t="s">
        <v>124</v>
      </c>
      <c r="H490" s="11" t="s">
        <v>125</v>
      </c>
      <c r="I490" s="11" t="s">
        <v>667</v>
      </c>
      <c r="J490" s="11" t="s">
        <v>674</v>
      </c>
    </row>
    <row r="491" customFormat="false" ht="15" hidden="false" customHeight="false" outlineLevel="0" collapsed="false">
      <c r="A491" s="11" t="s">
        <v>441</v>
      </c>
      <c r="B491" s="11" t="s">
        <v>442</v>
      </c>
      <c r="C491" s="11" t="n">
        <v>2016</v>
      </c>
      <c r="D491" s="11" t="s">
        <v>38</v>
      </c>
      <c r="E491" s="17" t="n">
        <v>37295</v>
      </c>
      <c r="F491" s="11" t="s">
        <v>123</v>
      </c>
      <c r="G491" s="11" t="s">
        <v>124</v>
      </c>
      <c r="H491" s="11" t="s">
        <v>125</v>
      </c>
      <c r="I491" s="11" t="s">
        <v>667</v>
      </c>
      <c r="J491" s="11" t="s">
        <v>674</v>
      </c>
    </row>
    <row r="492" customFormat="false" ht="15" hidden="false" customHeight="false" outlineLevel="0" collapsed="false">
      <c r="A492" s="11" t="s">
        <v>441</v>
      </c>
      <c r="B492" s="11" t="s">
        <v>442</v>
      </c>
      <c r="C492" s="11" t="n">
        <v>2017</v>
      </c>
      <c r="D492" s="11" t="s">
        <v>38</v>
      </c>
      <c r="E492" s="17" t="n">
        <v>44625</v>
      </c>
      <c r="F492" s="11" t="s">
        <v>123</v>
      </c>
      <c r="G492" s="11" t="s">
        <v>124</v>
      </c>
      <c r="H492" s="11" t="s">
        <v>125</v>
      </c>
      <c r="I492" s="11" t="s">
        <v>667</v>
      </c>
      <c r="J492" s="11" t="s">
        <v>674</v>
      </c>
    </row>
    <row r="493" customFormat="false" ht="15" hidden="false" customHeight="false" outlineLevel="0" collapsed="false">
      <c r="A493" s="11" t="s">
        <v>441</v>
      </c>
      <c r="B493" s="11" t="s">
        <v>442</v>
      </c>
      <c r="C493" s="11" t="n">
        <v>2018</v>
      </c>
      <c r="D493" s="11" t="s">
        <v>38</v>
      </c>
      <c r="E493" s="17" t="n">
        <v>78280</v>
      </c>
      <c r="F493" s="11" t="s">
        <v>123</v>
      </c>
      <c r="G493" s="11" t="s">
        <v>124</v>
      </c>
      <c r="H493" s="11" t="s">
        <v>125</v>
      </c>
      <c r="I493" s="11" t="s">
        <v>667</v>
      </c>
      <c r="J493" s="11" t="s">
        <v>674</v>
      </c>
    </row>
    <row r="494" customFormat="false" ht="15" hidden="false" customHeight="false" outlineLevel="0" collapsed="false">
      <c r="A494" s="11" t="s">
        <v>441</v>
      </c>
      <c r="B494" s="11" t="s">
        <v>442</v>
      </c>
      <c r="C494" s="11" t="n">
        <v>2019</v>
      </c>
      <c r="D494" s="11" t="s">
        <v>38</v>
      </c>
      <c r="E494" s="17" t="n">
        <v>62865</v>
      </c>
      <c r="F494" s="11" t="s">
        <v>123</v>
      </c>
      <c r="G494" s="11" t="s">
        <v>124</v>
      </c>
      <c r="H494" s="11" t="s">
        <v>125</v>
      </c>
      <c r="I494" s="11" t="s">
        <v>667</v>
      </c>
      <c r="J494" s="11" t="s">
        <v>674</v>
      </c>
    </row>
    <row r="495" customFormat="false" ht="15" hidden="false" customHeight="false" outlineLevel="0" collapsed="false">
      <c r="A495" s="11" t="s">
        <v>441</v>
      </c>
      <c r="B495" s="11" t="s">
        <v>442</v>
      </c>
      <c r="C495" s="11" t="n">
        <v>2020</v>
      </c>
      <c r="D495" s="11" t="s">
        <v>38</v>
      </c>
      <c r="E495" s="17" t="n">
        <v>72265</v>
      </c>
      <c r="F495" s="11" t="s">
        <v>123</v>
      </c>
      <c r="G495" s="11" t="s">
        <v>124</v>
      </c>
      <c r="H495" s="11" t="s">
        <v>125</v>
      </c>
      <c r="I495" s="11" t="s">
        <v>667</v>
      </c>
      <c r="J495" s="11" t="s">
        <v>674</v>
      </c>
    </row>
    <row r="496" customFormat="false" ht="15" hidden="false" customHeight="false" outlineLevel="0" collapsed="false">
      <c r="A496" s="11" t="s">
        <v>441</v>
      </c>
      <c r="B496" s="11" t="s">
        <v>442</v>
      </c>
      <c r="C496" s="11" t="n">
        <v>2021</v>
      </c>
      <c r="D496" s="11" t="s">
        <v>38</v>
      </c>
      <c r="E496" s="17" t="n">
        <v>30615</v>
      </c>
      <c r="F496" s="11" t="s">
        <v>123</v>
      </c>
      <c r="G496" s="11" t="s">
        <v>124</v>
      </c>
      <c r="H496" s="11" t="s">
        <v>125</v>
      </c>
      <c r="I496" s="11" t="s">
        <v>667</v>
      </c>
      <c r="J496" s="11" t="s">
        <v>674</v>
      </c>
    </row>
    <row r="497" customFormat="false" ht="15" hidden="false" customHeight="false" outlineLevel="0" collapsed="false">
      <c r="A497" s="11" t="s">
        <v>441</v>
      </c>
      <c r="B497" s="11" t="s">
        <v>442</v>
      </c>
      <c r="C497" s="11" t="n">
        <v>2022</v>
      </c>
      <c r="D497" s="11" t="s">
        <v>38</v>
      </c>
      <c r="E497" s="17" t="n">
        <v>68100</v>
      </c>
      <c r="F497" s="11" t="s">
        <v>123</v>
      </c>
      <c r="G497" s="11" t="s">
        <v>124</v>
      </c>
      <c r="H497" s="11" t="s">
        <v>125</v>
      </c>
      <c r="I497" s="11" t="s">
        <v>667</v>
      </c>
      <c r="J497" s="11" t="s">
        <v>674</v>
      </c>
    </row>
    <row r="498" customFormat="false" ht="15" hidden="false" customHeight="false" outlineLevel="0" collapsed="false">
      <c r="A498" s="11" t="s">
        <v>441</v>
      </c>
      <c r="B498" s="11" t="s">
        <v>442</v>
      </c>
      <c r="C498" s="11" t="n">
        <v>2017</v>
      </c>
      <c r="D498" s="11" t="s">
        <v>30</v>
      </c>
      <c r="E498" s="17" t="n">
        <v>150000</v>
      </c>
      <c r="F498" s="11" t="s">
        <v>127</v>
      </c>
      <c r="G498" s="11" t="s">
        <v>128</v>
      </c>
      <c r="H498" s="11" t="s">
        <v>129</v>
      </c>
      <c r="I498" s="11" t="s">
        <v>675</v>
      </c>
      <c r="J498" s="11" t="s">
        <v>674</v>
      </c>
    </row>
    <row r="499" customFormat="false" ht="15" hidden="false" customHeight="false" outlineLevel="0" collapsed="false">
      <c r="A499" s="11" t="s">
        <v>441</v>
      </c>
      <c r="B499" s="11" t="s">
        <v>442</v>
      </c>
      <c r="C499" s="11" t="n">
        <v>2017</v>
      </c>
      <c r="D499" s="11" t="s">
        <v>30</v>
      </c>
      <c r="E499" s="17" t="n">
        <v>127066</v>
      </c>
      <c r="F499" s="11" t="s">
        <v>447</v>
      </c>
      <c r="G499" s="11" t="s">
        <v>448</v>
      </c>
      <c r="H499" s="11" t="s">
        <v>449</v>
      </c>
      <c r="I499" s="11" t="s">
        <v>667</v>
      </c>
      <c r="J499" s="11" t="s">
        <v>677</v>
      </c>
    </row>
    <row r="500" customFormat="false" ht="15" hidden="false" customHeight="false" outlineLevel="0" collapsed="false">
      <c r="A500" s="11" t="s">
        <v>441</v>
      </c>
      <c r="B500" s="11" t="s">
        <v>442</v>
      </c>
      <c r="C500" s="11" t="n">
        <v>2018</v>
      </c>
      <c r="D500" s="11" t="s">
        <v>30</v>
      </c>
      <c r="E500" s="17" t="n">
        <v>183384</v>
      </c>
      <c r="F500" s="11" t="s">
        <v>447</v>
      </c>
      <c r="G500" s="11" t="s">
        <v>448</v>
      </c>
      <c r="H500" s="11" t="s">
        <v>450</v>
      </c>
      <c r="I500" s="11" t="s">
        <v>667</v>
      </c>
      <c r="J500" s="11" t="s">
        <v>677</v>
      </c>
    </row>
    <row r="501" customFormat="false" ht="15" hidden="false" customHeight="false" outlineLevel="0" collapsed="false">
      <c r="A501" s="11" t="s">
        <v>441</v>
      </c>
      <c r="B501" s="11" t="s">
        <v>442</v>
      </c>
      <c r="C501" s="11" t="n">
        <v>2018</v>
      </c>
      <c r="D501" s="11" t="s">
        <v>30</v>
      </c>
      <c r="E501" s="17" t="n">
        <v>22948</v>
      </c>
      <c r="F501" s="11" t="s">
        <v>602</v>
      </c>
      <c r="G501" s="11" t="s">
        <v>448</v>
      </c>
      <c r="H501" s="11" t="s">
        <v>603</v>
      </c>
      <c r="I501" s="11" t="s">
        <v>675</v>
      </c>
      <c r="J501" s="11" t="s">
        <v>677</v>
      </c>
    </row>
    <row r="502" customFormat="false" ht="15" hidden="false" customHeight="false" outlineLevel="0" collapsed="false">
      <c r="A502" s="11" t="s">
        <v>441</v>
      </c>
      <c r="B502" s="11" t="s">
        <v>442</v>
      </c>
      <c r="C502" s="11" t="n">
        <v>2019</v>
      </c>
      <c r="D502" s="11" t="s">
        <v>30</v>
      </c>
      <c r="E502" s="17" t="n">
        <v>430000</v>
      </c>
      <c r="F502" s="11" t="s">
        <v>604</v>
      </c>
      <c r="G502" s="11" t="s">
        <v>605</v>
      </c>
      <c r="H502" s="11" t="s">
        <v>606</v>
      </c>
      <c r="I502" s="11" t="s">
        <v>675</v>
      </c>
      <c r="J502" s="11" t="s">
        <v>674</v>
      </c>
    </row>
    <row r="503" customFormat="false" ht="15" hidden="false" customHeight="false" outlineLevel="0" collapsed="false">
      <c r="A503" s="11" t="s">
        <v>441</v>
      </c>
      <c r="B503" s="11" t="s">
        <v>442</v>
      </c>
      <c r="C503" s="11" t="n">
        <v>2019</v>
      </c>
      <c r="D503" s="11" t="s">
        <v>30</v>
      </c>
      <c r="E503" s="17" t="n">
        <v>259140</v>
      </c>
      <c r="F503" s="11" t="s">
        <v>447</v>
      </c>
      <c r="G503" s="11" t="s">
        <v>448</v>
      </c>
      <c r="H503" s="11" t="s">
        <v>451</v>
      </c>
      <c r="I503" s="11" t="s">
        <v>667</v>
      </c>
      <c r="J503" s="11" t="s">
        <v>677</v>
      </c>
    </row>
    <row r="504" customFormat="false" ht="15" hidden="false" customHeight="false" outlineLevel="0" collapsed="false">
      <c r="A504" s="11" t="s">
        <v>441</v>
      </c>
      <c r="B504" s="11" t="s">
        <v>442</v>
      </c>
      <c r="C504" s="11" t="n">
        <v>2019</v>
      </c>
      <c r="D504" s="11" t="s">
        <v>30</v>
      </c>
      <c r="E504" s="17" t="n">
        <v>151221</v>
      </c>
      <c r="F504" s="11" t="s">
        <v>602</v>
      </c>
      <c r="G504" s="11" t="s">
        <v>448</v>
      </c>
      <c r="H504" s="11" t="s">
        <v>608</v>
      </c>
      <c r="I504" s="11" t="s">
        <v>675</v>
      </c>
      <c r="J504" s="11" t="s">
        <v>677</v>
      </c>
    </row>
    <row r="505" customFormat="false" ht="15" hidden="false" customHeight="false" outlineLevel="0" collapsed="false">
      <c r="A505" s="11" t="s">
        <v>441</v>
      </c>
      <c r="B505" s="11" t="s">
        <v>442</v>
      </c>
      <c r="C505" s="11" t="n">
        <v>2020</v>
      </c>
      <c r="D505" s="11" t="s">
        <v>30</v>
      </c>
      <c r="E505" s="17" t="n">
        <v>370052</v>
      </c>
      <c r="F505" s="11" t="s">
        <v>447</v>
      </c>
      <c r="G505" s="11" t="s">
        <v>448</v>
      </c>
      <c r="H505" s="11" t="s">
        <v>452</v>
      </c>
      <c r="I505" s="11" t="s">
        <v>667</v>
      </c>
      <c r="J505" s="11" t="s">
        <v>677</v>
      </c>
    </row>
    <row r="506" customFormat="false" ht="15" hidden="false" customHeight="false" outlineLevel="0" collapsed="false">
      <c r="A506" s="11" t="s">
        <v>441</v>
      </c>
      <c r="B506" s="11" t="s">
        <v>442</v>
      </c>
      <c r="C506" s="11" t="n">
        <v>2020</v>
      </c>
      <c r="D506" s="11" t="s">
        <v>30</v>
      </c>
      <c r="E506" s="17" t="n">
        <v>307768</v>
      </c>
      <c r="F506" s="11" t="s">
        <v>602</v>
      </c>
      <c r="G506" s="11" t="s">
        <v>448</v>
      </c>
      <c r="H506" s="11" t="s">
        <v>609</v>
      </c>
      <c r="I506" s="11" t="s">
        <v>675</v>
      </c>
      <c r="J506" s="11" t="s">
        <v>677</v>
      </c>
    </row>
    <row r="507" customFormat="false" ht="15" hidden="false" customHeight="false" outlineLevel="0" collapsed="false">
      <c r="A507" s="11" t="s">
        <v>441</v>
      </c>
      <c r="B507" s="11" t="s">
        <v>442</v>
      </c>
      <c r="C507" s="11" t="n">
        <v>2021</v>
      </c>
      <c r="D507" s="11" t="s">
        <v>30</v>
      </c>
      <c r="E507" s="17" t="n">
        <v>517149</v>
      </c>
      <c r="F507" s="11" t="s">
        <v>447</v>
      </c>
      <c r="G507" s="11" t="s">
        <v>448</v>
      </c>
      <c r="H507" s="11" t="s">
        <v>453</v>
      </c>
      <c r="I507" s="11" t="s">
        <v>667</v>
      </c>
      <c r="J507" s="11" t="s">
        <v>677</v>
      </c>
    </row>
    <row r="508" customFormat="false" ht="15" hidden="false" customHeight="false" outlineLevel="0" collapsed="false">
      <c r="A508" s="11" t="s">
        <v>441</v>
      </c>
      <c r="B508" s="11" t="s">
        <v>442</v>
      </c>
      <c r="C508" s="11" t="n">
        <v>2021</v>
      </c>
      <c r="D508" s="11" t="s">
        <v>30</v>
      </c>
      <c r="E508" s="17" t="n">
        <v>446557</v>
      </c>
      <c r="F508" s="11" t="s">
        <v>602</v>
      </c>
      <c r="G508" s="11" t="s">
        <v>448</v>
      </c>
      <c r="H508" s="11" t="s">
        <v>610</v>
      </c>
      <c r="I508" s="11" t="s">
        <v>675</v>
      </c>
      <c r="J508" s="11" t="s">
        <v>677</v>
      </c>
    </row>
    <row r="509" customFormat="false" ht="15" hidden="false" customHeight="false" outlineLevel="0" collapsed="false">
      <c r="A509" s="11" t="s">
        <v>441</v>
      </c>
      <c r="B509" s="11" t="s">
        <v>442</v>
      </c>
      <c r="C509" s="11" t="n">
        <v>2022</v>
      </c>
      <c r="D509" s="11" t="s">
        <v>30</v>
      </c>
      <c r="E509" s="17" t="n">
        <v>482139</v>
      </c>
      <c r="F509" s="11" t="s">
        <v>447</v>
      </c>
      <c r="G509" s="11" t="s">
        <v>448</v>
      </c>
      <c r="H509" s="11" t="s">
        <v>454</v>
      </c>
      <c r="I509" s="11" t="s">
        <v>667</v>
      </c>
      <c r="J509" s="11" t="s">
        <v>677</v>
      </c>
    </row>
    <row r="510" customFormat="false" ht="15" hidden="false" customHeight="false" outlineLevel="0" collapsed="false">
      <c r="A510" s="11" t="s">
        <v>441</v>
      </c>
      <c r="B510" s="11" t="s">
        <v>442</v>
      </c>
      <c r="C510" s="11" t="n">
        <v>2022</v>
      </c>
      <c r="D510" s="11" t="s">
        <v>30</v>
      </c>
      <c r="E510" s="17" t="n">
        <v>395591</v>
      </c>
      <c r="F510" s="11" t="s">
        <v>602</v>
      </c>
      <c r="G510" s="11" t="s">
        <v>448</v>
      </c>
      <c r="H510" s="11" t="s">
        <v>611</v>
      </c>
      <c r="I510" s="11" t="s">
        <v>675</v>
      </c>
      <c r="J510" s="11" t="s">
        <v>677</v>
      </c>
    </row>
    <row r="511" customFormat="false" ht="15" hidden="false" customHeight="false" outlineLevel="0" collapsed="false">
      <c r="A511" s="11" t="s">
        <v>441</v>
      </c>
      <c r="B511" s="11" t="s">
        <v>442</v>
      </c>
      <c r="C511" s="11" t="n">
        <v>2010</v>
      </c>
      <c r="D511" s="11" t="s">
        <v>18</v>
      </c>
      <c r="E511" s="17" t="n">
        <v>46576897</v>
      </c>
      <c r="F511" s="11" t="s">
        <v>98</v>
      </c>
      <c r="G511" s="11" t="s">
        <v>99</v>
      </c>
      <c r="H511" s="11" t="s">
        <v>671</v>
      </c>
      <c r="I511" s="11" t="s">
        <v>667</v>
      </c>
      <c r="J511" s="11" t="s">
        <v>672</v>
      </c>
    </row>
    <row r="512" customFormat="false" ht="15" hidden="false" customHeight="false" outlineLevel="0" collapsed="false">
      <c r="A512" s="11" t="s">
        <v>441</v>
      </c>
      <c r="B512" s="11" t="s">
        <v>442</v>
      </c>
      <c r="C512" s="11" t="n">
        <v>2011</v>
      </c>
      <c r="D512" s="11" t="s">
        <v>18</v>
      </c>
      <c r="E512" s="17" t="n">
        <v>46742697</v>
      </c>
      <c r="F512" s="11" t="s">
        <v>98</v>
      </c>
      <c r="G512" s="11" t="s">
        <v>99</v>
      </c>
      <c r="H512" s="11" t="s">
        <v>671</v>
      </c>
      <c r="I512" s="11" t="s">
        <v>667</v>
      </c>
      <c r="J512" s="11" t="s">
        <v>672</v>
      </c>
    </row>
    <row r="513" customFormat="false" ht="15" hidden="false" customHeight="false" outlineLevel="0" collapsed="false">
      <c r="A513" s="11" t="s">
        <v>441</v>
      </c>
      <c r="B513" s="11" t="s">
        <v>442</v>
      </c>
      <c r="C513" s="11" t="n">
        <v>2012</v>
      </c>
      <c r="D513" s="11" t="s">
        <v>18</v>
      </c>
      <c r="E513" s="17" t="n">
        <v>46773055</v>
      </c>
      <c r="F513" s="11" t="s">
        <v>98</v>
      </c>
      <c r="G513" s="11" t="s">
        <v>99</v>
      </c>
      <c r="H513" s="11" t="s">
        <v>671</v>
      </c>
      <c r="I513" s="11" t="s">
        <v>667</v>
      </c>
      <c r="J513" s="11" t="s">
        <v>672</v>
      </c>
    </row>
    <row r="514" customFormat="false" ht="15" hidden="false" customHeight="false" outlineLevel="0" collapsed="false">
      <c r="A514" s="11" t="s">
        <v>441</v>
      </c>
      <c r="B514" s="11" t="s">
        <v>442</v>
      </c>
      <c r="C514" s="11" t="n">
        <v>2013</v>
      </c>
      <c r="D514" s="11" t="s">
        <v>18</v>
      </c>
      <c r="E514" s="17" t="n">
        <v>46604197</v>
      </c>
      <c r="F514" s="11" t="s">
        <v>98</v>
      </c>
      <c r="G514" s="11" t="s">
        <v>99</v>
      </c>
      <c r="H514" s="11" t="s">
        <v>671</v>
      </c>
      <c r="I514" s="11" t="s">
        <v>667</v>
      </c>
      <c r="J514" s="11" t="s">
        <v>672</v>
      </c>
    </row>
    <row r="515" customFormat="false" ht="15" hidden="false" customHeight="false" outlineLevel="0" collapsed="false">
      <c r="A515" s="11" t="s">
        <v>441</v>
      </c>
      <c r="B515" s="11" t="s">
        <v>442</v>
      </c>
      <c r="C515" s="11" t="n">
        <v>2014</v>
      </c>
      <c r="D515" s="11" t="s">
        <v>18</v>
      </c>
      <c r="E515" s="17" t="n">
        <v>46460733</v>
      </c>
      <c r="F515" s="11" t="s">
        <v>98</v>
      </c>
      <c r="G515" s="11" t="s">
        <v>99</v>
      </c>
      <c r="H515" s="11" t="s">
        <v>671</v>
      </c>
      <c r="I515" s="11" t="s">
        <v>667</v>
      </c>
      <c r="J515" s="11" t="s">
        <v>672</v>
      </c>
    </row>
    <row r="516" customFormat="false" ht="15" hidden="false" customHeight="false" outlineLevel="0" collapsed="false">
      <c r="A516" s="11" t="s">
        <v>441</v>
      </c>
      <c r="B516" s="11" t="s">
        <v>442</v>
      </c>
      <c r="C516" s="11" t="n">
        <v>2015</v>
      </c>
      <c r="D516" s="11" t="s">
        <v>18</v>
      </c>
      <c r="E516" s="17" t="n">
        <v>46422303</v>
      </c>
      <c r="F516" s="11" t="s">
        <v>98</v>
      </c>
      <c r="G516" s="11" t="s">
        <v>99</v>
      </c>
      <c r="H516" s="11" t="s">
        <v>671</v>
      </c>
      <c r="I516" s="11" t="s">
        <v>667</v>
      </c>
      <c r="J516" s="11" t="s">
        <v>672</v>
      </c>
    </row>
    <row r="517" customFormat="false" ht="15" hidden="false" customHeight="false" outlineLevel="0" collapsed="false">
      <c r="A517" s="11" t="s">
        <v>441</v>
      </c>
      <c r="B517" s="11" t="s">
        <v>442</v>
      </c>
      <c r="C517" s="11" t="n">
        <v>2016</v>
      </c>
      <c r="D517" s="11" t="s">
        <v>18</v>
      </c>
      <c r="E517" s="17" t="n">
        <v>46458139</v>
      </c>
      <c r="F517" s="11" t="s">
        <v>98</v>
      </c>
      <c r="G517" s="11" t="s">
        <v>99</v>
      </c>
      <c r="H517" s="11" t="s">
        <v>671</v>
      </c>
      <c r="I517" s="11" t="s">
        <v>667</v>
      </c>
      <c r="J517" s="11" t="s">
        <v>672</v>
      </c>
    </row>
    <row r="518" customFormat="false" ht="15" hidden="false" customHeight="false" outlineLevel="0" collapsed="false">
      <c r="A518" s="11" t="s">
        <v>441</v>
      </c>
      <c r="B518" s="11" t="s">
        <v>442</v>
      </c>
      <c r="C518" s="11" t="n">
        <v>2017</v>
      </c>
      <c r="D518" s="11" t="s">
        <v>18</v>
      </c>
      <c r="E518" s="17" t="n">
        <v>46571232</v>
      </c>
      <c r="F518" s="11" t="s">
        <v>98</v>
      </c>
      <c r="G518" s="11" t="s">
        <v>99</v>
      </c>
      <c r="H518" s="11" t="s">
        <v>671</v>
      </c>
      <c r="I518" s="11" t="s">
        <v>667</v>
      </c>
      <c r="J518" s="11" t="s">
        <v>672</v>
      </c>
    </row>
    <row r="519" customFormat="false" ht="15" hidden="false" customHeight="false" outlineLevel="0" collapsed="false">
      <c r="A519" s="11" t="s">
        <v>441</v>
      </c>
      <c r="B519" s="11" t="s">
        <v>442</v>
      </c>
      <c r="C519" s="11" t="n">
        <v>2018</v>
      </c>
      <c r="D519" s="11" t="s">
        <v>18</v>
      </c>
      <c r="E519" s="17" t="n">
        <v>46782011</v>
      </c>
      <c r="F519" s="11" t="s">
        <v>98</v>
      </c>
      <c r="G519" s="11" t="s">
        <v>99</v>
      </c>
      <c r="H519" s="11" t="s">
        <v>671</v>
      </c>
      <c r="I519" s="11" t="s">
        <v>667</v>
      </c>
      <c r="J519" s="11" t="s">
        <v>672</v>
      </c>
    </row>
    <row r="520" customFormat="false" ht="15" hidden="false" customHeight="false" outlineLevel="0" collapsed="false">
      <c r="A520" s="11" t="s">
        <v>441</v>
      </c>
      <c r="B520" s="11" t="s">
        <v>442</v>
      </c>
      <c r="C520" s="11" t="n">
        <v>2019</v>
      </c>
      <c r="D520" s="11" t="s">
        <v>18</v>
      </c>
      <c r="E520" s="17" t="n">
        <v>47118501</v>
      </c>
      <c r="F520" s="11" t="s">
        <v>98</v>
      </c>
      <c r="G520" s="11" t="s">
        <v>99</v>
      </c>
      <c r="H520" s="11" t="s">
        <v>671</v>
      </c>
      <c r="I520" s="11" t="s">
        <v>667</v>
      </c>
      <c r="J520" s="11" t="s">
        <v>672</v>
      </c>
    </row>
    <row r="521" customFormat="false" ht="15" hidden="false" customHeight="false" outlineLevel="0" collapsed="false">
      <c r="A521" s="11" t="s">
        <v>441</v>
      </c>
      <c r="B521" s="11" t="s">
        <v>442</v>
      </c>
      <c r="C521" s="11" t="n">
        <v>2020</v>
      </c>
      <c r="D521" s="11" t="s">
        <v>18</v>
      </c>
      <c r="E521" s="17" t="n">
        <v>47359424</v>
      </c>
      <c r="F521" s="11" t="s">
        <v>98</v>
      </c>
      <c r="G521" s="11" t="s">
        <v>99</v>
      </c>
      <c r="H521" s="11" t="s">
        <v>671</v>
      </c>
      <c r="I521" s="11" t="s">
        <v>667</v>
      </c>
      <c r="J521" s="11" t="s">
        <v>672</v>
      </c>
    </row>
    <row r="522" customFormat="false" ht="15" hidden="false" customHeight="false" outlineLevel="0" collapsed="false">
      <c r="A522" s="11" t="s">
        <v>441</v>
      </c>
      <c r="B522" s="11" t="s">
        <v>442</v>
      </c>
      <c r="C522" s="11" t="n">
        <v>2021</v>
      </c>
      <c r="D522" s="11" t="s">
        <v>18</v>
      </c>
      <c r="E522" s="17" t="n">
        <v>47443821</v>
      </c>
      <c r="F522" s="11" t="s">
        <v>98</v>
      </c>
      <c r="G522" s="11" t="s">
        <v>99</v>
      </c>
      <c r="H522" s="11" t="s">
        <v>671</v>
      </c>
      <c r="I522" s="11" t="s">
        <v>667</v>
      </c>
      <c r="J522" s="11" t="s">
        <v>672</v>
      </c>
    </row>
    <row r="523" customFormat="false" ht="15" hidden="false" customHeight="false" outlineLevel="0" collapsed="false">
      <c r="A523" s="11" t="s">
        <v>441</v>
      </c>
      <c r="B523" s="11" t="s">
        <v>442</v>
      </c>
      <c r="C523" s="11" t="n">
        <v>2022</v>
      </c>
      <c r="D523" s="11" t="s">
        <v>18</v>
      </c>
      <c r="E523" s="17" t="n">
        <v>47786102</v>
      </c>
      <c r="F523" s="11" t="s">
        <v>98</v>
      </c>
      <c r="G523" s="11" t="s">
        <v>99</v>
      </c>
      <c r="H523" s="11" t="s">
        <v>671</v>
      </c>
      <c r="I523" s="11" t="s">
        <v>667</v>
      </c>
      <c r="J523" s="11" t="s">
        <v>672</v>
      </c>
    </row>
    <row r="524" customFormat="false" ht="15" hidden="false" customHeight="false" outlineLevel="0" collapsed="false">
      <c r="A524" s="11" t="s">
        <v>207</v>
      </c>
      <c r="B524" s="11" t="s">
        <v>208</v>
      </c>
      <c r="C524" s="11" t="n">
        <v>2010</v>
      </c>
      <c r="D524" s="11" t="s">
        <v>22</v>
      </c>
      <c r="E524" s="17" t="n">
        <v>228481</v>
      </c>
      <c r="F524" s="11" t="s">
        <v>116</v>
      </c>
      <c r="G524" s="11" t="s">
        <v>211</v>
      </c>
      <c r="H524" s="11" t="s">
        <v>118</v>
      </c>
      <c r="I524" s="11" t="s">
        <v>667</v>
      </c>
      <c r="J524" s="11" t="s">
        <v>673</v>
      </c>
    </row>
    <row r="525" customFormat="false" ht="15" hidden="false" customHeight="false" outlineLevel="0" collapsed="false">
      <c r="A525" s="11" t="s">
        <v>207</v>
      </c>
      <c r="B525" s="11" t="s">
        <v>208</v>
      </c>
      <c r="C525" s="11" t="n">
        <v>2011</v>
      </c>
      <c r="D525" s="11" t="s">
        <v>22</v>
      </c>
      <c r="E525" s="17" t="n">
        <v>243217</v>
      </c>
      <c r="F525" s="11" t="s">
        <v>116</v>
      </c>
      <c r="G525" s="11" t="s">
        <v>211</v>
      </c>
      <c r="H525" s="11" t="s">
        <v>118</v>
      </c>
      <c r="I525" s="11" t="s">
        <v>667</v>
      </c>
      <c r="J525" s="11" t="s">
        <v>673</v>
      </c>
    </row>
    <row r="526" customFormat="false" ht="15" hidden="false" customHeight="false" outlineLevel="0" collapsed="false">
      <c r="A526" s="11" t="s">
        <v>207</v>
      </c>
      <c r="B526" s="11" t="s">
        <v>208</v>
      </c>
      <c r="C526" s="11" t="n">
        <v>2012</v>
      </c>
      <c r="D526" s="11" t="s">
        <v>22</v>
      </c>
      <c r="E526" s="17" t="n">
        <v>260856</v>
      </c>
      <c r="F526" s="11" t="s">
        <v>116</v>
      </c>
      <c r="G526" s="11" t="s">
        <v>211</v>
      </c>
      <c r="H526" s="11" t="s">
        <v>118</v>
      </c>
      <c r="I526" s="11" t="s">
        <v>667</v>
      </c>
      <c r="J526" s="11" t="s">
        <v>673</v>
      </c>
    </row>
    <row r="527" customFormat="false" ht="15" hidden="false" customHeight="false" outlineLevel="0" collapsed="false">
      <c r="A527" s="11" t="s">
        <v>207</v>
      </c>
      <c r="B527" s="11" t="s">
        <v>208</v>
      </c>
      <c r="C527" s="11" t="n">
        <v>2013</v>
      </c>
      <c r="D527" s="11" t="s">
        <v>22</v>
      </c>
      <c r="E527" s="17" t="n">
        <v>279743</v>
      </c>
      <c r="F527" s="11" t="s">
        <v>116</v>
      </c>
      <c r="G527" s="11" t="s">
        <v>211</v>
      </c>
      <c r="H527" s="11" t="s">
        <v>118</v>
      </c>
      <c r="I527" s="11" t="s">
        <v>667</v>
      </c>
      <c r="J527" s="11" t="s">
        <v>673</v>
      </c>
    </row>
    <row r="528" customFormat="false" ht="15" hidden="false" customHeight="false" outlineLevel="0" collapsed="false">
      <c r="A528" s="11" t="s">
        <v>207</v>
      </c>
      <c r="B528" s="11" t="s">
        <v>208</v>
      </c>
      <c r="C528" s="11" t="n">
        <v>2014</v>
      </c>
      <c r="D528" s="11" t="s">
        <v>22</v>
      </c>
      <c r="E528" s="17" t="n">
        <v>297812</v>
      </c>
      <c r="F528" s="11" t="s">
        <v>116</v>
      </c>
      <c r="G528" s="11" t="s">
        <v>211</v>
      </c>
      <c r="H528" s="11" t="s">
        <v>118</v>
      </c>
      <c r="I528" s="11" t="s">
        <v>667</v>
      </c>
      <c r="J528" s="11" t="s">
        <v>673</v>
      </c>
    </row>
    <row r="529" customFormat="false" ht="15" hidden="false" customHeight="false" outlineLevel="0" collapsed="false">
      <c r="A529" s="11" t="s">
        <v>207</v>
      </c>
      <c r="B529" s="11" t="s">
        <v>208</v>
      </c>
      <c r="C529" s="11" t="n">
        <v>2015</v>
      </c>
      <c r="D529" s="11" t="s">
        <v>22</v>
      </c>
      <c r="E529" s="17" t="n">
        <v>314856</v>
      </c>
      <c r="F529" s="11" t="s">
        <v>116</v>
      </c>
      <c r="G529" s="11" t="s">
        <v>211</v>
      </c>
      <c r="H529" s="11" t="s">
        <v>118</v>
      </c>
      <c r="I529" s="11" t="s">
        <v>667</v>
      </c>
      <c r="J529" s="11" t="s">
        <v>673</v>
      </c>
    </row>
    <row r="530" customFormat="false" ht="15" hidden="false" customHeight="false" outlineLevel="0" collapsed="false">
      <c r="A530" s="11" t="s">
        <v>207</v>
      </c>
      <c r="B530" s="11" t="s">
        <v>208</v>
      </c>
      <c r="C530" s="11" t="n">
        <v>2016</v>
      </c>
      <c r="D530" s="11" t="s">
        <v>22</v>
      </c>
      <c r="E530" s="17" t="n">
        <v>329219</v>
      </c>
      <c r="F530" s="11" t="s">
        <v>116</v>
      </c>
      <c r="G530" s="11" t="s">
        <v>211</v>
      </c>
      <c r="H530" s="11" t="s">
        <v>118</v>
      </c>
      <c r="I530" s="11" t="s">
        <v>667</v>
      </c>
      <c r="J530" s="11" t="s">
        <v>673</v>
      </c>
    </row>
    <row r="531" customFormat="false" ht="15" hidden="false" customHeight="false" outlineLevel="0" collapsed="false">
      <c r="A531" s="11" t="s">
        <v>207</v>
      </c>
      <c r="B531" s="11" t="s">
        <v>208</v>
      </c>
      <c r="C531" s="11" t="n">
        <v>2017</v>
      </c>
      <c r="D531" s="11" t="s">
        <v>22</v>
      </c>
      <c r="E531" s="17" t="n">
        <v>348986</v>
      </c>
      <c r="F531" s="11" t="s">
        <v>116</v>
      </c>
      <c r="G531" s="11" t="s">
        <v>211</v>
      </c>
      <c r="H531" s="11" t="s">
        <v>118</v>
      </c>
      <c r="I531" s="11" t="s">
        <v>667</v>
      </c>
      <c r="J531" s="11" t="s">
        <v>673</v>
      </c>
    </row>
    <row r="532" customFormat="false" ht="15" hidden="false" customHeight="false" outlineLevel="0" collapsed="false">
      <c r="A532" s="11" t="s">
        <v>207</v>
      </c>
      <c r="B532" s="11" t="s">
        <v>208</v>
      </c>
      <c r="C532" s="11" t="n">
        <v>2018</v>
      </c>
      <c r="D532" s="11" t="s">
        <v>22</v>
      </c>
      <c r="E532" s="17" t="n">
        <v>363717</v>
      </c>
      <c r="F532" s="11" t="s">
        <v>116</v>
      </c>
      <c r="G532" s="11" t="s">
        <v>211</v>
      </c>
      <c r="H532" s="11" t="s">
        <v>118</v>
      </c>
      <c r="I532" s="11" t="s">
        <v>667</v>
      </c>
      <c r="J532" s="11" t="s">
        <v>673</v>
      </c>
    </row>
    <row r="533" customFormat="false" ht="15" hidden="false" customHeight="false" outlineLevel="0" collapsed="false">
      <c r="A533" s="11" t="s">
        <v>207</v>
      </c>
      <c r="B533" s="11" t="s">
        <v>208</v>
      </c>
      <c r="C533" s="11" t="n">
        <v>2019</v>
      </c>
      <c r="D533" s="11" t="s">
        <v>22</v>
      </c>
      <c r="E533" s="17" t="n">
        <v>377360</v>
      </c>
      <c r="F533" s="11" t="s">
        <v>116</v>
      </c>
      <c r="G533" s="11" t="s">
        <v>211</v>
      </c>
      <c r="H533" s="11" t="s">
        <v>118</v>
      </c>
      <c r="I533" s="11" t="s">
        <v>667</v>
      </c>
      <c r="J533" s="11" t="s">
        <v>673</v>
      </c>
    </row>
    <row r="534" customFormat="false" ht="15" hidden="false" customHeight="false" outlineLevel="0" collapsed="false">
      <c r="A534" s="11" t="s">
        <v>207</v>
      </c>
      <c r="B534" s="11" t="s">
        <v>208</v>
      </c>
      <c r="C534" s="11" t="n">
        <v>2020</v>
      </c>
      <c r="D534" s="11" t="s">
        <v>22</v>
      </c>
      <c r="E534" s="17" t="n">
        <v>393555</v>
      </c>
      <c r="F534" s="11" t="s">
        <v>116</v>
      </c>
      <c r="G534" s="11" t="s">
        <v>211</v>
      </c>
      <c r="H534" s="11" t="s">
        <v>118</v>
      </c>
      <c r="I534" s="11" t="s">
        <v>667</v>
      </c>
      <c r="J534" s="11" t="s">
        <v>673</v>
      </c>
    </row>
    <row r="535" customFormat="false" ht="15" hidden="false" customHeight="false" outlineLevel="0" collapsed="false">
      <c r="A535" s="11" t="s">
        <v>207</v>
      </c>
      <c r="B535" s="11" t="s">
        <v>208</v>
      </c>
      <c r="C535" s="11" t="n">
        <v>2021</v>
      </c>
      <c r="D535" s="11" t="s">
        <v>22</v>
      </c>
      <c r="E535" s="17" t="n">
        <v>408676</v>
      </c>
      <c r="F535" s="11" t="s">
        <v>116</v>
      </c>
      <c r="G535" s="11" t="s">
        <v>211</v>
      </c>
      <c r="H535" s="11" t="s">
        <v>118</v>
      </c>
      <c r="I535" s="11" t="s">
        <v>667</v>
      </c>
      <c r="J535" s="11" t="s">
        <v>673</v>
      </c>
    </row>
    <row r="536" customFormat="false" ht="15" hidden="false" customHeight="false" outlineLevel="0" collapsed="false">
      <c r="A536" s="11" t="s">
        <v>207</v>
      </c>
      <c r="B536" s="11" t="s">
        <v>208</v>
      </c>
      <c r="C536" s="11" t="n">
        <v>2022</v>
      </c>
      <c r="D536" s="11" t="s">
        <v>22</v>
      </c>
      <c r="E536" s="17" t="n">
        <v>428409</v>
      </c>
      <c r="F536" s="11" t="s">
        <v>116</v>
      </c>
      <c r="G536" s="11" t="s">
        <v>211</v>
      </c>
      <c r="H536" s="11" t="s">
        <v>118</v>
      </c>
      <c r="I536" s="11" t="s">
        <v>667</v>
      </c>
      <c r="J536" s="11" t="s">
        <v>673</v>
      </c>
    </row>
    <row r="537" customFormat="false" ht="15" hidden="false" customHeight="false" outlineLevel="0" collapsed="false">
      <c r="A537" s="11" t="s">
        <v>207</v>
      </c>
      <c r="B537" s="11" t="s">
        <v>208</v>
      </c>
      <c r="C537" s="11" t="n">
        <v>2010</v>
      </c>
      <c r="D537" s="11" t="s">
        <v>26</v>
      </c>
      <c r="E537" s="17" t="n">
        <v>154623</v>
      </c>
      <c r="F537" s="11" t="s">
        <v>119</v>
      </c>
      <c r="G537" s="11" t="s">
        <v>212</v>
      </c>
      <c r="H537" s="11" t="s">
        <v>121</v>
      </c>
      <c r="I537" s="11" t="s">
        <v>667</v>
      </c>
      <c r="J537" s="11" t="s">
        <v>673</v>
      </c>
    </row>
    <row r="538" customFormat="false" ht="15" hidden="false" customHeight="false" outlineLevel="0" collapsed="false">
      <c r="A538" s="11" t="s">
        <v>207</v>
      </c>
      <c r="B538" s="11" t="s">
        <v>208</v>
      </c>
      <c r="C538" s="11" t="n">
        <v>2011</v>
      </c>
      <c r="D538" s="11" t="s">
        <v>26</v>
      </c>
      <c r="E538" s="17" t="n">
        <v>166627</v>
      </c>
      <c r="F538" s="11" t="s">
        <v>119</v>
      </c>
      <c r="G538" s="11" t="s">
        <v>212</v>
      </c>
      <c r="H538" s="11" t="s">
        <v>121</v>
      </c>
      <c r="I538" s="11" t="s">
        <v>667</v>
      </c>
      <c r="J538" s="11" t="s">
        <v>673</v>
      </c>
    </row>
    <row r="539" customFormat="false" ht="15" hidden="false" customHeight="false" outlineLevel="0" collapsed="false">
      <c r="A539" s="11" t="s">
        <v>207</v>
      </c>
      <c r="B539" s="11" t="s">
        <v>208</v>
      </c>
      <c r="C539" s="11" t="n">
        <v>2012</v>
      </c>
      <c r="D539" s="11" t="s">
        <v>26</v>
      </c>
      <c r="E539" s="17" t="n">
        <v>181697</v>
      </c>
      <c r="F539" s="11" t="s">
        <v>119</v>
      </c>
      <c r="G539" s="11" t="s">
        <v>212</v>
      </c>
      <c r="H539" s="11" t="s">
        <v>121</v>
      </c>
      <c r="I539" s="11" t="s">
        <v>667</v>
      </c>
      <c r="J539" s="11" t="s">
        <v>673</v>
      </c>
    </row>
    <row r="540" customFormat="false" ht="15" hidden="false" customHeight="false" outlineLevel="0" collapsed="false">
      <c r="A540" s="11" t="s">
        <v>207</v>
      </c>
      <c r="B540" s="11" t="s">
        <v>208</v>
      </c>
      <c r="C540" s="11" t="n">
        <v>2013</v>
      </c>
      <c r="D540" s="11" t="s">
        <v>26</v>
      </c>
      <c r="E540" s="17" t="n">
        <v>194250</v>
      </c>
      <c r="F540" s="11" t="s">
        <v>119</v>
      </c>
      <c r="G540" s="11" t="s">
        <v>212</v>
      </c>
      <c r="H540" s="11" t="s">
        <v>121</v>
      </c>
      <c r="I540" s="11" t="s">
        <v>667</v>
      </c>
      <c r="J540" s="11" t="s">
        <v>673</v>
      </c>
    </row>
    <row r="541" customFormat="false" ht="15" hidden="false" customHeight="false" outlineLevel="0" collapsed="false">
      <c r="A541" s="11" t="s">
        <v>207</v>
      </c>
      <c r="B541" s="11" t="s">
        <v>208</v>
      </c>
      <c r="C541" s="11" t="n">
        <v>2014</v>
      </c>
      <c r="D541" s="11" t="s">
        <v>26</v>
      </c>
      <c r="E541" s="17" t="n">
        <v>206168</v>
      </c>
      <c r="F541" s="11" t="s">
        <v>119</v>
      </c>
      <c r="G541" s="11" t="s">
        <v>212</v>
      </c>
      <c r="H541" s="11" t="s">
        <v>121</v>
      </c>
      <c r="I541" s="11" t="s">
        <v>667</v>
      </c>
      <c r="J541" s="11" t="s">
        <v>673</v>
      </c>
    </row>
    <row r="542" customFormat="false" ht="15" hidden="false" customHeight="false" outlineLevel="0" collapsed="false">
      <c r="A542" s="11" t="s">
        <v>207</v>
      </c>
      <c r="B542" s="11" t="s">
        <v>208</v>
      </c>
      <c r="C542" s="11" t="n">
        <v>2015</v>
      </c>
      <c r="D542" s="11" t="s">
        <v>26</v>
      </c>
      <c r="E542" s="17" t="n">
        <v>218215</v>
      </c>
      <c r="F542" s="11" t="s">
        <v>119</v>
      </c>
      <c r="G542" s="11" t="s">
        <v>212</v>
      </c>
      <c r="H542" s="11" t="s">
        <v>121</v>
      </c>
      <c r="I542" s="11" t="s">
        <v>667</v>
      </c>
      <c r="J542" s="11" t="s">
        <v>673</v>
      </c>
    </row>
    <row r="543" customFormat="false" ht="15" hidden="false" customHeight="false" outlineLevel="0" collapsed="false">
      <c r="A543" s="11" t="s">
        <v>207</v>
      </c>
      <c r="B543" s="11" t="s">
        <v>208</v>
      </c>
      <c r="C543" s="11" t="n">
        <v>2016</v>
      </c>
      <c r="D543" s="11" t="s">
        <v>26</v>
      </c>
      <c r="E543" s="17" t="n">
        <v>228224</v>
      </c>
      <c r="F543" s="11" t="s">
        <v>119</v>
      </c>
      <c r="G543" s="11" t="s">
        <v>212</v>
      </c>
      <c r="H543" s="11" t="s">
        <v>121</v>
      </c>
      <c r="I543" s="11" t="s">
        <v>667</v>
      </c>
      <c r="J543" s="11" t="s">
        <v>673</v>
      </c>
    </row>
    <row r="544" customFormat="false" ht="15" hidden="false" customHeight="false" outlineLevel="0" collapsed="false">
      <c r="A544" s="11" t="s">
        <v>207</v>
      </c>
      <c r="B544" s="11" t="s">
        <v>208</v>
      </c>
      <c r="C544" s="11" t="n">
        <v>2017</v>
      </c>
      <c r="D544" s="11" t="s">
        <v>26</v>
      </c>
      <c r="E544" s="17" t="n">
        <v>242003</v>
      </c>
      <c r="F544" s="11" t="s">
        <v>119</v>
      </c>
      <c r="G544" s="11" t="s">
        <v>212</v>
      </c>
      <c r="H544" s="11" t="s">
        <v>121</v>
      </c>
      <c r="I544" s="11" t="s">
        <v>667</v>
      </c>
      <c r="J544" s="11" t="s">
        <v>673</v>
      </c>
    </row>
    <row r="545" customFormat="false" ht="15" hidden="false" customHeight="false" outlineLevel="0" collapsed="false">
      <c r="A545" s="11" t="s">
        <v>207</v>
      </c>
      <c r="B545" s="11" t="s">
        <v>208</v>
      </c>
      <c r="C545" s="11" t="n">
        <v>2018</v>
      </c>
      <c r="D545" s="11" t="s">
        <v>26</v>
      </c>
      <c r="E545" s="17" t="n">
        <v>247848</v>
      </c>
      <c r="F545" s="11" t="s">
        <v>119</v>
      </c>
      <c r="G545" s="11" t="s">
        <v>212</v>
      </c>
      <c r="H545" s="11" t="s">
        <v>121</v>
      </c>
      <c r="I545" s="11" t="s">
        <v>667</v>
      </c>
      <c r="J545" s="11" t="s">
        <v>673</v>
      </c>
    </row>
    <row r="546" customFormat="false" ht="15" hidden="false" customHeight="false" outlineLevel="0" collapsed="false">
      <c r="A546" s="11" t="s">
        <v>207</v>
      </c>
      <c r="B546" s="11" t="s">
        <v>208</v>
      </c>
      <c r="C546" s="11" t="n">
        <v>2019</v>
      </c>
      <c r="D546" s="11" t="s">
        <v>26</v>
      </c>
      <c r="E546" s="17" t="n">
        <v>256026</v>
      </c>
      <c r="F546" s="11" t="s">
        <v>119</v>
      </c>
      <c r="G546" s="11" t="s">
        <v>212</v>
      </c>
      <c r="H546" s="11" t="s">
        <v>121</v>
      </c>
      <c r="I546" s="11" t="s">
        <v>667</v>
      </c>
      <c r="J546" s="11" t="s">
        <v>673</v>
      </c>
    </row>
    <row r="547" customFormat="false" ht="15" hidden="false" customHeight="false" outlineLevel="0" collapsed="false">
      <c r="A547" s="11" t="s">
        <v>207</v>
      </c>
      <c r="B547" s="11" t="s">
        <v>208</v>
      </c>
      <c r="C547" s="11" t="n">
        <v>2020</v>
      </c>
      <c r="D547" s="11" t="s">
        <v>26</v>
      </c>
      <c r="E547" s="17" t="n">
        <v>266079</v>
      </c>
      <c r="F547" s="11" t="s">
        <v>119</v>
      </c>
      <c r="G547" s="11" t="s">
        <v>212</v>
      </c>
      <c r="H547" s="11" t="s">
        <v>121</v>
      </c>
      <c r="I547" s="11" t="s">
        <v>667</v>
      </c>
      <c r="J547" s="11" t="s">
        <v>673</v>
      </c>
    </row>
    <row r="548" customFormat="false" ht="15" hidden="false" customHeight="false" outlineLevel="0" collapsed="false">
      <c r="A548" s="11" t="s">
        <v>207</v>
      </c>
      <c r="B548" s="11" t="s">
        <v>208</v>
      </c>
      <c r="C548" s="11" t="n">
        <v>2021</v>
      </c>
      <c r="D548" s="11" t="s">
        <v>26</v>
      </c>
      <c r="E548" s="17" t="n">
        <v>277217</v>
      </c>
      <c r="F548" s="11" t="s">
        <v>119</v>
      </c>
      <c r="G548" s="11" t="s">
        <v>212</v>
      </c>
      <c r="H548" s="11" t="s">
        <v>121</v>
      </c>
      <c r="I548" s="11" t="s">
        <v>667</v>
      </c>
      <c r="J548" s="11" t="s">
        <v>673</v>
      </c>
    </row>
    <row r="549" customFormat="false" ht="15" hidden="false" customHeight="false" outlineLevel="0" collapsed="false">
      <c r="A549" s="11" t="s">
        <v>207</v>
      </c>
      <c r="B549" s="11" t="s">
        <v>208</v>
      </c>
      <c r="C549" s="11" t="n">
        <v>2022</v>
      </c>
      <c r="D549" s="11" t="s">
        <v>26</v>
      </c>
      <c r="E549" s="17" t="n">
        <v>294638</v>
      </c>
      <c r="F549" s="11" t="s">
        <v>119</v>
      </c>
      <c r="G549" s="11" t="s">
        <v>212</v>
      </c>
      <c r="H549" s="11" t="s">
        <v>121</v>
      </c>
      <c r="I549" s="11" t="s">
        <v>667</v>
      </c>
      <c r="J549" s="11" t="s">
        <v>673</v>
      </c>
    </row>
    <row r="550" customFormat="false" ht="15" hidden="false" customHeight="false" outlineLevel="0" collapsed="false">
      <c r="A550" s="11" t="s">
        <v>207</v>
      </c>
      <c r="B550" s="11" t="s">
        <v>208</v>
      </c>
      <c r="C550" s="11" t="n">
        <v>2010</v>
      </c>
      <c r="D550" s="11" t="s">
        <v>38</v>
      </c>
      <c r="E550" s="17" t="n">
        <v>3755</v>
      </c>
      <c r="F550" s="11" t="s">
        <v>123</v>
      </c>
      <c r="G550" s="11" t="s">
        <v>124</v>
      </c>
      <c r="H550" s="11" t="s">
        <v>125</v>
      </c>
      <c r="I550" s="11" t="s">
        <v>667</v>
      </c>
      <c r="J550" s="11" t="s">
        <v>674</v>
      </c>
    </row>
    <row r="551" customFormat="false" ht="15" hidden="false" customHeight="false" outlineLevel="0" collapsed="false">
      <c r="A551" s="11" t="s">
        <v>207</v>
      </c>
      <c r="B551" s="11" t="s">
        <v>208</v>
      </c>
      <c r="C551" s="11" t="n">
        <v>2011</v>
      </c>
      <c r="D551" s="11" t="s">
        <v>38</v>
      </c>
      <c r="E551" s="17" t="n">
        <v>3305</v>
      </c>
      <c r="F551" s="11" t="s">
        <v>123</v>
      </c>
      <c r="G551" s="11" t="s">
        <v>124</v>
      </c>
      <c r="H551" s="11" t="s">
        <v>125</v>
      </c>
      <c r="I551" s="11" t="s">
        <v>667</v>
      </c>
      <c r="J551" s="11" t="s">
        <v>674</v>
      </c>
    </row>
    <row r="552" customFormat="false" ht="15" hidden="false" customHeight="false" outlineLevel="0" collapsed="false">
      <c r="A552" s="11" t="s">
        <v>207</v>
      </c>
      <c r="B552" s="11" t="s">
        <v>208</v>
      </c>
      <c r="C552" s="11" t="n">
        <v>2012</v>
      </c>
      <c r="D552" s="11" t="s">
        <v>38</v>
      </c>
      <c r="E552" s="17" t="n">
        <v>3620</v>
      </c>
      <c r="F552" s="11" t="s">
        <v>123</v>
      </c>
      <c r="G552" s="11" t="s">
        <v>124</v>
      </c>
      <c r="H552" s="11" t="s">
        <v>125</v>
      </c>
      <c r="I552" s="11" t="s">
        <v>667</v>
      </c>
      <c r="J552" s="11" t="s">
        <v>674</v>
      </c>
    </row>
    <row r="553" customFormat="false" ht="15" hidden="false" customHeight="false" outlineLevel="0" collapsed="false">
      <c r="A553" s="11" t="s">
        <v>207</v>
      </c>
      <c r="B553" s="11" t="s">
        <v>208</v>
      </c>
      <c r="C553" s="11" t="n">
        <v>2013</v>
      </c>
      <c r="D553" s="11" t="s">
        <v>38</v>
      </c>
      <c r="E553" s="17" t="n">
        <v>3365</v>
      </c>
      <c r="F553" s="11" t="s">
        <v>123</v>
      </c>
      <c r="G553" s="11" t="s">
        <v>124</v>
      </c>
      <c r="H553" s="11" t="s">
        <v>125</v>
      </c>
      <c r="I553" s="11" t="s">
        <v>667</v>
      </c>
      <c r="J553" s="11" t="s">
        <v>674</v>
      </c>
    </row>
    <row r="554" customFormat="false" ht="15" hidden="false" customHeight="false" outlineLevel="0" collapsed="false">
      <c r="A554" s="11" t="s">
        <v>207</v>
      </c>
      <c r="B554" s="11" t="s">
        <v>208</v>
      </c>
      <c r="C554" s="11" t="n">
        <v>2014</v>
      </c>
      <c r="D554" s="11" t="s">
        <v>38</v>
      </c>
      <c r="E554" s="17" t="n">
        <v>2930</v>
      </c>
      <c r="F554" s="11" t="s">
        <v>123</v>
      </c>
      <c r="G554" s="11" t="s">
        <v>124</v>
      </c>
      <c r="H554" s="11" t="s">
        <v>125</v>
      </c>
      <c r="I554" s="11" t="s">
        <v>667</v>
      </c>
      <c r="J554" s="11" t="s">
        <v>674</v>
      </c>
    </row>
    <row r="555" customFormat="false" ht="15" hidden="false" customHeight="false" outlineLevel="0" collapsed="false">
      <c r="A555" s="11" t="s">
        <v>207</v>
      </c>
      <c r="B555" s="11" t="s">
        <v>208</v>
      </c>
      <c r="C555" s="11" t="n">
        <v>2015</v>
      </c>
      <c r="D555" s="11" t="s">
        <v>38</v>
      </c>
      <c r="E555" s="17" t="n">
        <v>14285</v>
      </c>
      <c r="F555" s="11" t="s">
        <v>123</v>
      </c>
      <c r="G555" s="11" t="s">
        <v>124</v>
      </c>
      <c r="H555" s="11" t="s">
        <v>125</v>
      </c>
      <c r="I555" s="11" t="s">
        <v>667</v>
      </c>
      <c r="J555" s="11" t="s">
        <v>674</v>
      </c>
    </row>
    <row r="556" customFormat="false" ht="15" hidden="false" customHeight="false" outlineLevel="0" collapsed="false">
      <c r="A556" s="11" t="s">
        <v>207</v>
      </c>
      <c r="B556" s="11" t="s">
        <v>208</v>
      </c>
      <c r="C556" s="11" t="n">
        <v>2016</v>
      </c>
      <c r="D556" s="11" t="s">
        <v>38</v>
      </c>
      <c r="E556" s="17" t="n">
        <v>2130</v>
      </c>
      <c r="F556" s="11" t="s">
        <v>123</v>
      </c>
      <c r="G556" s="11" t="s">
        <v>124</v>
      </c>
      <c r="H556" s="11" t="s">
        <v>125</v>
      </c>
      <c r="I556" s="11" t="s">
        <v>667</v>
      </c>
      <c r="J556" s="11" t="s">
        <v>674</v>
      </c>
    </row>
    <row r="557" customFormat="false" ht="15" hidden="false" customHeight="false" outlineLevel="0" collapsed="false">
      <c r="A557" s="11" t="s">
        <v>207</v>
      </c>
      <c r="B557" s="11" t="s">
        <v>208</v>
      </c>
      <c r="C557" s="11" t="n">
        <v>2017</v>
      </c>
      <c r="D557" s="11" t="s">
        <v>38</v>
      </c>
      <c r="E557" s="17" t="n">
        <v>930</v>
      </c>
      <c r="F557" s="11" t="s">
        <v>123</v>
      </c>
      <c r="G557" s="11" t="s">
        <v>124</v>
      </c>
      <c r="H557" s="11" t="s">
        <v>125</v>
      </c>
      <c r="I557" s="11" t="s">
        <v>667</v>
      </c>
      <c r="J557" s="11" t="s">
        <v>674</v>
      </c>
    </row>
    <row r="558" customFormat="false" ht="15" hidden="false" customHeight="false" outlineLevel="0" collapsed="false">
      <c r="A558" s="11" t="s">
        <v>207</v>
      </c>
      <c r="B558" s="11" t="s">
        <v>208</v>
      </c>
      <c r="C558" s="11" t="n">
        <v>2018</v>
      </c>
      <c r="D558" s="11" t="s">
        <v>38</v>
      </c>
      <c r="E558" s="17" t="n">
        <v>1305</v>
      </c>
      <c r="F558" s="11" t="s">
        <v>123</v>
      </c>
      <c r="G558" s="11" t="s">
        <v>124</v>
      </c>
      <c r="H558" s="11" t="s">
        <v>125</v>
      </c>
      <c r="I558" s="11" t="s">
        <v>667</v>
      </c>
      <c r="J558" s="11" t="s">
        <v>674</v>
      </c>
    </row>
    <row r="559" customFormat="false" ht="15" hidden="false" customHeight="false" outlineLevel="0" collapsed="false">
      <c r="A559" s="11" t="s">
        <v>207</v>
      </c>
      <c r="B559" s="11" t="s">
        <v>208</v>
      </c>
      <c r="C559" s="11" t="n">
        <v>2019</v>
      </c>
      <c r="D559" s="11" t="s">
        <v>38</v>
      </c>
      <c r="E559" s="17" t="n">
        <v>1220</v>
      </c>
      <c r="F559" s="11" t="s">
        <v>123</v>
      </c>
      <c r="G559" s="11" t="s">
        <v>124</v>
      </c>
      <c r="H559" s="11" t="s">
        <v>125</v>
      </c>
      <c r="I559" s="11" t="s">
        <v>667</v>
      </c>
      <c r="J559" s="11" t="s">
        <v>674</v>
      </c>
    </row>
    <row r="560" customFormat="false" ht="15" hidden="false" customHeight="false" outlineLevel="0" collapsed="false">
      <c r="A560" s="11" t="s">
        <v>207</v>
      </c>
      <c r="B560" s="11" t="s">
        <v>208</v>
      </c>
      <c r="C560" s="11" t="n">
        <v>2020</v>
      </c>
      <c r="D560" s="11" t="s">
        <v>38</v>
      </c>
      <c r="E560" s="17" t="n">
        <v>1145</v>
      </c>
      <c r="F560" s="11" t="s">
        <v>123</v>
      </c>
      <c r="G560" s="11" t="s">
        <v>124</v>
      </c>
      <c r="H560" s="11" t="s">
        <v>125</v>
      </c>
      <c r="I560" s="11" t="s">
        <v>667</v>
      </c>
      <c r="J560" s="11" t="s">
        <v>674</v>
      </c>
    </row>
    <row r="561" customFormat="false" ht="15" hidden="false" customHeight="false" outlineLevel="0" collapsed="false">
      <c r="A561" s="11" t="s">
        <v>207</v>
      </c>
      <c r="B561" s="11" t="s">
        <v>208</v>
      </c>
      <c r="C561" s="11" t="n">
        <v>2021</v>
      </c>
      <c r="D561" s="11" t="s">
        <v>38</v>
      </c>
      <c r="E561" s="17" t="n">
        <v>1090</v>
      </c>
      <c r="F561" s="11" t="s">
        <v>123</v>
      </c>
      <c r="G561" s="11" t="s">
        <v>124</v>
      </c>
      <c r="H561" s="11" t="s">
        <v>125</v>
      </c>
      <c r="I561" s="11" t="s">
        <v>667</v>
      </c>
      <c r="J561" s="11" t="s">
        <v>674</v>
      </c>
    </row>
    <row r="562" customFormat="false" ht="15" hidden="false" customHeight="false" outlineLevel="0" collapsed="false">
      <c r="A562" s="11" t="s">
        <v>207</v>
      </c>
      <c r="B562" s="11" t="s">
        <v>208</v>
      </c>
      <c r="C562" s="11" t="n">
        <v>2022</v>
      </c>
      <c r="D562" s="11" t="s">
        <v>38</v>
      </c>
      <c r="E562" s="17" t="n">
        <v>1190</v>
      </c>
      <c r="F562" s="11" t="s">
        <v>123</v>
      </c>
      <c r="G562" s="11" t="s">
        <v>124</v>
      </c>
      <c r="H562" s="11" t="s">
        <v>125</v>
      </c>
      <c r="I562" s="11" t="s">
        <v>667</v>
      </c>
      <c r="J562" s="11" t="s">
        <v>674</v>
      </c>
    </row>
    <row r="563" customFormat="false" ht="15" hidden="false" customHeight="false" outlineLevel="0" collapsed="false">
      <c r="A563" s="11" t="s">
        <v>207</v>
      </c>
      <c r="B563" s="11" t="s">
        <v>208</v>
      </c>
      <c r="C563" s="11" t="n">
        <v>2010</v>
      </c>
      <c r="D563" s="11" t="s">
        <v>18</v>
      </c>
      <c r="E563" s="17" t="n">
        <v>5363352</v>
      </c>
      <c r="F563" s="11" t="s">
        <v>98</v>
      </c>
      <c r="G563" s="11" t="s">
        <v>99</v>
      </c>
      <c r="H563" s="11" t="s">
        <v>671</v>
      </c>
      <c r="I563" s="11" t="s">
        <v>667</v>
      </c>
      <c r="J563" s="11" t="s">
        <v>672</v>
      </c>
    </row>
    <row r="564" customFormat="false" ht="15" hidden="false" customHeight="false" outlineLevel="0" collapsed="false">
      <c r="A564" s="11" t="s">
        <v>207</v>
      </c>
      <c r="B564" s="11" t="s">
        <v>208</v>
      </c>
      <c r="C564" s="11" t="n">
        <v>2011</v>
      </c>
      <c r="D564" s="11" t="s">
        <v>18</v>
      </c>
      <c r="E564" s="17" t="n">
        <v>5388272</v>
      </c>
      <c r="F564" s="11" t="s">
        <v>98</v>
      </c>
      <c r="G564" s="11" t="s">
        <v>99</v>
      </c>
      <c r="H564" s="11" t="s">
        <v>671</v>
      </c>
      <c r="I564" s="11" t="s">
        <v>667</v>
      </c>
      <c r="J564" s="11" t="s">
        <v>672</v>
      </c>
    </row>
    <row r="565" customFormat="false" ht="15" hidden="false" customHeight="false" outlineLevel="0" collapsed="false">
      <c r="A565" s="11" t="s">
        <v>207</v>
      </c>
      <c r="B565" s="11" t="s">
        <v>208</v>
      </c>
      <c r="C565" s="11" t="n">
        <v>2012</v>
      </c>
      <c r="D565" s="11" t="s">
        <v>18</v>
      </c>
      <c r="E565" s="17" t="n">
        <v>5413971</v>
      </c>
      <c r="F565" s="11" t="s">
        <v>98</v>
      </c>
      <c r="G565" s="11" t="s">
        <v>99</v>
      </c>
      <c r="H565" s="11" t="s">
        <v>671</v>
      </c>
      <c r="I565" s="11" t="s">
        <v>667</v>
      </c>
      <c r="J565" s="11" t="s">
        <v>672</v>
      </c>
    </row>
    <row r="566" customFormat="false" ht="15" hidden="false" customHeight="false" outlineLevel="0" collapsed="false">
      <c r="A566" s="11" t="s">
        <v>207</v>
      </c>
      <c r="B566" s="11" t="s">
        <v>208</v>
      </c>
      <c r="C566" s="11" t="n">
        <v>2013</v>
      </c>
      <c r="D566" s="11" t="s">
        <v>18</v>
      </c>
      <c r="E566" s="17" t="n">
        <v>5438972</v>
      </c>
      <c r="F566" s="11" t="s">
        <v>98</v>
      </c>
      <c r="G566" s="11" t="s">
        <v>99</v>
      </c>
      <c r="H566" s="11" t="s">
        <v>671</v>
      </c>
      <c r="I566" s="11" t="s">
        <v>667</v>
      </c>
      <c r="J566" s="11" t="s">
        <v>672</v>
      </c>
    </row>
    <row r="567" customFormat="false" ht="15" hidden="false" customHeight="false" outlineLevel="0" collapsed="false">
      <c r="A567" s="11" t="s">
        <v>207</v>
      </c>
      <c r="B567" s="11" t="s">
        <v>208</v>
      </c>
      <c r="C567" s="11" t="n">
        <v>2014</v>
      </c>
      <c r="D567" s="11" t="s">
        <v>18</v>
      </c>
      <c r="E567" s="17" t="n">
        <v>5461512</v>
      </c>
      <c r="F567" s="11" t="s">
        <v>98</v>
      </c>
      <c r="G567" s="11" t="s">
        <v>99</v>
      </c>
      <c r="H567" s="11" t="s">
        <v>671</v>
      </c>
      <c r="I567" s="11" t="s">
        <v>667</v>
      </c>
      <c r="J567" s="11" t="s">
        <v>672</v>
      </c>
    </row>
    <row r="568" customFormat="false" ht="15" hidden="false" customHeight="false" outlineLevel="0" collapsed="false">
      <c r="A568" s="11" t="s">
        <v>207</v>
      </c>
      <c r="B568" s="11" t="s">
        <v>208</v>
      </c>
      <c r="C568" s="11" t="n">
        <v>2015</v>
      </c>
      <c r="D568" s="11" t="s">
        <v>18</v>
      </c>
      <c r="E568" s="17" t="n">
        <v>5479531</v>
      </c>
      <c r="F568" s="11" t="s">
        <v>98</v>
      </c>
      <c r="G568" s="11" t="s">
        <v>99</v>
      </c>
      <c r="H568" s="11" t="s">
        <v>671</v>
      </c>
      <c r="I568" s="11" t="s">
        <v>667</v>
      </c>
      <c r="J568" s="11" t="s">
        <v>672</v>
      </c>
    </row>
    <row r="569" customFormat="false" ht="15" hidden="false" customHeight="false" outlineLevel="0" collapsed="false">
      <c r="A569" s="11" t="s">
        <v>207</v>
      </c>
      <c r="B569" s="11" t="s">
        <v>208</v>
      </c>
      <c r="C569" s="11" t="n">
        <v>2016</v>
      </c>
      <c r="D569" s="11" t="s">
        <v>18</v>
      </c>
      <c r="E569" s="17" t="n">
        <v>5495303</v>
      </c>
      <c r="F569" s="11" t="s">
        <v>98</v>
      </c>
      <c r="G569" s="11" t="s">
        <v>99</v>
      </c>
      <c r="H569" s="11" t="s">
        <v>671</v>
      </c>
      <c r="I569" s="11" t="s">
        <v>667</v>
      </c>
      <c r="J569" s="11" t="s">
        <v>672</v>
      </c>
    </row>
    <row r="570" customFormat="false" ht="15" hidden="false" customHeight="false" outlineLevel="0" collapsed="false">
      <c r="A570" s="11" t="s">
        <v>207</v>
      </c>
      <c r="B570" s="11" t="s">
        <v>208</v>
      </c>
      <c r="C570" s="11" t="n">
        <v>2017</v>
      </c>
      <c r="D570" s="11" t="s">
        <v>18</v>
      </c>
      <c r="E570" s="17" t="n">
        <v>5508214</v>
      </c>
      <c r="F570" s="11" t="s">
        <v>98</v>
      </c>
      <c r="G570" s="11" t="s">
        <v>99</v>
      </c>
      <c r="H570" s="11" t="s">
        <v>671</v>
      </c>
      <c r="I570" s="11" t="s">
        <v>667</v>
      </c>
      <c r="J570" s="11" t="s">
        <v>672</v>
      </c>
    </row>
    <row r="571" customFormat="false" ht="15" hidden="false" customHeight="false" outlineLevel="0" collapsed="false">
      <c r="A571" s="11" t="s">
        <v>207</v>
      </c>
      <c r="B571" s="11" t="s">
        <v>208</v>
      </c>
      <c r="C571" s="11" t="n">
        <v>2018</v>
      </c>
      <c r="D571" s="11" t="s">
        <v>18</v>
      </c>
      <c r="E571" s="17" t="n">
        <v>5515525</v>
      </c>
      <c r="F571" s="11" t="s">
        <v>98</v>
      </c>
      <c r="G571" s="11" t="s">
        <v>99</v>
      </c>
      <c r="H571" s="11" t="s">
        <v>671</v>
      </c>
      <c r="I571" s="11" t="s">
        <v>667</v>
      </c>
      <c r="J571" s="11" t="s">
        <v>672</v>
      </c>
    </row>
    <row r="572" customFormat="false" ht="15" hidden="false" customHeight="false" outlineLevel="0" collapsed="false">
      <c r="A572" s="11" t="s">
        <v>207</v>
      </c>
      <c r="B572" s="11" t="s">
        <v>208</v>
      </c>
      <c r="C572" s="11" t="n">
        <v>2019</v>
      </c>
      <c r="D572" s="11" t="s">
        <v>18</v>
      </c>
      <c r="E572" s="17" t="n">
        <v>5521606</v>
      </c>
      <c r="F572" s="11" t="s">
        <v>98</v>
      </c>
      <c r="G572" s="11" t="s">
        <v>99</v>
      </c>
      <c r="H572" s="11" t="s">
        <v>671</v>
      </c>
      <c r="I572" s="11" t="s">
        <v>667</v>
      </c>
      <c r="J572" s="11" t="s">
        <v>672</v>
      </c>
    </row>
    <row r="573" customFormat="false" ht="15" hidden="false" customHeight="false" outlineLevel="0" collapsed="false">
      <c r="A573" s="11" t="s">
        <v>207</v>
      </c>
      <c r="B573" s="11" t="s">
        <v>208</v>
      </c>
      <c r="C573" s="11" t="n">
        <v>2020</v>
      </c>
      <c r="D573" s="11" t="s">
        <v>18</v>
      </c>
      <c r="E573" s="17" t="n">
        <v>5529543</v>
      </c>
      <c r="F573" s="11" t="s">
        <v>98</v>
      </c>
      <c r="G573" s="11" t="s">
        <v>99</v>
      </c>
      <c r="H573" s="11" t="s">
        <v>671</v>
      </c>
      <c r="I573" s="11" t="s">
        <v>667</v>
      </c>
      <c r="J573" s="11" t="s">
        <v>672</v>
      </c>
    </row>
    <row r="574" customFormat="false" ht="15" hidden="false" customHeight="false" outlineLevel="0" collapsed="false">
      <c r="A574" s="11" t="s">
        <v>207</v>
      </c>
      <c r="B574" s="11" t="s">
        <v>208</v>
      </c>
      <c r="C574" s="11" t="n">
        <v>2021</v>
      </c>
      <c r="D574" s="11" t="s">
        <v>18</v>
      </c>
      <c r="E574" s="17" t="n">
        <v>5541017</v>
      </c>
      <c r="F574" s="11" t="s">
        <v>98</v>
      </c>
      <c r="G574" s="11" t="s">
        <v>99</v>
      </c>
      <c r="H574" s="11" t="s">
        <v>671</v>
      </c>
      <c r="I574" s="11" t="s">
        <v>667</v>
      </c>
      <c r="J574" s="11" t="s">
        <v>672</v>
      </c>
    </row>
    <row r="575" customFormat="false" ht="15" hidden="false" customHeight="false" outlineLevel="0" collapsed="false">
      <c r="A575" s="11" t="s">
        <v>207</v>
      </c>
      <c r="B575" s="11" t="s">
        <v>208</v>
      </c>
      <c r="C575" s="11" t="n">
        <v>2022</v>
      </c>
      <c r="D575" s="11" t="s">
        <v>18</v>
      </c>
      <c r="E575" s="17" t="n">
        <v>5556106</v>
      </c>
      <c r="F575" s="11" t="s">
        <v>98</v>
      </c>
      <c r="G575" s="11" t="s">
        <v>99</v>
      </c>
      <c r="H575" s="11" t="s">
        <v>671</v>
      </c>
      <c r="I575" s="11" t="s">
        <v>667</v>
      </c>
      <c r="J575" s="11" t="s">
        <v>672</v>
      </c>
    </row>
    <row r="576" customFormat="false" ht="15" hidden="false" customHeight="false" outlineLevel="0" collapsed="false">
      <c r="A576" s="11" t="s">
        <v>213</v>
      </c>
      <c r="B576" s="11" t="s">
        <v>214</v>
      </c>
      <c r="C576" s="11" t="n">
        <v>2010</v>
      </c>
      <c r="D576" s="11" t="s">
        <v>22</v>
      </c>
      <c r="E576" s="17" t="n">
        <v>7309986</v>
      </c>
      <c r="F576" s="11" t="s">
        <v>116</v>
      </c>
      <c r="G576" s="11" t="s">
        <v>217</v>
      </c>
      <c r="H576" s="11" t="s">
        <v>118</v>
      </c>
      <c r="I576" s="11" t="s">
        <v>667</v>
      </c>
      <c r="J576" s="11" t="s">
        <v>673</v>
      </c>
    </row>
    <row r="577" customFormat="false" ht="15" hidden="false" customHeight="false" outlineLevel="0" collapsed="false">
      <c r="A577" s="11" t="s">
        <v>213</v>
      </c>
      <c r="B577" s="11" t="s">
        <v>214</v>
      </c>
      <c r="C577" s="11" t="n">
        <v>2011</v>
      </c>
      <c r="D577" s="11" t="s">
        <v>22</v>
      </c>
      <c r="E577" s="17" t="n">
        <v>7335966</v>
      </c>
      <c r="F577" s="11" t="s">
        <v>116</v>
      </c>
      <c r="G577" s="11" t="s">
        <v>217</v>
      </c>
      <c r="H577" s="11" t="s">
        <v>118</v>
      </c>
      <c r="I577" s="11" t="s">
        <v>667</v>
      </c>
      <c r="J577" s="11" t="s">
        <v>673</v>
      </c>
    </row>
    <row r="578" customFormat="false" ht="15" hidden="false" customHeight="false" outlineLevel="0" collapsed="false">
      <c r="A578" s="11" t="s">
        <v>213</v>
      </c>
      <c r="B578" s="11" t="s">
        <v>214</v>
      </c>
      <c r="C578" s="11" t="n">
        <v>2012</v>
      </c>
      <c r="D578" s="11" t="s">
        <v>22</v>
      </c>
      <c r="E578" s="17" t="n">
        <v>7463157</v>
      </c>
      <c r="F578" s="11" t="s">
        <v>116</v>
      </c>
      <c r="G578" s="11" t="s">
        <v>217</v>
      </c>
      <c r="H578" s="11" t="s">
        <v>118</v>
      </c>
      <c r="I578" s="11" t="s">
        <v>667</v>
      </c>
      <c r="J578" s="11" t="s">
        <v>673</v>
      </c>
    </row>
    <row r="579" customFormat="false" ht="15" hidden="false" customHeight="false" outlineLevel="0" collapsed="false">
      <c r="A579" s="11" t="s">
        <v>213</v>
      </c>
      <c r="B579" s="11" t="s">
        <v>214</v>
      </c>
      <c r="C579" s="11" t="n">
        <v>2013</v>
      </c>
      <c r="D579" s="11" t="s">
        <v>22</v>
      </c>
      <c r="E579" s="17" t="n">
        <v>7543950</v>
      </c>
      <c r="F579" s="11" t="s">
        <v>116</v>
      </c>
      <c r="G579" s="11" t="s">
        <v>217</v>
      </c>
      <c r="H579" s="11" t="s">
        <v>118</v>
      </c>
      <c r="I579" s="11" t="s">
        <v>667</v>
      </c>
      <c r="J579" s="11" t="s">
        <v>673</v>
      </c>
    </row>
    <row r="580" customFormat="false" ht="15" hidden="false" customHeight="false" outlineLevel="0" collapsed="false">
      <c r="A580" s="11" t="s">
        <v>213</v>
      </c>
      <c r="B580" s="11" t="s">
        <v>214</v>
      </c>
      <c r="C580" s="11" t="n">
        <v>2014</v>
      </c>
      <c r="D580" s="11" t="s">
        <v>22</v>
      </c>
      <c r="E580" s="17" t="n">
        <v>7746520</v>
      </c>
      <c r="F580" s="11" t="s">
        <v>116</v>
      </c>
      <c r="G580" s="11" t="s">
        <v>217</v>
      </c>
      <c r="H580" s="11" t="s">
        <v>118</v>
      </c>
      <c r="I580" s="11" t="s">
        <v>667</v>
      </c>
      <c r="J580" s="11" t="s">
        <v>673</v>
      </c>
    </row>
    <row r="581" customFormat="false" ht="15" hidden="false" customHeight="false" outlineLevel="0" collapsed="false">
      <c r="A581" s="11" t="s">
        <v>213</v>
      </c>
      <c r="B581" s="11" t="s">
        <v>214</v>
      </c>
      <c r="C581" s="11" t="n">
        <v>2015</v>
      </c>
      <c r="D581" s="11" t="s">
        <v>22</v>
      </c>
      <c r="E581" s="17" t="n">
        <v>7915838</v>
      </c>
      <c r="F581" s="11" t="s">
        <v>116</v>
      </c>
      <c r="G581" s="11" t="s">
        <v>217</v>
      </c>
      <c r="H581" s="11" t="s">
        <v>118</v>
      </c>
      <c r="I581" s="11" t="s">
        <v>667</v>
      </c>
      <c r="J581" s="11" t="s">
        <v>673</v>
      </c>
    </row>
    <row r="582" customFormat="false" ht="15" hidden="false" customHeight="false" outlineLevel="0" collapsed="false">
      <c r="A582" s="11" t="s">
        <v>213</v>
      </c>
      <c r="B582" s="11" t="s">
        <v>214</v>
      </c>
      <c r="C582" s="11" t="n">
        <v>2016</v>
      </c>
      <c r="D582" s="11" t="s">
        <v>22</v>
      </c>
      <c r="E582" s="17" t="n">
        <v>8028227</v>
      </c>
      <c r="F582" s="11" t="s">
        <v>116</v>
      </c>
      <c r="G582" s="11" t="s">
        <v>217</v>
      </c>
      <c r="H582" s="11" t="s">
        <v>118</v>
      </c>
      <c r="I582" s="11" t="s">
        <v>667</v>
      </c>
      <c r="J582" s="11" t="s">
        <v>673</v>
      </c>
    </row>
    <row r="583" customFormat="false" ht="15" hidden="false" customHeight="false" outlineLevel="0" collapsed="false">
      <c r="A583" s="11" t="s">
        <v>213</v>
      </c>
      <c r="B583" s="11" t="s">
        <v>214</v>
      </c>
      <c r="C583" s="11" t="n">
        <v>2017</v>
      </c>
      <c r="D583" s="11" t="s">
        <v>22</v>
      </c>
      <c r="E583" s="17" t="n">
        <v>8098872</v>
      </c>
      <c r="F583" s="11" t="s">
        <v>116</v>
      </c>
      <c r="G583" s="11" t="s">
        <v>217</v>
      </c>
      <c r="H583" s="11" t="s">
        <v>118</v>
      </c>
      <c r="I583" s="11" t="s">
        <v>667</v>
      </c>
      <c r="J583" s="11" t="s">
        <v>673</v>
      </c>
    </row>
    <row r="584" customFormat="false" ht="15" hidden="false" customHeight="false" outlineLevel="0" collapsed="false">
      <c r="A584" s="11" t="s">
        <v>213</v>
      </c>
      <c r="B584" s="11" t="s">
        <v>214</v>
      </c>
      <c r="C584" s="11" t="n">
        <v>2018</v>
      </c>
      <c r="D584" s="11" t="s">
        <v>22</v>
      </c>
      <c r="E584" s="17" t="n">
        <v>8199663</v>
      </c>
      <c r="F584" s="11" t="s">
        <v>116</v>
      </c>
      <c r="G584" s="11" t="s">
        <v>217</v>
      </c>
      <c r="H584" s="11" t="s">
        <v>118</v>
      </c>
      <c r="I584" s="11" t="s">
        <v>667</v>
      </c>
      <c r="J584" s="11" t="s">
        <v>673</v>
      </c>
    </row>
    <row r="585" customFormat="false" ht="15" hidden="false" customHeight="false" outlineLevel="0" collapsed="false">
      <c r="A585" s="11" t="s">
        <v>213</v>
      </c>
      <c r="B585" s="11" t="s">
        <v>214</v>
      </c>
      <c r="C585" s="11" t="n">
        <v>2019</v>
      </c>
      <c r="D585" s="11" t="s">
        <v>22</v>
      </c>
      <c r="E585" s="17" t="n">
        <v>8368280</v>
      </c>
      <c r="F585" s="11" t="s">
        <v>116</v>
      </c>
      <c r="G585" s="11" t="s">
        <v>217</v>
      </c>
      <c r="H585" s="11" t="s">
        <v>118</v>
      </c>
      <c r="I585" s="11" t="s">
        <v>667</v>
      </c>
      <c r="J585" s="11" t="s">
        <v>673</v>
      </c>
    </row>
    <row r="586" customFormat="false" ht="15" hidden="false" customHeight="false" outlineLevel="0" collapsed="false">
      <c r="A586" s="11" t="s">
        <v>213</v>
      </c>
      <c r="B586" s="11" t="s">
        <v>214</v>
      </c>
      <c r="C586" s="11" t="n">
        <v>2020</v>
      </c>
      <c r="D586" s="11" t="s">
        <v>22</v>
      </c>
      <c r="E586" s="17" t="n">
        <v>8473346</v>
      </c>
      <c r="F586" s="11" t="s">
        <v>116</v>
      </c>
      <c r="G586" s="11" t="s">
        <v>217</v>
      </c>
      <c r="H586" s="11" t="s">
        <v>118</v>
      </c>
      <c r="I586" s="11" t="s">
        <v>667</v>
      </c>
      <c r="J586" s="11" t="s">
        <v>673</v>
      </c>
    </row>
    <row r="587" customFormat="false" ht="15" hidden="false" customHeight="false" outlineLevel="0" collapsed="false">
      <c r="A587" s="11" t="s">
        <v>213</v>
      </c>
      <c r="B587" s="11" t="s">
        <v>214</v>
      </c>
      <c r="C587" s="11" t="n">
        <v>2021</v>
      </c>
      <c r="D587" s="11" t="s">
        <v>22</v>
      </c>
      <c r="E587" s="17" t="n">
        <v>8548924</v>
      </c>
      <c r="F587" s="11" t="s">
        <v>116</v>
      </c>
      <c r="G587" s="11" t="s">
        <v>217</v>
      </c>
      <c r="H587" s="11" t="s">
        <v>118</v>
      </c>
      <c r="I587" s="11" t="s">
        <v>667</v>
      </c>
      <c r="J587" s="11" t="s">
        <v>673</v>
      </c>
    </row>
    <row r="588" customFormat="false" ht="15" hidden="false" customHeight="false" outlineLevel="0" collapsed="false">
      <c r="A588" s="11" t="s">
        <v>213</v>
      </c>
      <c r="B588" s="11" t="s">
        <v>214</v>
      </c>
      <c r="C588" s="11" t="n">
        <v>2022</v>
      </c>
      <c r="D588" s="11" t="s">
        <v>22</v>
      </c>
      <c r="E588" s="17" t="n">
        <v>8635504</v>
      </c>
      <c r="F588" s="11" t="s">
        <v>116</v>
      </c>
      <c r="G588" s="11" t="s">
        <v>217</v>
      </c>
      <c r="H588" s="11" t="s">
        <v>118</v>
      </c>
      <c r="I588" s="11" t="s">
        <v>667</v>
      </c>
      <c r="J588" s="11" t="s">
        <v>673</v>
      </c>
    </row>
    <row r="589" customFormat="false" ht="15" hidden="false" customHeight="false" outlineLevel="0" collapsed="false">
      <c r="A589" s="11" t="s">
        <v>213</v>
      </c>
      <c r="B589" s="11" t="s">
        <v>214</v>
      </c>
      <c r="C589" s="11" t="n">
        <v>2010</v>
      </c>
      <c r="D589" s="11" t="s">
        <v>26</v>
      </c>
      <c r="E589" s="17" t="n">
        <v>3824590</v>
      </c>
      <c r="F589" s="11" t="s">
        <v>119</v>
      </c>
      <c r="G589" s="11" t="s">
        <v>218</v>
      </c>
      <c r="H589" s="11" t="s">
        <v>121</v>
      </c>
      <c r="I589" s="11" t="s">
        <v>667</v>
      </c>
      <c r="J589" s="11" t="s">
        <v>673</v>
      </c>
    </row>
    <row r="590" customFormat="false" ht="15" hidden="false" customHeight="false" outlineLevel="0" collapsed="false">
      <c r="A590" s="11" t="s">
        <v>213</v>
      </c>
      <c r="B590" s="11" t="s">
        <v>214</v>
      </c>
      <c r="C590" s="11" t="n">
        <v>2011</v>
      </c>
      <c r="D590" s="11" t="s">
        <v>26</v>
      </c>
      <c r="E590" s="17" t="n">
        <v>3875096</v>
      </c>
      <c r="F590" s="11" t="s">
        <v>119</v>
      </c>
      <c r="G590" s="11" t="s">
        <v>218</v>
      </c>
      <c r="H590" s="11" t="s">
        <v>121</v>
      </c>
      <c r="I590" s="11" t="s">
        <v>667</v>
      </c>
      <c r="J590" s="11" t="s">
        <v>673</v>
      </c>
    </row>
    <row r="591" customFormat="false" ht="15" hidden="false" customHeight="false" outlineLevel="0" collapsed="false">
      <c r="A591" s="11" t="s">
        <v>213</v>
      </c>
      <c r="B591" s="11" t="s">
        <v>214</v>
      </c>
      <c r="C591" s="11" t="n">
        <v>2012</v>
      </c>
      <c r="D591" s="11" t="s">
        <v>26</v>
      </c>
      <c r="E591" s="17" t="n">
        <v>3944725</v>
      </c>
      <c r="F591" s="11" t="s">
        <v>119</v>
      </c>
      <c r="G591" s="11" t="s">
        <v>218</v>
      </c>
      <c r="H591" s="11" t="s">
        <v>121</v>
      </c>
      <c r="I591" s="11" t="s">
        <v>667</v>
      </c>
      <c r="J591" s="11" t="s">
        <v>673</v>
      </c>
    </row>
    <row r="592" customFormat="false" ht="15" hidden="false" customHeight="false" outlineLevel="0" collapsed="false">
      <c r="A592" s="11" t="s">
        <v>213</v>
      </c>
      <c r="B592" s="11" t="s">
        <v>214</v>
      </c>
      <c r="C592" s="11" t="n">
        <v>2013</v>
      </c>
      <c r="D592" s="11" t="s">
        <v>26</v>
      </c>
      <c r="E592" s="17" t="n">
        <v>4092106</v>
      </c>
      <c r="F592" s="11" t="s">
        <v>119</v>
      </c>
      <c r="G592" s="11" t="s">
        <v>218</v>
      </c>
      <c r="H592" s="11" t="s">
        <v>121</v>
      </c>
      <c r="I592" s="11" t="s">
        <v>667</v>
      </c>
      <c r="J592" s="11" t="s">
        <v>673</v>
      </c>
    </row>
    <row r="593" customFormat="false" ht="15" hidden="false" customHeight="false" outlineLevel="0" collapsed="false">
      <c r="A593" s="11" t="s">
        <v>213</v>
      </c>
      <c r="B593" s="11" t="s">
        <v>214</v>
      </c>
      <c r="C593" s="11" t="n">
        <v>2014</v>
      </c>
      <c r="D593" s="11" t="s">
        <v>26</v>
      </c>
      <c r="E593" s="17" t="n">
        <v>4227226</v>
      </c>
      <c r="F593" s="11" t="s">
        <v>119</v>
      </c>
      <c r="G593" s="11" t="s">
        <v>218</v>
      </c>
      <c r="H593" s="11" t="s">
        <v>121</v>
      </c>
      <c r="I593" s="11" t="s">
        <v>667</v>
      </c>
      <c r="J593" s="11" t="s">
        <v>673</v>
      </c>
    </row>
    <row r="594" customFormat="false" ht="15" hidden="false" customHeight="false" outlineLevel="0" collapsed="false">
      <c r="A594" s="11" t="s">
        <v>213</v>
      </c>
      <c r="B594" s="11" t="s">
        <v>214</v>
      </c>
      <c r="C594" s="11" t="n">
        <v>2015</v>
      </c>
      <c r="D594" s="11" t="s">
        <v>26</v>
      </c>
      <c r="E594" s="17" t="n">
        <v>4431376</v>
      </c>
      <c r="F594" s="11" t="s">
        <v>119</v>
      </c>
      <c r="G594" s="11" t="s">
        <v>218</v>
      </c>
      <c r="H594" s="11" t="s">
        <v>121</v>
      </c>
      <c r="I594" s="11" t="s">
        <v>667</v>
      </c>
      <c r="J594" s="11" t="s">
        <v>673</v>
      </c>
    </row>
    <row r="595" customFormat="false" ht="15" hidden="false" customHeight="false" outlineLevel="0" collapsed="false">
      <c r="A595" s="11" t="s">
        <v>213</v>
      </c>
      <c r="B595" s="11" t="s">
        <v>214</v>
      </c>
      <c r="C595" s="11" t="n">
        <v>2016</v>
      </c>
      <c r="D595" s="11" t="s">
        <v>26</v>
      </c>
      <c r="E595" s="17" t="n">
        <v>4544793</v>
      </c>
      <c r="F595" s="11" t="s">
        <v>119</v>
      </c>
      <c r="G595" s="11" t="s">
        <v>218</v>
      </c>
      <c r="H595" s="11" t="s">
        <v>121</v>
      </c>
      <c r="I595" s="11" t="s">
        <v>667</v>
      </c>
      <c r="J595" s="11" t="s">
        <v>673</v>
      </c>
    </row>
    <row r="596" customFormat="false" ht="15" hidden="false" customHeight="false" outlineLevel="0" collapsed="false">
      <c r="A596" s="11" t="s">
        <v>213</v>
      </c>
      <c r="B596" s="11" t="s">
        <v>214</v>
      </c>
      <c r="C596" s="11" t="n">
        <v>2017</v>
      </c>
      <c r="D596" s="11" t="s">
        <v>26</v>
      </c>
      <c r="E596" s="17" t="n">
        <v>4605669</v>
      </c>
      <c r="F596" s="11" t="s">
        <v>119</v>
      </c>
      <c r="G596" s="11" t="s">
        <v>218</v>
      </c>
      <c r="H596" s="11" t="s">
        <v>121</v>
      </c>
      <c r="I596" s="11" t="s">
        <v>667</v>
      </c>
      <c r="J596" s="11" t="s">
        <v>673</v>
      </c>
    </row>
    <row r="597" customFormat="false" ht="15" hidden="false" customHeight="false" outlineLevel="0" collapsed="false">
      <c r="A597" s="11" t="s">
        <v>213</v>
      </c>
      <c r="B597" s="11" t="s">
        <v>214</v>
      </c>
      <c r="C597" s="11" t="n">
        <v>2018</v>
      </c>
      <c r="D597" s="11" t="s">
        <v>26</v>
      </c>
      <c r="E597" s="17" t="n">
        <v>4950717</v>
      </c>
      <c r="F597" s="11" t="s">
        <v>119</v>
      </c>
      <c r="G597" s="11" t="s">
        <v>218</v>
      </c>
      <c r="H597" s="11" t="s">
        <v>121</v>
      </c>
      <c r="I597" s="11" t="s">
        <v>667</v>
      </c>
      <c r="J597" s="11" t="s">
        <v>673</v>
      </c>
    </row>
    <row r="598" customFormat="false" ht="15" hidden="false" customHeight="false" outlineLevel="0" collapsed="false">
      <c r="A598" s="11" t="s">
        <v>213</v>
      </c>
      <c r="B598" s="11" t="s">
        <v>214</v>
      </c>
      <c r="C598" s="11" t="n">
        <v>2019</v>
      </c>
      <c r="D598" s="11" t="s">
        <v>26</v>
      </c>
      <c r="E598" s="17" t="n">
        <v>5042171</v>
      </c>
      <c r="F598" s="11" t="s">
        <v>119</v>
      </c>
      <c r="G598" s="11" t="s">
        <v>218</v>
      </c>
      <c r="H598" s="11" t="s">
        <v>121</v>
      </c>
      <c r="I598" s="11" t="s">
        <v>667</v>
      </c>
      <c r="J598" s="11" t="s">
        <v>673</v>
      </c>
    </row>
    <row r="599" customFormat="false" ht="15" hidden="false" customHeight="false" outlineLevel="0" collapsed="false">
      <c r="A599" s="11" t="s">
        <v>213</v>
      </c>
      <c r="B599" s="11" t="s">
        <v>214</v>
      </c>
      <c r="C599" s="11" t="n">
        <v>2020</v>
      </c>
      <c r="D599" s="11" t="s">
        <v>26</v>
      </c>
      <c r="E599" s="17" t="n">
        <v>5173605</v>
      </c>
      <c r="F599" s="11" t="s">
        <v>119</v>
      </c>
      <c r="G599" s="11" t="s">
        <v>218</v>
      </c>
      <c r="H599" s="11" t="s">
        <v>121</v>
      </c>
      <c r="I599" s="11" t="s">
        <v>667</v>
      </c>
      <c r="J599" s="11" t="s">
        <v>673</v>
      </c>
    </row>
    <row r="600" customFormat="false" ht="15" hidden="false" customHeight="false" outlineLevel="0" collapsed="false">
      <c r="A600" s="11" t="s">
        <v>213</v>
      </c>
      <c r="B600" s="11" t="s">
        <v>214</v>
      </c>
      <c r="C600" s="11" t="n">
        <v>2021</v>
      </c>
      <c r="D600" s="11" t="s">
        <v>26</v>
      </c>
      <c r="E600" s="17" t="n">
        <v>5302510</v>
      </c>
      <c r="F600" s="11" t="s">
        <v>119</v>
      </c>
      <c r="G600" s="11" t="s">
        <v>218</v>
      </c>
      <c r="H600" s="11" t="s">
        <v>121</v>
      </c>
      <c r="I600" s="11" t="s">
        <v>667</v>
      </c>
      <c r="J600" s="11" t="s">
        <v>673</v>
      </c>
    </row>
    <row r="601" customFormat="false" ht="15" hidden="false" customHeight="false" outlineLevel="0" collapsed="false">
      <c r="A601" s="11" t="s">
        <v>213</v>
      </c>
      <c r="B601" s="11" t="s">
        <v>214</v>
      </c>
      <c r="C601" s="11" t="n">
        <v>2022</v>
      </c>
      <c r="D601" s="11" t="s">
        <v>26</v>
      </c>
      <c r="E601" s="17" t="n">
        <v>5458039</v>
      </c>
      <c r="F601" s="11" t="s">
        <v>119</v>
      </c>
      <c r="G601" s="11" t="s">
        <v>218</v>
      </c>
      <c r="H601" s="11" t="s">
        <v>121</v>
      </c>
      <c r="I601" s="11" t="s">
        <v>667</v>
      </c>
      <c r="J601" s="11" t="s">
        <v>673</v>
      </c>
    </row>
    <row r="602" customFormat="false" ht="15" hidden="false" customHeight="false" outlineLevel="0" collapsed="false">
      <c r="A602" s="11" t="s">
        <v>213</v>
      </c>
      <c r="B602" s="11" t="s">
        <v>214</v>
      </c>
      <c r="C602" s="11" t="n">
        <v>2010</v>
      </c>
      <c r="D602" s="11" t="s">
        <v>38</v>
      </c>
      <c r="E602" s="17" t="n">
        <v>56220</v>
      </c>
      <c r="F602" s="11" t="s">
        <v>123</v>
      </c>
      <c r="G602" s="11" t="s">
        <v>124</v>
      </c>
      <c r="H602" s="11" t="s">
        <v>125</v>
      </c>
      <c r="I602" s="11" t="s">
        <v>667</v>
      </c>
      <c r="J602" s="11" t="s">
        <v>674</v>
      </c>
    </row>
    <row r="603" customFormat="false" ht="15" hidden="false" customHeight="false" outlineLevel="0" collapsed="false">
      <c r="A603" s="11" t="s">
        <v>213</v>
      </c>
      <c r="B603" s="11" t="s">
        <v>214</v>
      </c>
      <c r="C603" s="11" t="n">
        <v>2011</v>
      </c>
      <c r="D603" s="11" t="s">
        <v>38</v>
      </c>
      <c r="E603" s="17" t="n">
        <v>57975</v>
      </c>
      <c r="F603" s="11" t="s">
        <v>123</v>
      </c>
      <c r="G603" s="11" t="s">
        <v>124</v>
      </c>
      <c r="H603" s="11" t="s">
        <v>125</v>
      </c>
      <c r="I603" s="11" t="s">
        <v>667</v>
      </c>
      <c r="J603" s="11" t="s">
        <v>674</v>
      </c>
    </row>
    <row r="604" customFormat="false" ht="15" hidden="false" customHeight="false" outlineLevel="0" collapsed="false">
      <c r="A604" s="11" t="s">
        <v>213</v>
      </c>
      <c r="B604" s="11" t="s">
        <v>214</v>
      </c>
      <c r="C604" s="11" t="n">
        <v>2012</v>
      </c>
      <c r="D604" s="11" t="s">
        <v>38</v>
      </c>
      <c r="E604" s="17" t="n">
        <v>49760</v>
      </c>
      <c r="F604" s="11" t="s">
        <v>123</v>
      </c>
      <c r="G604" s="11" t="s">
        <v>124</v>
      </c>
      <c r="H604" s="11" t="s">
        <v>125</v>
      </c>
      <c r="I604" s="11" t="s">
        <v>667</v>
      </c>
      <c r="J604" s="11" t="s">
        <v>674</v>
      </c>
    </row>
    <row r="605" customFormat="false" ht="15" hidden="false" customHeight="false" outlineLevel="0" collapsed="false">
      <c r="A605" s="11" t="s">
        <v>213</v>
      </c>
      <c r="B605" s="11" t="s">
        <v>214</v>
      </c>
      <c r="C605" s="11" t="n">
        <v>2013</v>
      </c>
      <c r="D605" s="11" t="s">
        <v>38</v>
      </c>
      <c r="E605" s="17" t="n">
        <v>48965</v>
      </c>
      <c r="F605" s="11" t="s">
        <v>123</v>
      </c>
      <c r="G605" s="11" t="s">
        <v>124</v>
      </c>
      <c r="H605" s="11" t="s">
        <v>125</v>
      </c>
      <c r="I605" s="11" t="s">
        <v>667</v>
      </c>
      <c r="J605" s="11" t="s">
        <v>674</v>
      </c>
    </row>
    <row r="606" customFormat="false" ht="15" hidden="false" customHeight="false" outlineLevel="0" collapsed="false">
      <c r="A606" s="11" t="s">
        <v>213</v>
      </c>
      <c r="B606" s="11" t="s">
        <v>214</v>
      </c>
      <c r="C606" s="11" t="n">
        <v>2014</v>
      </c>
      <c r="D606" s="11" t="s">
        <v>38</v>
      </c>
      <c r="E606" s="17" t="n">
        <v>96375</v>
      </c>
      <c r="F606" s="11" t="s">
        <v>123</v>
      </c>
      <c r="G606" s="11" t="s">
        <v>124</v>
      </c>
      <c r="H606" s="11" t="s">
        <v>125</v>
      </c>
      <c r="I606" s="11" t="s">
        <v>667</v>
      </c>
      <c r="J606" s="11" t="s">
        <v>674</v>
      </c>
    </row>
    <row r="607" customFormat="false" ht="15" hidden="false" customHeight="false" outlineLevel="0" collapsed="false">
      <c r="A607" s="11" t="s">
        <v>213</v>
      </c>
      <c r="B607" s="11" t="s">
        <v>214</v>
      </c>
      <c r="C607" s="11" t="n">
        <v>2015</v>
      </c>
      <c r="D607" s="11" t="s">
        <v>38</v>
      </c>
      <c r="E607" s="17" t="n">
        <v>109720</v>
      </c>
      <c r="F607" s="11" t="s">
        <v>123</v>
      </c>
      <c r="G607" s="11" t="s">
        <v>124</v>
      </c>
      <c r="H607" s="11" t="s">
        <v>125</v>
      </c>
      <c r="I607" s="11" t="s">
        <v>667</v>
      </c>
      <c r="J607" s="11" t="s">
        <v>674</v>
      </c>
    </row>
    <row r="608" customFormat="false" ht="15" hidden="false" customHeight="false" outlineLevel="0" collapsed="false">
      <c r="A608" s="11" t="s">
        <v>213</v>
      </c>
      <c r="B608" s="11" t="s">
        <v>214</v>
      </c>
      <c r="C608" s="11" t="n">
        <v>2016</v>
      </c>
      <c r="D608" s="11" t="s">
        <v>38</v>
      </c>
      <c r="E608" s="17" t="n">
        <v>91985</v>
      </c>
      <c r="F608" s="11" t="s">
        <v>123</v>
      </c>
      <c r="G608" s="11" t="s">
        <v>124</v>
      </c>
      <c r="H608" s="11" t="s">
        <v>125</v>
      </c>
      <c r="I608" s="11" t="s">
        <v>667</v>
      </c>
      <c r="J608" s="11" t="s">
        <v>674</v>
      </c>
    </row>
    <row r="609" customFormat="false" ht="15" hidden="false" customHeight="false" outlineLevel="0" collapsed="false">
      <c r="A609" s="11" t="s">
        <v>213</v>
      </c>
      <c r="B609" s="11" t="s">
        <v>214</v>
      </c>
      <c r="C609" s="11" t="n">
        <v>2017</v>
      </c>
      <c r="D609" s="11" t="s">
        <v>38</v>
      </c>
      <c r="E609" s="17" t="n">
        <v>115085</v>
      </c>
      <c r="F609" s="11" t="s">
        <v>123</v>
      </c>
      <c r="G609" s="11" t="s">
        <v>124</v>
      </c>
      <c r="H609" s="11" t="s">
        <v>125</v>
      </c>
      <c r="I609" s="11" t="s">
        <v>667</v>
      </c>
      <c r="J609" s="11" t="s">
        <v>674</v>
      </c>
    </row>
    <row r="610" customFormat="false" ht="15" hidden="false" customHeight="false" outlineLevel="0" collapsed="false">
      <c r="A610" s="11" t="s">
        <v>213</v>
      </c>
      <c r="B610" s="11" t="s">
        <v>214</v>
      </c>
      <c r="C610" s="11" t="n">
        <v>2018</v>
      </c>
      <c r="D610" s="11" t="s">
        <v>38</v>
      </c>
      <c r="E610" s="17" t="n">
        <v>105880</v>
      </c>
      <c r="F610" s="11" t="s">
        <v>123</v>
      </c>
      <c r="G610" s="11" t="s">
        <v>124</v>
      </c>
      <c r="H610" s="11" t="s">
        <v>125</v>
      </c>
      <c r="I610" s="11" t="s">
        <v>667</v>
      </c>
      <c r="J610" s="11" t="s">
        <v>674</v>
      </c>
    </row>
    <row r="611" customFormat="false" ht="15" hidden="false" customHeight="false" outlineLevel="0" collapsed="false">
      <c r="A611" s="11" t="s">
        <v>213</v>
      </c>
      <c r="B611" s="11" t="s">
        <v>214</v>
      </c>
      <c r="C611" s="11" t="n">
        <v>2019</v>
      </c>
      <c r="D611" s="11" t="s">
        <v>38</v>
      </c>
      <c r="E611" s="17" t="n">
        <v>120455</v>
      </c>
      <c r="F611" s="11" t="s">
        <v>123</v>
      </c>
      <c r="G611" s="11" t="s">
        <v>124</v>
      </c>
      <c r="H611" s="11" t="s">
        <v>125</v>
      </c>
      <c r="I611" s="11" t="s">
        <v>667</v>
      </c>
      <c r="J611" s="11" t="s">
        <v>674</v>
      </c>
    </row>
    <row r="612" customFormat="false" ht="15" hidden="false" customHeight="false" outlineLevel="0" collapsed="false">
      <c r="A612" s="11" t="s">
        <v>213</v>
      </c>
      <c r="B612" s="11" t="s">
        <v>214</v>
      </c>
      <c r="C612" s="11" t="n">
        <v>2020</v>
      </c>
      <c r="D612" s="11" t="s">
        <v>38</v>
      </c>
      <c r="E612" s="17" t="n">
        <v>103915</v>
      </c>
      <c r="F612" s="11" t="s">
        <v>123</v>
      </c>
      <c r="G612" s="11" t="s">
        <v>124</v>
      </c>
      <c r="H612" s="11" t="s">
        <v>125</v>
      </c>
      <c r="I612" s="11" t="s">
        <v>667</v>
      </c>
      <c r="J612" s="11" t="s">
        <v>674</v>
      </c>
    </row>
    <row r="613" customFormat="false" ht="15" hidden="false" customHeight="false" outlineLevel="0" collapsed="false">
      <c r="A613" s="11" t="s">
        <v>213</v>
      </c>
      <c r="B613" s="11" t="s">
        <v>214</v>
      </c>
      <c r="C613" s="11" t="n">
        <v>2021</v>
      </c>
      <c r="D613" s="11" t="s">
        <v>38</v>
      </c>
      <c r="E613" s="17" t="n">
        <v>117265</v>
      </c>
      <c r="F613" s="11" t="s">
        <v>123</v>
      </c>
      <c r="G613" s="11" t="s">
        <v>124</v>
      </c>
      <c r="H613" s="11" t="s">
        <v>125</v>
      </c>
      <c r="I613" s="11" t="s">
        <v>667</v>
      </c>
      <c r="J613" s="11" t="s">
        <v>674</v>
      </c>
    </row>
    <row r="614" customFormat="false" ht="15" hidden="false" customHeight="false" outlineLevel="0" collapsed="false">
      <c r="A614" s="11" t="s">
        <v>213</v>
      </c>
      <c r="B614" s="11" t="s">
        <v>214</v>
      </c>
      <c r="C614" s="11" t="n">
        <v>2022</v>
      </c>
      <c r="D614" s="11" t="s">
        <v>38</v>
      </c>
      <c r="E614" s="17" t="n">
        <v>115135</v>
      </c>
      <c r="F614" s="11" t="s">
        <v>123</v>
      </c>
      <c r="G614" s="11" t="s">
        <v>124</v>
      </c>
      <c r="H614" s="11" t="s">
        <v>125</v>
      </c>
      <c r="I614" s="11" t="s">
        <v>667</v>
      </c>
      <c r="J614" s="11" t="s">
        <v>674</v>
      </c>
    </row>
    <row r="615" customFormat="false" ht="15" hidden="false" customHeight="false" outlineLevel="0" collapsed="false">
      <c r="A615" s="11" t="s">
        <v>213</v>
      </c>
      <c r="B615" s="11" t="s">
        <v>214</v>
      </c>
      <c r="C615" s="11" t="n">
        <v>2014</v>
      </c>
      <c r="D615" s="11" t="s">
        <v>30</v>
      </c>
      <c r="E615" s="17" t="n">
        <v>250000</v>
      </c>
      <c r="F615" s="11" t="s">
        <v>127</v>
      </c>
      <c r="G615" s="11" t="s">
        <v>128</v>
      </c>
      <c r="H615" s="11" t="s">
        <v>219</v>
      </c>
      <c r="I615" s="11" t="s">
        <v>667</v>
      </c>
      <c r="J615" s="11" t="s">
        <v>674</v>
      </c>
    </row>
    <row r="616" customFormat="false" ht="15" hidden="false" customHeight="false" outlineLevel="0" collapsed="false">
      <c r="A616" s="11" t="s">
        <v>213</v>
      </c>
      <c r="B616" s="11" t="s">
        <v>214</v>
      </c>
      <c r="C616" s="11" t="n">
        <v>2015</v>
      </c>
      <c r="D616" s="11" t="s">
        <v>30</v>
      </c>
      <c r="E616" s="17" t="n">
        <v>250000</v>
      </c>
      <c r="F616" s="11" t="s">
        <v>127</v>
      </c>
      <c r="G616" s="11" t="s">
        <v>128</v>
      </c>
      <c r="H616" s="11" t="s">
        <v>219</v>
      </c>
      <c r="I616" s="11" t="s">
        <v>667</v>
      </c>
      <c r="J616" s="11" t="s">
        <v>674</v>
      </c>
    </row>
    <row r="617" customFormat="false" ht="15" hidden="false" customHeight="false" outlineLevel="0" collapsed="false">
      <c r="A617" s="11" t="s">
        <v>213</v>
      </c>
      <c r="B617" s="11" t="s">
        <v>214</v>
      </c>
      <c r="C617" s="11" t="n">
        <v>2016</v>
      </c>
      <c r="D617" s="11" t="s">
        <v>30</v>
      </c>
      <c r="E617" s="17" t="n">
        <v>350000</v>
      </c>
      <c r="F617" s="11" t="s">
        <v>127</v>
      </c>
      <c r="G617" s="11" t="s">
        <v>128</v>
      </c>
      <c r="H617" s="11" t="s">
        <v>220</v>
      </c>
      <c r="I617" s="11" t="s">
        <v>667</v>
      </c>
      <c r="J617" s="11" t="s">
        <v>674</v>
      </c>
    </row>
    <row r="618" customFormat="false" ht="15" hidden="false" customHeight="false" outlineLevel="0" collapsed="false">
      <c r="A618" s="11" t="s">
        <v>213</v>
      </c>
      <c r="B618" s="11" t="s">
        <v>214</v>
      </c>
      <c r="C618" s="11" t="n">
        <v>2017</v>
      </c>
      <c r="D618" s="11" t="s">
        <v>30</v>
      </c>
      <c r="E618" s="17" t="n">
        <v>350000</v>
      </c>
      <c r="F618" s="11" t="s">
        <v>127</v>
      </c>
      <c r="G618" s="11" t="s">
        <v>128</v>
      </c>
      <c r="H618" s="11" t="s">
        <v>220</v>
      </c>
      <c r="I618" s="11" t="s">
        <v>667</v>
      </c>
      <c r="J618" s="11" t="s">
        <v>674</v>
      </c>
    </row>
    <row r="619" customFormat="false" ht="15" hidden="false" customHeight="false" outlineLevel="0" collapsed="false">
      <c r="A619" s="11" t="s">
        <v>213</v>
      </c>
      <c r="B619" s="11" t="s">
        <v>214</v>
      </c>
      <c r="C619" s="11" t="n">
        <v>2010</v>
      </c>
      <c r="D619" s="11" t="s">
        <v>18</v>
      </c>
      <c r="E619" s="17" t="n">
        <v>65026211</v>
      </c>
      <c r="F619" s="11" t="s">
        <v>98</v>
      </c>
      <c r="G619" s="11" t="s">
        <v>99</v>
      </c>
      <c r="H619" s="11" t="s">
        <v>671</v>
      </c>
      <c r="I619" s="11" t="s">
        <v>667</v>
      </c>
      <c r="J619" s="11" t="s">
        <v>672</v>
      </c>
    </row>
    <row r="620" customFormat="false" ht="15" hidden="false" customHeight="false" outlineLevel="0" collapsed="false">
      <c r="A620" s="11" t="s">
        <v>213</v>
      </c>
      <c r="B620" s="11" t="s">
        <v>214</v>
      </c>
      <c r="C620" s="11" t="n">
        <v>2011</v>
      </c>
      <c r="D620" s="11" t="s">
        <v>18</v>
      </c>
      <c r="E620" s="17" t="n">
        <v>65340830</v>
      </c>
      <c r="F620" s="11" t="s">
        <v>98</v>
      </c>
      <c r="G620" s="11" t="s">
        <v>99</v>
      </c>
      <c r="H620" s="11" t="s">
        <v>671</v>
      </c>
      <c r="I620" s="11" t="s">
        <v>667</v>
      </c>
      <c r="J620" s="11" t="s">
        <v>672</v>
      </c>
    </row>
    <row r="621" customFormat="false" ht="15" hidden="false" customHeight="false" outlineLevel="0" collapsed="false">
      <c r="A621" s="11" t="s">
        <v>213</v>
      </c>
      <c r="B621" s="11" t="s">
        <v>214</v>
      </c>
      <c r="C621" s="11" t="n">
        <v>2012</v>
      </c>
      <c r="D621" s="11" t="s">
        <v>18</v>
      </c>
      <c r="E621" s="17" t="n">
        <v>65657659</v>
      </c>
      <c r="F621" s="11" t="s">
        <v>98</v>
      </c>
      <c r="G621" s="11" t="s">
        <v>99</v>
      </c>
      <c r="H621" s="11" t="s">
        <v>671</v>
      </c>
      <c r="I621" s="11" t="s">
        <v>667</v>
      </c>
      <c r="J621" s="11" t="s">
        <v>672</v>
      </c>
    </row>
    <row r="622" customFormat="false" ht="15" hidden="false" customHeight="false" outlineLevel="0" collapsed="false">
      <c r="A622" s="11" t="s">
        <v>213</v>
      </c>
      <c r="B622" s="11" t="s">
        <v>214</v>
      </c>
      <c r="C622" s="11" t="n">
        <v>2013</v>
      </c>
      <c r="D622" s="11" t="s">
        <v>18</v>
      </c>
      <c r="E622" s="17" t="n">
        <v>65997932</v>
      </c>
      <c r="F622" s="11" t="s">
        <v>98</v>
      </c>
      <c r="G622" s="11" t="s">
        <v>99</v>
      </c>
      <c r="H622" s="11" t="s">
        <v>671</v>
      </c>
      <c r="I622" s="11" t="s">
        <v>667</v>
      </c>
      <c r="J622" s="11" t="s">
        <v>672</v>
      </c>
    </row>
    <row r="623" customFormat="false" ht="15" hidden="false" customHeight="false" outlineLevel="0" collapsed="false">
      <c r="A623" s="11" t="s">
        <v>213</v>
      </c>
      <c r="B623" s="11" t="s">
        <v>214</v>
      </c>
      <c r="C623" s="11" t="n">
        <v>2014</v>
      </c>
      <c r="D623" s="11" t="s">
        <v>18</v>
      </c>
      <c r="E623" s="17" t="n">
        <v>66312067</v>
      </c>
      <c r="F623" s="11" t="s">
        <v>98</v>
      </c>
      <c r="G623" s="11" t="s">
        <v>99</v>
      </c>
      <c r="H623" s="11" t="s">
        <v>671</v>
      </c>
      <c r="I623" s="11" t="s">
        <v>667</v>
      </c>
      <c r="J623" s="11" t="s">
        <v>672</v>
      </c>
    </row>
    <row r="624" customFormat="false" ht="15" hidden="false" customHeight="false" outlineLevel="0" collapsed="false">
      <c r="A624" s="11" t="s">
        <v>213</v>
      </c>
      <c r="B624" s="11" t="s">
        <v>214</v>
      </c>
      <c r="C624" s="11" t="n">
        <v>2015</v>
      </c>
      <c r="D624" s="11" t="s">
        <v>18</v>
      </c>
      <c r="E624" s="17" t="n">
        <v>66548272</v>
      </c>
      <c r="F624" s="11" t="s">
        <v>98</v>
      </c>
      <c r="G624" s="11" t="s">
        <v>99</v>
      </c>
      <c r="H624" s="11" t="s">
        <v>671</v>
      </c>
      <c r="I624" s="11" t="s">
        <v>667</v>
      </c>
      <c r="J624" s="11" t="s">
        <v>672</v>
      </c>
    </row>
    <row r="625" customFormat="false" ht="15" hidden="false" customHeight="false" outlineLevel="0" collapsed="false">
      <c r="A625" s="11" t="s">
        <v>213</v>
      </c>
      <c r="B625" s="11" t="s">
        <v>214</v>
      </c>
      <c r="C625" s="11" t="n">
        <v>2016</v>
      </c>
      <c r="D625" s="11" t="s">
        <v>18</v>
      </c>
      <c r="E625" s="17" t="n">
        <v>66724104</v>
      </c>
      <c r="F625" s="11" t="s">
        <v>98</v>
      </c>
      <c r="G625" s="11" t="s">
        <v>99</v>
      </c>
      <c r="H625" s="11" t="s">
        <v>671</v>
      </c>
      <c r="I625" s="11" t="s">
        <v>667</v>
      </c>
      <c r="J625" s="11" t="s">
        <v>672</v>
      </c>
    </row>
    <row r="626" customFormat="false" ht="15" hidden="false" customHeight="false" outlineLevel="0" collapsed="false">
      <c r="A626" s="11" t="s">
        <v>213</v>
      </c>
      <c r="B626" s="11" t="s">
        <v>214</v>
      </c>
      <c r="C626" s="11" t="n">
        <v>2017</v>
      </c>
      <c r="D626" s="11" t="s">
        <v>18</v>
      </c>
      <c r="E626" s="17" t="n">
        <v>66918020</v>
      </c>
      <c r="F626" s="11" t="s">
        <v>98</v>
      </c>
      <c r="G626" s="11" t="s">
        <v>99</v>
      </c>
      <c r="H626" s="11" t="s">
        <v>671</v>
      </c>
      <c r="I626" s="11" t="s">
        <v>667</v>
      </c>
      <c r="J626" s="11" t="s">
        <v>672</v>
      </c>
    </row>
    <row r="627" customFormat="false" ht="15" hidden="false" customHeight="false" outlineLevel="0" collapsed="false">
      <c r="A627" s="11" t="s">
        <v>213</v>
      </c>
      <c r="B627" s="11" t="s">
        <v>214</v>
      </c>
      <c r="C627" s="11" t="n">
        <v>2018</v>
      </c>
      <c r="D627" s="11" t="s">
        <v>18</v>
      </c>
      <c r="E627" s="17" t="n">
        <v>67158348</v>
      </c>
      <c r="F627" s="11" t="s">
        <v>98</v>
      </c>
      <c r="G627" s="11" t="s">
        <v>99</v>
      </c>
      <c r="H627" s="11" t="s">
        <v>671</v>
      </c>
      <c r="I627" s="11" t="s">
        <v>667</v>
      </c>
      <c r="J627" s="11" t="s">
        <v>672</v>
      </c>
    </row>
    <row r="628" customFormat="false" ht="15" hidden="false" customHeight="false" outlineLevel="0" collapsed="false">
      <c r="A628" s="11" t="s">
        <v>213</v>
      </c>
      <c r="B628" s="11" t="s">
        <v>214</v>
      </c>
      <c r="C628" s="11" t="n">
        <v>2019</v>
      </c>
      <c r="D628" s="11" t="s">
        <v>18</v>
      </c>
      <c r="E628" s="17" t="n">
        <v>67382061</v>
      </c>
      <c r="F628" s="11" t="s">
        <v>98</v>
      </c>
      <c r="G628" s="11" t="s">
        <v>99</v>
      </c>
      <c r="H628" s="11" t="s">
        <v>671</v>
      </c>
      <c r="I628" s="11" t="s">
        <v>667</v>
      </c>
      <c r="J628" s="11" t="s">
        <v>672</v>
      </c>
    </row>
    <row r="629" customFormat="false" ht="15" hidden="false" customHeight="false" outlineLevel="0" collapsed="false">
      <c r="A629" s="11" t="s">
        <v>213</v>
      </c>
      <c r="B629" s="11" t="s">
        <v>214</v>
      </c>
      <c r="C629" s="11" t="n">
        <v>2020</v>
      </c>
      <c r="D629" s="11" t="s">
        <v>18</v>
      </c>
      <c r="E629" s="17" t="n">
        <v>67601110</v>
      </c>
      <c r="F629" s="11" t="s">
        <v>98</v>
      </c>
      <c r="G629" s="11" t="s">
        <v>99</v>
      </c>
      <c r="H629" s="11" t="s">
        <v>671</v>
      </c>
      <c r="I629" s="11" t="s">
        <v>667</v>
      </c>
      <c r="J629" s="11" t="s">
        <v>672</v>
      </c>
    </row>
    <row r="630" customFormat="false" ht="15" hidden="false" customHeight="false" outlineLevel="0" collapsed="false">
      <c r="A630" s="11" t="s">
        <v>213</v>
      </c>
      <c r="B630" s="11" t="s">
        <v>214</v>
      </c>
      <c r="C630" s="11" t="n">
        <v>2021</v>
      </c>
      <c r="D630" s="11" t="s">
        <v>18</v>
      </c>
      <c r="E630" s="17" t="n">
        <v>67842811</v>
      </c>
      <c r="F630" s="11" t="s">
        <v>98</v>
      </c>
      <c r="G630" s="11" t="s">
        <v>99</v>
      </c>
      <c r="H630" s="11" t="s">
        <v>671</v>
      </c>
      <c r="I630" s="11" t="s">
        <v>667</v>
      </c>
      <c r="J630" s="11" t="s">
        <v>672</v>
      </c>
    </row>
    <row r="631" customFormat="false" ht="15" hidden="false" customHeight="false" outlineLevel="0" collapsed="false">
      <c r="A631" s="11" t="s">
        <v>213</v>
      </c>
      <c r="B631" s="11" t="s">
        <v>214</v>
      </c>
      <c r="C631" s="11" t="n">
        <v>2022</v>
      </c>
      <c r="D631" s="11" t="s">
        <v>18</v>
      </c>
      <c r="E631" s="17" t="n">
        <v>68184457</v>
      </c>
      <c r="F631" s="11" t="s">
        <v>98</v>
      </c>
      <c r="G631" s="11" t="s">
        <v>99</v>
      </c>
      <c r="H631" s="11" t="s">
        <v>671</v>
      </c>
      <c r="I631" s="11" t="s">
        <v>667</v>
      </c>
      <c r="J631" s="11" t="s">
        <v>672</v>
      </c>
    </row>
    <row r="632" customFormat="false" ht="15" hidden="false" customHeight="false" outlineLevel="0" collapsed="false">
      <c r="A632" s="11" t="s">
        <v>537</v>
      </c>
      <c r="B632" s="11" t="s">
        <v>538</v>
      </c>
      <c r="C632" s="11" t="n">
        <v>2010</v>
      </c>
      <c r="D632" s="11" t="s">
        <v>22</v>
      </c>
      <c r="E632" s="17" t="n">
        <v>7119664</v>
      </c>
      <c r="F632" s="11" t="s">
        <v>116</v>
      </c>
      <c r="G632" s="11" t="s">
        <v>541</v>
      </c>
      <c r="H632" s="11" t="s">
        <v>542</v>
      </c>
      <c r="I632" s="11" t="s">
        <v>667</v>
      </c>
      <c r="J632" s="11" t="s">
        <v>673</v>
      </c>
    </row>
    <row r="633" customFormat="false" ht="15" hidden="false" customHeight="false" outlineLevel="0" collapsed="false">
      <c r="A633" s="11" t="s">
        <v>537</v>
      </c>
      <c r="B633" s="11" t="s">
        <v>538</v>
      </c>
      <c r="C633" s="11" t="n">
        <v>2011</v>
      </c>
      <c r="D633" s="11" t="s">
        <v>22</v>
      </c>
      <c r="E633" s="17" t="n">
        <v>7342547</v>
      </c>
      <c r="F633" s="11" t="s">
        <v>116</v>
      </c>
      <c r="G633" s="11" t="s">
        <v>541</v>
      </c>
      <c r="H633" s="11" t="s">
        <v>542</v>
      </c>
      <c r="I633" s="11" t="s">
        <v>667</v>
      </c>
      <c r="J633" s="11" t="s">
        <v>673</v>
      </c>
    </row>
    <row r="634" customFormat="false" ht="15" hidden="false" customHeight="false" outlineLevel="0" collapsed="false">
      <c r="A634" s="11" t="s">
        <v>537</v>
      </c>
      <c r="B634" s="11" t="s">
        <v>538</v>
      </c>
      <c r="C634" s="11" t="n">
        <v>2012</v>
      </c>
      <c r="D634" s="11" t="s">
        <v>22</v>
      </c>
      <c r="E634" s="17" t="n">
        <v>7762334</v>
      </c>
      <c r="F634" s="11" t="s">
        <v>116</v>
      </c>
      <c r="G634" s="11" t="s">
        <v>541</v>
      </c>
      <c r="H634" s="11" t="s">
        <v>542</v>
      </c>
      <c r="I634" s="11" t="s">
        <v>667</v>
      </c>
      <c r="J634" s="11" t="s">
        <v>673</v>
      </c>
    </row>
    <row r="635" customFormat="false" ht="15" hidden="false" customHeight="false" outlineLevel="0" collapsed="false">
      <c r="A635" s="11" t="s">
        <v>537</v>
      </c>
      <c r="B635" s="11" t="s">
        <v>538</v>
      </c>
      <c r="C635" s="11" t="n">
        <v>2013</v>
      </c>
      <c r="D635" s="11" t="s">
        <v>22</v>
      </c>
      <c r="E635" s="17" t="n">
        <v>7923428</v>
      </c>
      <c r="F635" s="11" t="s">
        <v>116</v>
      </c>
      <c r="G635" s="11" t="s">
        <v>541</v>
      </c>
      <c r="H635" s="11" t="s">
        <v>542</v>
      </c>
      <c r="I635" s="11" t="s">
        <v>667</v>
      </c>
      <c r="J635" s="11" t="s">
        <v>673</v>
      </c>
    </row>
    <row r="636" customFormat="false" ht="15" hidden="false" customHeight="false" outlineLevel="0" collapsed="false">
      <c r="A636" s="11" t="s">
        <v>537</v>
      </c>
      <c r="B636" s="11" t="s">
        <v>538</v>
      </c>
      <c r="C636" s="11" t="n">
        <v>2014</v>
      </c>
      <c r="D636" s="11" t="s">
        <v>22</v>
      </c>
      <c r="E636" s="17" t="n">
        <v>8039324</v>
      </c>
      <c r="F636" s="11" t="s">
        <v>116</v>
      </c>
      <c r="G636" s="11" t="s">
        <v>541</v>
      </c>
      <c r="H636" s="11" t="s">
        <v>542</v>
      </c>
      <c r="I636" s="11" t="s">
        <v>667</v>
      </c>
      <c r="J636" s="11" t="s">
        <v>673</v>
      </c>
    </row>
    <row r="637" customFormat="false" ht="15" hidden="false" customHeight="false" outlineLevel="0" collapsed="false">
      <c r="A637" s="11" t="s">
        <v>537</v>
      </c>
      <c r="B637" s="11" t="s">
        <v>538</v>
      </c>
      <c r="C637" s="11" t="n">
        <v>2015</v>
      </c>
      <c r="D637" s="11" t="s">
        <v>22</v>
      </c>
      <c r="E637" s="17" t="n">
        <v>8406996</v>
      </c>
      <c r="F637" s="11" t="s">
        <v>116</v>
      </c>
      <c r="G637" s="11" t="s">
        <v>541</v>
      </c>
      <c r="H637" s="11" t="s">
        <v>542</v>
      </c>
      <c r="I637" s="11" t="s">
        <v>667</v>
      </c>
      <c r="J637" s="11" t="s">
        <v>673</v>
      </c>
    </row>
    <row r="638" customFormat="false" ht="15" hidden="false" customHeight="false" outlineLevel="0" collapsed="false">
      <c r="A638" s="11" t="s">
        <v>537</v>
      </c>
      <c r="B638" s="11" t="s">
        <v>538</v>
      </c>
      <c r="C638" s="11" t="n">
        <v>2016</v>
      </c>
      <c r="D638" s="11" t="s">
        <v>22</v>
      </c>
      <c r="E638" s="17" t="n">
        <v>8696511</v>
      </c>
      <c r="F638" s="11" t="s">
        <v>116</v>
      </c>
      <c r="G638" s="11" t="s">
        <v>541</v>
      </c>
      <c r="H638" s="11" t="s">
        <v>542</v>
      </c>
      <c r="I638" s="11" t="s">
        <v>667</v>
      </c>
      <c r="J638" s="11" t="s">
        <v>673</v>
      </c>
    </row>
    <row r="639" customFormat="false" ht="15" hidden="false" customHeight="false" outlineLevel="0" collapsed="false">
      <c r="A639" s="11" t="s">
        <v>537</v>
      </c>
      <c r="B639" s="11" t="s">
        <v>538</v>
      </c>
      <c r="C639" s="11" t="n">
        <v>2017</v>
      </c>
      <c r="D639" s="11" t="s">
        <v>22</v>
      </c>
      <c r="E639" s="17" t="n">
        <v>9298018</v>
      </c>
      <c r="F639" s="11" t="s">
        <v>116</v>
      </c>
      <c r="G639" s="11" t="s">
        <v>541</v>
      </c>
      <c r="H639" s="11" t="s">
        <v>542</v>
      </c>
      <c r="I639" s="11" t="s">
        <v>667</v>
      </c>
      <c r="J639" s="11" t="s">
        <v>673</v>
      </c>
    </row>
    <row r="640" customFormat="false" ht="15" hidden="false" customHeight="false" outlineLevel="0" collapsed="false">
      <c r="A640" s="11" t="s">
        <v>537</v>
      </c>
      <c r="B640" s="11" t="s">
        <v>538</v>
      </c>
      <c r="C640" s="11" t="n">
        <v>2018</v>
      </c>
      <c r="D640" s="11" t="s">
        <v>22</v>
      </c>
      <c r="E640" s="17" t="n">
        <v>9512464</v>
      </c>
      <c r="F640" s="11" t="s">
        <v>116</v>
      </c>
      <c r="G640" s="11" t="s">
        <v>541</v>
      </c>
      <c r="H640" s="11" t="s">
        <v>542</v>
      </c>
      <c r="I640" s="11" t="s">
        <v>667</v>
      </c>
      <c r="J640" s="11" t="s">
        <v>673</v>
      </c>
    </row>
    <row r="641" customFormat="false" ht="15" hidden="false" customHeight="false" outlineLevel="0" collapsed="false">
      <c r="A641" s="11" t="s">
        <v>537</v>
      </c>
      <c r="B641" s="11" t="s">
        <v>538</v>
      </c>
      <c r="C641" s="11" t="n">
        <v>2019</v>
      </c>
      <c r="D641" s="11" t="s">
        <v>22</v>
      </c>
      <c r="E641" s="17" t="n">
        <v>9469015</v>
      </c>
      <c r="F641" s="11" t="s">
        <v>116</v>
      </c>
      <c r="G641" s="11" t="s">
        <v>541</v>
      </c>
      <c r="H641" s="11" t="s">
        <v>542</v>
      </c>
      <c r="I641" s="11" t="s">
        <v>667</v>
      </c>
      <c r="J641" s="11" t="s">
        <v>673</v>
      </c>
    </row>
    <row r="642" customFormat="false" ht="15" hidden="false" customHeight="false" outlineLevel="0" collapsed="false">
      <c r="A642" s="11" t="s">
        <v>537</v>
      </c>
      <c r="B642" s="11" t="s">
        <v>538</v>
      </c>
      <c r="C642" s="11" t="n">
        <v>2020</v>
      </c>
      <c r="D642" s="11" t="s">
        <v>22</v>
      </c>
      <c r="E642" s="17" t="n">
        <v>9200000</v>
      </c>
      <c r="F642" s="11" t="s">
        <v>550</v>
      </c>
      <c r="G642" s="11" t="s">
        <v>551</v>
      </c>
      <c r="H642" s="11" t="s">
        <v>552</v>
      </c>
      <c r="I642" s="11" t="s">
        <v>667</v>
      </c>
      <c r="J642" s="11" t="s">
        <v>673</v>
      </c>
    </row>
    <row r="643" customFormat="false" ht="15" hidden="false" customHeight="false" outlineLevel="0" collapsed="false">
      <c r="A643" s="11" t="s">
        <v>537</v>
      </c>
      <c r="B643" s="11" t="s">
        <v>538</v>
      </c>
      <c r="C643" s="11" t="n">
        <v>2021</v>
      </c>
      <c r="D643" s="11" t="s">
        <v>22</v>
      </c>
      <c r="E643" s="17" t="n">
        <v>9600000</v>
      </c>
      <c r="F643" s="11" t="s">
        <v>550</v>
      </c>
      <c r="G643" s="11" t="s">
        <v>554</v>
      </c>
      <c r="H643" s="11" t="s">
        <v>555</v>
      </c>
      <c r="I643" s="11" t="s">
        <v>667</v>
      </c>
      <c r="J643" s="11" t="s">
        <v>673</v>
      </c>
    </row>
    <row r="644" customFormat="false" ht="15" hidden="false" customHeight="false" outlineLevel="0" collapsed="false">
      <c r="A644" s="11" t="s">
        <v>537</v>
      </c>
      <c r="B644" s="11" t="s">
        <v>538</v>
      </c>
      <c r="C644" s="11" t="n">
        <v>2010</v>
      </c>
      <c r="D644" s="11" t="s">
        <v>26</v>
      </c>
      <c r="E644" s="17" t="n">
        <v>4435587</v>
      </c>
      <c r="F644" s="11" t="s">
        <v>119</v>
      </c>
      <c r="G644" s="11" t="s">
        <v>543</v>
      </c>
      <c r="H644" s="11" t="s">
        <v>544</v>
      </c>
      <c r="I644" s="11" t="s">
        <v>667</v>
      </c>
      <c r="J644" s="11" t="s">
        <v>673</v>
      </c>
    </row>
    <row r="645" customFormat="false" ht="15" hidden="false" customHeight="false" outlineLevel="0" collapsed="false">
      <c r="A645" s="11" t="s">
        <v>537</v>
      </c>
      <c r="B645" s="11" t="s">
        <v>538</v>
      </c>
      <c r="C645" s="11" t="n">
        <v>2011</v>
      </c>
      <c r="D645" s="11" t="s">
        <v>26</v>
      </c>
      <c r="E645" s="17" t="n">
        <v>4546862</v>
      </c>
      <c r="F645" s="11" t="s">
        <v>119</v>
      </c>
      <c r="G645" s="11" t="s">
        <v>543</v>
      </c>
      <c r="H645" s="11" t="s">
        <v>544</v>
      </c>
      <c r="I645" s="11" t="s">
        <v>667</v>
      </c>
      <c r="J645" s="11" t="s">
        <v>673</v>
      </c>
    </row>
    <row r="646" customFormat="false" ht="15" hidden="false" customHeight="false" outlineLevel="0" collapsed="false">
      <c r="A646" s="11" t="s">
        <v>537</v>
      </c>
      <c r="B646" s="11" t="s">
        <v>538</v>
      </c>
      <c r="C646" s="11" t="n">
        <v>2012</v>
      </c>
      <c r="D646" s="11" t="s">
        <v>26</v>
      </c>
      <c r="E646" s="17" t="n">
        <v>4884405</v>
      </c>
      <c r="F646" s="11" t="s">
        <v>119</v>
      </c>
      <c r="G646" s="11" t="s">
        <v>543</v>
      </c>
      <c r="H646" s="11" t="s">
        <v>544</v>
      </c>
      <c r="I646" s="11" t="s">
        <v>667</v>
      </c>
      <c r="J646" s="11" t="s">
        <v>673</v>
      </c>
    </row>
    <row r="647" customFormat="false" ht="15" hidden="false" customHeight="false" outlineLevel="0" collapsed="false">
      <c r="A647" s="11" t="s">
        <v>537</v>
      </c>
      <c r="B647" s="11" t="s">
        <v>538</v>
      </c>
      <c r="C647" s="11" t="n">
        <v>2013</v>
      </c>
      <c r="D647" s="11" t="s">
        <v>26</v>
      </c>
      <c r="E647" s="17" t="n">
        <v>4978600</v>
      </c>
      <c r="F647" s="11" t="s">
        <v>119</v>
      </c>
      <c r="G647" s="11" t="s">
        <v>543</v>
      </c>
      <c r="H647" s="11" t="s">
        <v>544</v>
      </c>
      <c r="I647" s="11" t="s">
        <v>667</v>
      </c>
      <c r="J647" s="11" t="s">
        <v>673</v>
      </c>
    </row>
    <row r="648" customFormat="false" ht="15" hidden="false" customHeight="false" outlineLevel="0" collapsed="false">
      <c r="A648" s="11" t="s">
        <v>537</v>
      </c>
      <c r="B648" s="11" t="s">
        <v>538</v>
      </c>
      <c r="C648" s="11" t="n">
        <v>2014</v>
      </c>
      <c r="D648" s="11" t="s">
        <v>26</v>
      </c>
      <c r="E648" s="17" t="n">
        <v>5049401</v>
      </c>
      <c r="F648" s="11" t="s">
        <v>119</v>
      </c>
      <c r="G648" s="11" t="s">
        <v>543</v>
      </c>
      <c r="H648" s="11" t="s">
        <v>544</v>
      </c>
      <c r="I648" s="11" t="s">
        <v>667</v>
      </c>
      <c r="J648" s="11" t="s">
        <v>673</v>
      </c>
    </row>
    <row r="649" customFormat="false" ht="15" hidden="false" customHeight="false" outlineLevel="0" collapsed="false">
      <c r="A649" s="11" t="s">
        <v>537</v>
      </c>
      <c r="B649" s="11" t="s">
        <v>538</v>
      </c>
      <c r="C649" s="11" t="n">
        <v>2015</v>
      </c>
      <c r="D649" s="11" t="s">
        <v>26</v>
      </c>
      <c r="E649" s="17" t="n">
        <v>5419192</v>
      </c>
      <c r="F649" s="11" t="s">
        <v>119</v>
      </c>
      <c r="G649" s="11" t="s">
        <v>543</v>
      </c>
      <c r="H649" s="11" t="s">
        <v>544</v>
      </c>
      <c r="I649" s="11" t="s">
        <v>667</v>
      </c>
      <c r="J649" s="11" t="s">
        <v>673</v>
      </c>
    </row>
    <row r="650" customFormat="false" ht="15" hidden="false" customHeight="false" outlineLevel="0" collapsed="false">
      <c r="A650" s="11" t="s">
        <v>537</v>
      </c>
      <c r="B650" s="11" t="s">
        <v>538</v>
      </c>
      <c r="C650" s="11" t="n">
        <v>2016</v>
      </c>
      <c r="D650" s="11" t="s">
        <v>26</v>
      </c>
      <c r="E650" s="17" t="n">
        <v>5639712</v>
      </c>
      <c r="F650" s="11" t="s">
        <v>119</v>
      </c>
      <c r="G650" s="11" t="s">
        <v>543</v>
      </c>
      <c r="H650" s="11" t="s">
        <v>544</v>
      </c>
      <c r="I650" s="11" t="s">
        <v>667</v>
      </c>
      <c r="J650" s="11" t="s">
        <v>673</v>
      </c>
    </row>
    <row r="651" customFormat="false" ht="15" hidden="false" customHeight="false" outlineLevel="0" collapsed="false">
      <c r="A651" s="11" t="s">
        <v>537</v>
      </c>
      <c r="B651" s="11" t="s">
        <v>538</v>
      </c>
      <c r="C651" s="11" t="n">
        <v>2017</v>
      </c>
      <c r="D651" s="11" t="s">
        <v>26</v>
      </c>
      <c r="E651" s="17" t="n">
        <v>6073524</v>
      </c>
      <c r="F651" s="11" t="s">
        <v>119</v>
      </c>
      <c r="G651" s="11" t="s">
        <v>543</v>
      </c>
      <c r="H651" s="11" t="s">
        <v>544</v>
      </c>
      <c r="I651" s="11" t="s">
        <v>667</v>
      </c>
      <c r="J651" s="11" t="s">
        <v>673</v>
      </c>
    </row>
    <row r="652" customFormat="false" ht="15" hidden="false" customHeight="false" outlineLevel="0" collapsed="false">
      <c r="A652" s="11" t="s">
        <v>537</v>
      </c>
      <c r="B652" s="11" t="s">
        <v>538</v>
      </c>
      <c r="C652" s="11" t="n">
        <v>2018</v>
      </c>
      <c r="D652" s="11" t="s">
        <v>26</v>
      </c>
      <c r="E652" s="17" t="n">
        <v>6285974</v>
      </c>
      <c r="F652" s="11" t="s">
        <v>119</v>
      </c>
      <c r="G652" s="11" t="s">
        <v>543</v>
      </c>
      <c r="H652" s="11" t="s">
        <v>544</v>
      </c>
      <c r="I652" s="11" t="s">
        <v>667</v>
      </c>
      <c r="J652" s="11" t="s">
        <v>673</v>
      </c>
    </row>
    <row r="653" customFormat="false" ht="15" hidden="false" customHeight="false" outlineLevel="0" collapsed="false">
      <c r="A653" s="11" t="s">
        <v>537</v>
      </c>
      <c r="B653" s="11" t="s">
        <v>538</v>
      </c>
      <c r="C653" s="11" t="n">
        <v>2019</v>
      </c>
      <c r="D653" s="11" t="s">
        <v>26</v>
      </c>
      <c r="E653" s="17" t="n">
        <v>6171948</v>
      </c>
      <c r="F653" s="11" t="s">
        <v>119</v>
      </c>
      <c r="G653" s="11" t="s">
        <v>543</v>
      </c>
      <c r="H653" s="11" t="s">
        <v>544</v>
      </c>
      <c r="I653" s="11" t="s">
        <v>667</v>
      </c>
      <c r="J653" s="11" t="s">
        <v>673</v>
      </c>
    </row>
    <row r="654" customFormat="false" ht="15" hidden="false" customHeight="false" outlineLevel="0" collapsed="false">
      <c r="A654" s="11" t="s">
        <v>537</v>
      </c>
      <c r="B654" s="11" t="s">
        <v>538</v>
      </c>
      <c r="C654" s="11" t="n">
        <v>2020</v>
      </c>
      <c r="D654" s="11" t="s">
        <v>26</v>
      </c>
      <c r="E654" s="17" t="n">
        <v>6000000</v>
      </c>
      <c r="F654" s="11" t="s">
        <v>550</v>
      </c>
      <c r="G654" s="11" t="s">
        <v>551</v>
      </c>
      <c r="H654" s="11" t="s">
        <v>553</v>
      </c>
      <c r="I654" s="11" t="s">
        <v>667</v>
      </c>
      <c r="J654" s="11" t="s">
        <v>673</v>
      </c>
    </row>
    <row r="655" customFormat="false" ht="15" hidden="false" customHeight="false" outlineLevel="0" collapsed="false">
      <c r="A655" s="11" t="s">
        <v>537</v>
      </c>
      <c r="B655" s="11" t="s">
        <v>538</v>
      </c>
      <c r="C655" s="11" t="n">
        <v>2021</v>
      </c>
      <c r="D655" s="11" t="s">
        <v>26</v>
      </c>
      <c r="E655" s="17" t="n">
        <v>6000000</v>
      </c>
      <c r="F655" s="11" t="s">
        <v>550</v>
      </c>
      <c r="G655" s="11" t="s">
        <v>554</v>
      </c>
      <c r="H655" s="11" t="s">
        <v>556</v>
      </c>
      <c r="I655" s="11" t="s">
        <v>667</v>
      </c>
      <c r="J655" s="11" t="s">
        <v>673</v>
      </c>
    </row>
    <row r="656" customFormat="false" ht="15" hidden="false" customHeight="false" outlineLevel="0" collapsed="false">
      <c r="A656" s="11" t="s">
        <v>537</v>
      </c>
      <c r="B656" s="11" t="s">
        <v>538</v>
      </c>
      <c r="C656" s="11" t="n">
        <v>2010</v>
      </c>
      <c r="D656" s="11" t="s">
        <v>38</v>
      </c>
      <c r="E656" s="17" t="n">
        <v>53700</v>
      </c>
      <c r="F656" s="11" t="s">
        <v>123</v>
      </c>
      <c r="G656" s="11" t="s">
        <v>124</v>
      </c>
      <c r="H656" s="11" t="s">
        <v>545</v>
      </c>
      <c r="I656" s="11" t="s">
        <v>667</v>
      </c>
      <c r="J656" s="11" t="s">
        <v>674</v>
      </c>
    </row>
    <row r="657" customFormat="false" ht="15" hidden="false" customHeight="false" outlineLevel="0" collapsed="false">
      <c r="A657" s="11" t="s">
        <v>537</v>
      </c>
      <c r="B657" s="11" t="s">
        <v>538</v>
      </c>
      <c r="C657" s="11" t="n">
        <v>2011</v>
      </c>
      <c r="D657" s="11" t="s">
        <v>38</v>
      </c>
      <c r="E657" s="17" t="n">
        <v>54150</v>
      </c>
      <c r="F657" s="11" t="s">
        <v>123</v>
      </c>
      <c r="G657" s="11" t="s">
        <v>124</v>
      </c>
      <c r="H657" s="11" t="s">
        <v>545</v>
      </c>
      <c r="I657" s="11" t="s">
        <v>667</v>
      </c>
      <c r="J657" s="11" t="s">
        <v>674</v>
      </c>
    </row>
    <row r="658" customFormat="false" ht="15" hidden="false" customHeight="false" outlineLevel="0" collapsed="false">
      <c r="A658" s="11" t="s">
        <v>537</v>
      </c>
      <c r="B658" s="11" t="s">
        <v>538</v>
      </c>
      <c r="C658" s="11" t="n">
        <v>2012</v>
      </c>
      <c r="D658" s="11" t="s">
        <v>38</v>
      </c>
      <c r="E658" s="17" t="n">
        <v>49365</v>
      </c>
      <c r="F658" s="11" t="s">
        <v>123</v>
      </c>
      <c r="G658" s="11" t="s">
        <v>124</v>
      </c>
      <c r="H658" s="11" t="s">
        <v>545</v>
      </c>
      <c r="I658" s="11" t="s">
        <v>667</v>
      </c>
      <c r="J658" s="11" t="s">
        <v>674</v>
      </c>
    </row>
    <row r="659" customFormat="false" ht="15" hidden="false" customHeight="false" outlineLevel="0" collapsed="false">
      <c r="A659" s="11" t="s">
        <v>537</v>
      </c>
      <c r="B659" s="11" t="s">
        <v>538</v>
      </c>
      <c r="C659" s="11" t="n">
        <v>2013</v>
      </c>
      <c r="D659" s="11" t="s">
        <v>38</v>
      </c>
      <c r="E659" s="17" t="n">
        <v>57415</v>
      </c>
      <c r="F659" s="11" t="s">
        <v>123</v>
      </c>
      <c r="G659" s="11" t="s">
        <v>124</v>
      </c>
      <c r="H659" s="11" t="s">
        <v>545</v>
      </c>
      <c r="I659" s="11" t="s">
        <v>667</v>
      </c>
      <c r="J659" s="11" t="s">
        <v>674</v>
      </c>
    </row>
    <row r="660" customFormat="false" ht="15" hidden="false" customHeight="false" outlineLevel="0" collapsed="false">
      <c r="A660" s="11" t="s">
        <v>537</v>
      </c>
      <c r="B660" s="11" t="s">
        <v>538</v>
      </c>
      <c r="C660" s="11" t="n">
        <v>2014</v>
      </c>
      <c r="D660" s="11" t="s">
        <v>38</v>
      </c>
      <c r="E660" s="17" t="n">
        <v>65365</v>
      </c>
      <c r="F660" s="11" t="s">
        <v>123</v>
      </c>
      <c r="G660" s="11" t="s">
        <v>124</v>
      </c>
      <c r="H660" s="11" t="s">
        <v>545</v>
      </c>
      <c r="I660" s="11" t="s">
        <v>667</v>
      </c>
      <c r="J660" s="11" t="s">
        <v>674</v>
      </c>
    </row>
    <row r="661" customFormat="false" ht="15" hidden="false" customHeight="false" outlineLevel="0" collapsed="false">
      <c r="A661" s="11" t="s">
        <v>537</v>
      </c>
      <c r="B661" s="11" t="s">
        <v>538</v>
      </c>
      <c r="C661" s="11" t="n">
        <v>2015</v>
      </c>
      <c r="D661" s="11" t="s">
        <v>38</v>
      </c>
      <c r="E661" s="17" t="n">
        <v>70020</v>
      </c>
      <c r="F661" s="11" t="s">
        <v>123</v>
      </c>
      <c r="G661" s="11" t="s">
        <v>124</v>
      </c>
      <c r="H661" s="11" t="s">
        <v>545</v>
      </c>
      <c r="I661" s="11" t="s">
        <v>667</v>
      </c>
      <c r="J661" s="11" t="s">
        <v>674</v>
      </c>
    </row>
    <row r="662" customFormat="false" ht="15" hidden="false" customHeight="false" outlineLevel="0" collapsed="false">
      <c r="A662" s="11" t="s">
        <v>537</v>
      </c>
      <c r="B662" s="11" t="s">
        <v>538</v>
      </c>
      <c r="C662" s="11" t="n">
        <v>2016</v>
      </c>
      <c r="D662" s="11" t="s">
        <v>38</v>
      </c>
      <c r="E662" s="17" t="n">
        <v>59895</v>
      </c>
      <c r="F662" s="11" t="s">
        <v>123</v>
      </c>
      <c r="G662" s="11" t="s">
        <v>124</v>
      </c>
      <c r="H662" s="11" t="s">
        <v>545</v>
      </c>
      <c r="I662" s="11" t="s">
        <v>667</v>
      </c>
      <c r="J662" s="11" t="s">
        <v>674</v>
      </c>
    </row>
    <row r="663" customFormat="false" ht="15" hidden="false" customHeight="false" outlineLevel="0" collapsed="false">
      <c r="A663" s="11" t="s">
        <v>537</v>
      </c>
      <c r="B663" s="11" t="s">
        <v>538</v>
      </c>
      <c r="C663" s="11" t="n">
        <v>2017</v>
      </c>
      <c r="D663" s="11" t="s">
        <v>38</v>
      </c>
      <c r="E663" s="17" t="n">
        <v>54910</v>
      </c>
      <c r="F663" s="11" t="s">
        <v>123</v>
      </c>
      <c r="G663" s="11" t="s">
        <v>124</v>
      </c>
      <c r="H663" s="11" t="s">
        <v>545</v>
      </c>
      <c r="I663" s="11" t="s">
        <v>667</v>
      </c>
      <c r="J663" s="11" t="s">
        <v>674</v>
      </c>
    </row>
    <row r="664" customFormat="false" ht="15" hidden="false" customHeight="false" outlineLevel="0" collapsed="false">
      <c r="A664" s="11" t="s">
        <v>537</v>
      </c>
      <c r="B664" s="11" t="s">
        <v>538</v>
      </c>
      <c r="C664" s="11" t="n">
        <v>2018</v>
      </c>
      <c r="D664" s="11" t="s">
        <v>38</v>
      </c>
      <c r="E664" s="17" t="n">
        <v>27830</v>
      </c>
      <c r="F664" s="11" t="s">
        <v>123</v>
      </c>
      <c r="G664" s="11" t="s">
        <v>124</v>
      </c>
      <c r="H664" s="11" t="s">
        <v>545</v>
      </c>
      <c r="I664" s="11" t="s">
        <v>667</v>
      </c>
      <c r="J664" s="11" t="s">
        <v>674</v>
      </c>
    </row>
    <row r="665" customFormat="false" ht="15" hidden="false" customHeight="false" outlineLevel="0" collapsed="false">
      <c r="A665" s="11" t="s">
        <v>537</v>
      </c>
      <c r="B665" s="11" t="s">
        <v>538</v>
      </c>
      <c r="C665" s="11" t="n">
        <v>2019</v>
      </c>
      <c r="D665" s="11" t="s">
        <v>38</v>
      </c>
      <c r="E665" s="17" t="n">
        <v>22275</v>
      </c>
      <c r="F665" s="11" t="s">
        <v>123</v>
      </c>
      <c r="G665" s="11" t="s">
        <v>124</v>
      </c>
      <c r="H665" s="11" t="s">
        <v>545</v>
      </c>
      <c r="I665" s="11" t="s">
        <v>667</v>
      </c>
      <c r="J665" s="11" t="s">
        <v>674</v>
      </c>
    </row>
    <row r="666" customFormat="false" ht="15" hidden="false" customHeight="false" outlineLevel="0" collapsed="false">
      <c r="A666" s="11" t="s">
        <v>537</v>
      </c>
      <c r="B666" s="11" t="s">
        <v>538</v>
      </c>
      <c r="C666" s="11" t="n">
        <v>2017</v>
      </c>
      <c r="D666" s="11" t="s">
        <v>30</v>
      </c>
      <c r="E666" s="17" t="n">
        <v>800000</v>
      </c>
      <c r="F666" s="11" t="s">
        <v>546</v>
      </c>
      <c r="G666" s="11" t="s">
        <v>547</v>
      </c>
      <c r="H666" s="11" t="s">
        <v>548</v>
      </c>
      <c r="I666" s="11" t="s">
        <v>667</v>
      </c>
      <c r="J666" s="11" t="s">
        <v>674</v>
      </c>
    </row>
    <row r="667" customFormat="false" ht="15" hidden="false" customHeight="false" outlineLevel="0" collapsed="false">
      <c r="A667" s="11" t="s">
        <v>537</v>
      </c>
      <c r="B667" s="11" t="s">
        <v>538</v>
      </c>
      <c r="C667" s="11" t="n">
        <v>2010</v>
      </c>
      <c r="D667" s="11" t="s">
        <v>18</v>
      </c>
      <c r="E667" s="17" t="n">
        <v>62766365</v>
      </c>
      <c r="F667" s="11" t="s">
        <v>98</v>
      </c>
      <c r="G667" s="11" t="s">
        <v>99</v>
      </c>
      <c r="H667" s="11" t="s">
        <v>671</v>
      </c>
      <c r="I667" s="11" t="s">
        <v>667</v>
      </c>
      <c r="J667" s="11" t="s">
        <v>672</v>
      </c>
    </row>
    <row r="668" customFormat="false" ht="15" hidden="false" customHeight="false" outlineLevel="0" collapsed="false">
      <c r="A668" s="11" t="s">
        <v>537</v>
      </c>
      <c r="B668" s="11" t="s">
        <v>538</v>
      </c>
      <c r="C668" s="11" t="n">
        <v>2011</v>
      </c>
      <c r="D668" s="11" t="s">
        <v>18</v>
      </c>
      <c r="E668" s="17" t="n">
        <v>63258810</v>
      </c>
      <c r="F668" s="11" t="s">
        <v>98</v>
      </c>
      <c r="G668" s="11" t="s">
        <v>99</v>
      </c>
      <c r="H668" s="11" t="s">
        <v>671</v>
      </c>
      <c r="I668" s="11" t="s">
        <v>667</v>
      </c>
      <c r="J668" s="11" t="s">
        <v>672</v>
      </c>
    </row>
    <row r="669" customFormat="false" ht="15" hidden="false" customHeight="false" outlineLevel="0" collapsed="false">
      <c r="A669" s="11" t="s">
        <v>537</v>
      </c>
      <c r="B669" s="11" t="s">
        <v>538</v>
      </c>
      <c r="C669" s="11" t="n">
        <v>2012</v>
      </c>
      <c r="D669" s="11" t="s">
        <v>18</v>
      </c>
      <c r="E669" s="17" t="n">
        <v>63711000</v>
      </c>
      <c r="F669" s="11" t="s">
        <v>98</v>
      </c>
      <c r="G669" s="11" t="s">
        <v>99</v>
      </c>
      <c r="H669" s="11" t="s">
        <v>671</v>
      </c>
      <c r="I669" s="11" t="s">
        <v>667</v>
      </c>
      <c r="J669" s="11" t="s">
        <v>672</v>
      </c>
    </row>
    <row r="670" customFormat="false" ht="15" hidden="false" customHeight="false" outlineLevel="0" collapsed="false">
      <c r="A670" s="11" t="s">
        <v>537</v>
      </c>
      <c r="B670" s="11" t="s">
        <v>538</v>
      </c>
      <c r="C670" s="11" t="n">
        <v>2013</v>
      </c>
      <c r="D670" s="11" t="s">
        <v>18</v>
      </c>
      <c r="E670" s="17" t="n">
        <v>64138000</v>
      </c>
      <c r="F670" s="11" t="s">
        <v>98</v>
      </c>
      <c r="G670" s="11" t="s">
        <v>99</v>
      </c>
      <c r="H670" s="11" t="s">
        <v>671</v>
      </c>
      <c r="I670" s="11" t="s">
        <v>667</v>
      </c>
      <c r="J670" s="11" t="s">
        <v>672</v>
      </c>
    </row>
    <row r="671" customFormat="false" ht="15" hidden="false" customHeight="false" outlineLevel="0" collapsed="false">
      <c r="A671" s="11" t="s">
        <v>537</v>
      </c>
      <c r="B671" s="11" t="s">
        <v>538</v>
      </c>
      <c r="C671" s="11" t="n">
        <v>2014</v>
      </c>
      <c r="D671" s="11" t="s">
        <v>18</v>
      </c>
      <c r="E671" s="17" t="n">
        <v>64619000</v>
      </c>
      <c r="F671" s="11" t="s">
        <v>98</v>
      </c>
      <c r="G671" s="11" t="s">
        <v>99</v>
      </c>
      <c r="H671" s="11" t="s">
        <v>671</v>
      </c>
      <c r="I671" s="11" t="s">
        <v>667</v>
      </c>
      <c r="J671" s="11" t="s">
        <v>672</v>
      </c>
    </row>
    <row r="672" customFormat="false" ht="15" hidden="false" customHeight="false" outlineLevel="0" collapsed="false">
      <c r="A672" s="11" t="s">
        <v>537</v>
      </c>
      <c r="B672" s="11" t="s">
        <v>538</v>
      </c>
      <c r="C672" s="11" t="n">
        <v>2015</v>
      </c>
      <c r="D672" s="11" t="s">
        <v>18</v>
      </c>
      <c r="E672" s="17" t="n">
        <v>65087000</v>
      </c>
      <c r="F672" s="11" t="s">
        <v>98</v>
      </c>
      <c r="G672" s="11" t="s">
        <v>99</v>
      </c>
      <c r="H672" s="11" t="s">
        <v>671</v>
      </c>
      <c r="I672" s="11" t="s">
        <v>667</v>
      </c>
      <c r="J672" s="11" t="s">
        <v>672</v>
      </c>
    </row>
    <row r="673" customFormat="false" ht="15" hidden="false" customHeight="false" outlineLevel="0" collapsed="false">
      <c r="A673" s="11" t="s">
        <v>537</v>
      </c>
      <c r="B673" s="11" t="s">
        <v>538</v>
      </c>
      <c r="C673" s="11" t="n">
        <v>2016</v>
      </c>
      <c r="D673" s="11" t="s">
        <v>18</v>
      </c>
      <c r="E673" s="17" t="n">
        <v>65606000</v>
      </c>
      <c r="F673" s="11" t="s">
        <v>98</v>
      </c>
      <c r="G673" s="11" t="s">
        <v>99</v>
      </c>
      <c r="H673" s="11" t="s">
        <v>671</v>
      </c>
      <c r="I673" s="11" t="s">
        <v>667</v>
      </c>
      <c r="J673" s="11" t="s">
        <v>672</v>
      </c>
    </row>
    <row r="674" customFormat="false" ht="15" hidden="false" customHeight="false" outlineLevel="0" collapsed="false">
      <c r="A674" s="11" t="s">
        <v>537</v>
      </c>
      <c r="B674" s="11" t="s">
        <v>538</v>
      </c>
      <c r="C674" s="11" t="n">
        <v>2017</v>
      </c>
      <c r="D674" s="11" t="s">
        <v>18</v>
      </c>
      <c r="E674" s="17" t="n">
        <v>65964000</v>
      </c>
      <c r="F674" s="11" t="s">
        <v>98</v>
      </c>
      <c r="G674" s="11" t="s">
        <v>99</v>
      </c>
      <c r="H674" s="11" t="s">
        <v>671</v>
      </c>
      <c r="I674" s="11" t="s">
        <v>667</v>
      </c>
      <c r="J674" s="11" t="s">
        <v>672</v>
      </c>
    </row>
    <row r="675" customFormat="false" ht="15" hidden="false" customHeight="false" outlineLevel="0" collapsed="false">
      <c r="A675" s="11" t="s">
        <v>537</v>
      </c>
      <c r="B675" s="11" t="s">
        <v>538</v>
      </c>
      <c r="C675" s="11" t="n">
        <v>2018</v>
      </c>
      <c r="D675" s="11" t="s">
        <v>18</v>
      </c>
      <c r="E675" s="17" t="n">
        <v>66287000</v>
      </c>
      <c r="F675" s="11" t="s">
        <v>98</v>
      </c>
      <c r="G675" s="11" t="s">
        <v>99</v>
      </c>
      <c r="H675" s="11" t="s">
        <v>671</v>
      </c>
      <c r="I675" s="11" t="s">
        <v>667</v>
      </c>
      <c r="J675" s="11" t="s">
        <v>672</v>
      </c>
    </row>
    <row r="676" customFormat="false" ht="15" hidden="false" customHeight="false" outlineLevel="0" collapsed="false">
      <c r="A676" s="11" t="s">
        <v>537</v>
      </c>
      <c r="B676" s="11" t="s">
        <v>538</v>
      </c>
      <c r="C676" s="11" t="n">
        <v>2019</v>
      </c>
      <c r="D676" s="11" t="s">
        <v>18</v>
      </c>
      <c r="E676" s="17" t="n">
        <v>66628000</v>
      </c>
      <c r="F676" s="11" t="s">
        <v>98</v>
      </c>
      <c r="G676" s="11" t="s">
        <v>99</v>
      </c>
      <c r="H676" s="11" t="s">
        <v>671</v>
      </c>
      <c r="I676" s="11" t="s">
        <v>667</v>
      </c>
      <c r="J676" s="11" t="s">
        <v>672</v>
      </c>
    </row>
    <row r="677" customFormat="false" ht="15" hidden="false" customHeight="false" outlineLevel="0" collapsed="false">
      <c r="A677" s="11" t="s">
        <v>537</v>
      </c>
      <c r="B677" s="11" t="s">
        <v>538</v>
      </c>
      <c r="C677" s="11" t="n">
        <v>2020</v>
      </c>
      <c r="D677" s="11" t="s">
        <v>18</v>
      </c>
      <c r="E677" s="17" t="n">
        <v>66740000</v>
      </c>
      <c r="F677" s="11" t="s">
        <v>98</v>
      </c>
      <c r="G677" s="11" t="s">
        <v>99</v>
      </c>
      <c r="H677" s="11" t="s">
        <v>671</v>
      </c>
      <c r="I677" s="11" t="s">
        <v>667</v>
      </c>
      <c r="J677" s="11" t="s">
        <v>672</v>
      </c>
    </row>
    <row r="678" customFormat="false" ht="15" hidden="false" customHeight="false" outlineLevel="0" collapsed="false">
      <c r="A678" s="11" t="s">
        <v>537</v>
      </c>
      <c r="B678" s="11" t="s">
        <v>538</v>
      </c>
      <c r="C678" s="11" t="n">
        <v>2021</v>
      </c>
      <c r="D678" s="11" t="s">
        <v>18</v>
      </c>
      <c r="E678" s="17" t="n">
        <v>66978000</v>
      </c>
      <c r="F678" s="11" t="s">
        <v>98</v>
      </c>
      <c r="G678" s="11" t="s">
        <v>99</v>
      </c>
      <c r="H678" s="11" t="s">
        <v>671</v>
      </c>
      <c r="I678" s="11" t="s">
        <v>667</v>
      </c>
      <c r="J678" s="11" t="s">
        <v>672</v>
      </c>
    </row>
    <row r="679" customFormat="false" ht="15" hidden="false" customHeight="false" outlineLevel="0" collapsed="false">
      <c r="A679" s="11" t="s">
        <v>537</v>
      </c>
      <c r="B679" s="11" t="s">
        <v>538</v>
      </c>
      <c r="C679" s="11" t="n">
        <v>2022</v>
      </c>
      <c r="D679" s="11" t="s">
        <v>18</v>
      </c>
      <c r="E679" s="17" t="n">
        <v>67636000</v>
      </c>
      <c r="F679" s="11" t="s">
        <v>98</v>
      </c>
      <c r="G679" s="11" t="s">
        <v>99</v>
      </c>
      <c r="H679" s="11" t="s">
        <v>671</v>
      </c>
      <c r="I679" s="11" t="s">
        <v>667</v>
      </c>
      <c r="J679" s="11" t="s">
        <v>672</v>
      </c>
    </row>
    <row r="680" customFormat="false" ht="15" hidden="false" customHeight="false" outlineLevel="0" collapsed="false">
      <c r="A680" s="11" t="s">
        <v>178</v>
      </c>
      <c r="B680" s="11" t="s">
        <v>179</v>
      </c>
      <c r="C680" s="11" t="n">
        <v>2011</v>
      </c>
      <c r="D680" s="11" t="s">
        <v>22</v>
      </c>
      <c r="E680" s="17" t="n">
        <v>584947</v>
      </c>
      <c r="F680" s="11" t="s">
        <v>183</v>
      </c>
      <c r="G680" s="11" t="s">
        <v>184</v>
      </c>
      <c r="H680" s="11" t="s">
        <v>185</v>
      </c>
      <c r="I680" s="11" t="s">
        <v>667</v>
      </c>
      <c r="J680" s="11" t="s">
        <v>673</v>
      </c>
    </row>
    <row r="681" customFormat="false" ht="15" hidden="false" customHeight="false" outlineLevel="0" collapsed="false">
      <c r="A681" s="11" t="s">
        <v>178</v>
      </c>
      <c r="B681" s="11" t="s">
        <v>179</v>
      </c>
      <c r="C681" s="11" t="n">
        <v>2013</v>
      </c>
      <c r="D681" s="11" t="s">
        <v>22</v>
      </c>
      <c r="E681" s="17" t="n">
        <v>569220</v>
      </c>
      <c r="F681" s="11" t="s">
        <v>116</v>
      </c>
      <c r="G681" s="11" t="s">
        <v>188</v>
      </c>
      <c r="H681" s="11" t="s">
        <v>189</v>
      </c>
      <c r="I681" s="11" t="s">
        <v>667</v>
      </c>
      <c r="J681" s="11" t="s">
        <v>673</v>
      </c>
    </row>
    <row r="682" customFormat="false" ht="15" hidden="false" customHeight="false" outlineLevel="0" collapsed="false">
      <c r="A682" s="11" t="s">
        <v>178</v>
      </c>
      <c r="B682" s="11" t="s">
        <v>179</v>
      </c>
      <c r="C682" s="11" t="n">
        <v>2014</v>
      </c>
      <c r="D682" s="11" t="s">
        <v>22</v>
      </c>
      <c r="E682" s="17" t="n">
        <v>558092</v>
      </c>
      <c r="F682" s="11" t="s">
        <v>116</v>
      </c>
      <c r="G682" s="11" t="s">
        <v>188</v>
      </c>
      <c r="H682" s="11" t="s">
        <v>189</v>
      </c>
      <c r="I682" s="11" t="s">
        <v>667</v>
      </c>
      <c r="J682" s="11" t="s">
        <v>673</v>
      </c>
    </row>
    <row r="683" customFormat="false" ht="15" hidden="false" customHeight="false" outlineLevel="0" collapsed="false">
      <c r="A683" s="11" t="s">
        <v>178</v>
      </c>
      <c r="B683" s="11" t="s">
        <v>179</v>
      </c>
      <c r="C683" s="11" t="n">
        <v>2015</v>
      </c>
      <c r="D683" s="11" t="s">
        <v>22</v>
      </c>
      <c r="E683" s="17" t="n">
        <v>545115</v>
      </c>
      <c r="F683" s="11" t="s">
        <v>116</v>
      </c>
      <c r="G683" s="11" t="s">
        <v>188</v>
      </c>
      <c r="H683" s="11" t="s">
        <v>189</v>
      </c>
      <c r="I683" s="11" t="s">
        <v>667</v>
      </c>
      <c r="J683" s="11" t="s">
        <v>673</v>
      </c>
    </row>
    <row r="684" customFormat="false" ht="15" hidden="false" customHeight="false" outlineLevel="0" collapsed="false">
      <c r="A684" s="11" t="s">
        <v>178</v>
      </c>
      <c r="B684" s="11" t="s">
        <v>179</v>
      </c>
      <c r="C684" s="11" t="n">
        <v>2016</v>
      </c>
      <c r="D684" s="11" t="s">
        <v>22</v>
      </c>
      <c r="E684" s="17" t="n">
        <v>526279</v>
      </c>
      <c r="F684" s="11" t="s">
        <v>116</v>
      </c>
      <c r="G684" s="11" t="s">
        <v>188</v>
      </c>
      <c r="H684" s="11" t="s">
        <v>189</v>
      </c>
      <c r="I684" s="11" t="s">
        <v>667</v>
      </c>
      <c r="J684" s="11" t="s">
        <v>673</v>
      </c>
    </row>
    <row r="685" customFormat="false" ht="15" hidden="false" customHeight="false" outlineLevel="0" collapsed="false">
      <c r="A685" s="11" t="s">
        <v>178</v>
      </c>
      <c r="B685" s="11" t="s">
        <v>179</v>
      </c>
      <c r="C685" s="11" t="n">
        <v>2017</v>
      </c>
      <c r="D685" s="11" t="s">
        <v>22</v>
      </c>
      <c r="E685" s="17" t="n">
        <v>512411</v>
      </c>
      <c r="F685" s="11" t="s">
        <v>116</v>
      </c>
      <c r="G685" s="11" t="s">
        <v>188</v>
      </c>
      <c r="H685" s="11" t="s">
        <v>189</v>
      </c>
      <c r="I685" s="11" t="s">
        <v>667</v>
      </c>
      <c r="J685" s="11" t="s">
        <v>673</v>
      </c>
    </row>
    <row r="686" customFormat="false" ht="15" hidden="false" customHeight="false" outlineLevel="0" collapsed="false">
      <c r="A686" s="11" t="s">
        <v>178</v>
      </c>
      <c r="B686" s="11" t="s">
        <v>179</v>
      </c>
      <c r="C686" s="11" t="n">
        <v>2018</v>
      </c>
      <c r="D686" s="11" t="s">
        <v>22</v>
      </c>
      <c r="E686" s="17" t="n">
        <v>496265</v>
      </c>
      <c r="F686" s="11" t="s">
        <v>116</v>
      </c>
      <c r="G686" s="11" t="s">
        <v>188</v>
      </c>
      <c r="H686" s="11" t="s">
        <v>189</v>
      </c>
      <c r="I686" s="11" t="s">
        <v>667</v>
      </c>
      <c r="J686" s="11" t="s">
        <v>673</v>
      </c>
    </row>
    <row r="687" customFormat="false" ht="15" hidden="false" customHeight="false" outlineLevel="0" collapsed="false">
      <c r="A687" s="11" t="s">
        <v>178</v>
      </c>
      <c r="B687" s="11" t="s">
        <v>179</v>
      </c>
      <c r="C687" s="11" t="n">
        <v>2019</v>
      </c>
      <c r="D687" s="11" t="s">
        <v>22</v>
      </c>
      <c r="E687" s="17" t="n">
        <v>488393</v>
      </c>
      <c r="F687" s="11" t="s">
        <v>116</v>
      </c>
      <c r="G687" s="11" t="s">
        <v>188</v>
      </c>
      <c r="H687" s="11" t="s">
        <v>189</v>
      </c>
      <c r="I687" s="11" t="s">
        <v>667</v>
      </c>
      <c r="J687" s="11" t="s">
        <v>673</v>
      </c>
    </row>
    <row r="688" customFormat="false" ht="15" hidden="false" customHeight="false" outlineLevel="0" collapsed="false">
      <c r="A688" s="11" t="s">
        <v>178</v>
      </c>
      <c r="B688" s="11" t="s">
        <v>179</v>
      </c>
      <c r="C688" s="11" t="n">
        <v>2020</v>
      </c>
      <c r="D688" s="11" t="s">
        <v>22</v>
      </c>
      <c r="E688" s="17" t="n">
        <v>486390</v>
      </c>
      <c r="F688" s="11" t="s">
        <v>116</v>
      </c>
      <c r="G688" s="11" t="s">
        <v>188</v>
      </c>
      <c r="H688" s="11" t="s">
        <v>189</v>
      </c>
      <c r="I688" s="11" t="s">
        <v>667</v>
      </c>
      <c r="J688" s="11" t="s">
        <v>673</v>
      </c>
    </row>
    <row r="689" customFormat="false" ht="15" hidden="false" customHeight="false" outlineLevel="0" collapsed="false">
      <c r="A689" s="11" t="s">
        <v>178</v>
      </c>
      <c r="B689" s="11" t="s">
        <v>179</v>
      </c>
      <c r="C689" s="11" t="n">
        <v>2021</v>
      </c>
      <c r="D689" s="11" t="s">
        <v>22</v>
      </c>
      <c r="E689" s="17" t="n">
        <v>478056</v>
      </c>
      <c r="F689" s="11" t="s">
        <v>116</v>
      </c>
      <c r="G689" s="11" t="s">
        <v>188</v>
      </c>
      <c r="H689" s="11" t="s">
        <v>189</v>
      </c>
      <c r="I689" s="11" t="s">
        <v>667</v>
      </c>
      <c r="J689" s="11" t="s">
        <v>673</v>
      </c>
    </row>
    <row r="690" customFormat="false" ht="15" hidden="false" customHeight="false" outlineLevel="0" collapsed="false">
      <c r="A690" s="11" t="s">
        <v>178</v>
      </c>
      <c r="B690" s="11" t="s">
        <v>179</v>
      </c>
      <c r="C690" s="11" t="n">
        <v>2022</v>
      </c>
      <c r="D690" s="11" t="s">
        <v>22</v>
      </c>
      <c r="E690" s="17" t="n">
        <v>472308</v>
      </c>
      <c r="F690" s="11" t="s">
        <v>116</v>
      </c>
      <c r="G690" s="11" t="s">
        <v>188</v>
      </c>
      <c r="H690" s="11" t="s">
        <v>189</v>
      </c>
      <c r="I690" s="11" t="s">
        <v>667</v>
      </c>
      <c r="J690" s="11" t="s">
        <v>673</v>
      </c>
    </row>
    <row r="691" customFormat="false" ht="15" hidden="false" customHeight="false" outlineLevel="0" collapsed="false">
      <c r="A691" s="11" t="s">
        <v>178</v>
      </c>
      <c r="B691" s="11" t="s">
        <v>179</v>
      </c>
      <c r="C691" s="11" t="n">
        <v>2011</v>
      </c>
      <c r="D691" s="11" t="s">
        <v>26</v>
      </c>
      <c r="E691" s="17" t="n">
        <v>23276</v>
      </c>
      <c r="F691" s="11" t="s">
        <v>183</v>
      </c>
      <c r="G691" s="11" t="s">
        <v>186</v>
      </c>
      <c r="H691" s="11" t="s">
        <v>187</v>
      </c>
      <c r="I691" s="11" t="s">
        <v>667</v>
      </c>
      <c r="J691" s="11" t="s">
        <v>673</v>
      </c>
    </row>
    <row r="692" customFormat="false" ht="15" hidden="false" customHeight="false" outlineLevel="0" collapsed="false">
      <c r="A692" s="11" t="s">
        <v>178</v>
      </c>
      <c r="B692" s="11" t="s">
        <v>179</v>
      </c>
      <c r="C692" s="11" t="n">
        <v>2013</v>
      </c>
      <c r="D692" s="11" t="s">
        <v>26</v>
      </c>
      <c r="E692" s="17" t="n">
        <v>24142</v>
      </c>
      <c r="F692" s="11" t="s">
        <v>119</v>
      </c>
      <c r="G692" s="11" t="s">
        <v>190</v>
      </c>
      <c r="H692" s="11" t="s">
        <v>191</v>
      </c>
      <c r="I692" s="11" t="s">
        <v>667</v>
      </c>
      <c r="J692" s="11" t="s">
        <v>673</v>
      </c>
    </row>
    <row r="693" customFormat="false" ht="15" hidden="false" customHeight="false" outlineLevel="0" collapsed="false">
      <c r="A693" s="11" t="s">
        <v>178</v>
      </c>
      <c r="B693" s="11" t="s">
        <v>179</v>
      </c>
      <c r="C693" s="11" t="n">
        <v>2014</v>
      </c>
      <c r="D693" s="11" t="s">
        <v>26</v>
      </c>
      <c r="E693" s="17" t="n">
        <v>23801</v>
      </c>
      <c r="F693" s="11" t="s">
        <v>119</v>
      </c>
      <c r="G693" s="11" t="s">
        <v>190</v>
      </c>
      <c r="H693" s="11" t="s">
        <v>191</v>
      </c>
      <c r="I693" s="11" t="s">
        <v>667</v>
      </c>
      <c r="J693" s="11" t="s">
        <v>673</v>
      </c>
    </row>
    <row r="694" customFormat="false" ht="15" hidden="false" customHeight="false" outlineLevel="0" collapsed="false">
      <c r="A694" s="11" t="s">
        <v>178</v>
      </c>
      <c r="B694" s="11" t="s">
        <v>179</v>
      </c>
      <c r="C694" s="11" t="n">
        <v>2015</v>
      </c>
      <c r="D694" s="11" t="s">
        <v>26</v>
      </c>
      <c r="E694" s="17" t="n">
        <v>24125</v>
      </c>
      <c r="F694" s="11" t="s">
        <v>119</v>
      </c>
      <c r="G694" s="11" t="s">
        <v>190</v>
      </c>
      <c r="H694" s="11" t="s">
        <v>191</v>
      </c>
      <c r="I694" s="11" t="s">
        <v>667</v>
      </c>
      <c r="J694" s="11" t="s">
        <v>673</v>
      </c>
    </row>
    <row r="695" customFormat="false" ht="15" hidden="false" customHeight="false" outlineLevel="0" collapsed="false">
      <c r="A695" s="11" t="s">
        <v>178</v>
      </c>
      <c r="B695" s="11" t="s">
        <v>179</v>
      </c>
      <c r="C695" s="11" t="n">
        <v>2016</v>
      </c>
      <c r="D695" s="11" t="s">
        <v>26</v>
      </c>
      <c r="E695" s="17" t="n">
        <v>24231</v>
      </c>
      <c r="F695" s="11" t="s">
        <v>119</v>
      </c>
      <c r="G695" s="11" t="s">
        <v>190</v>
      </c>
      <c r="H695" s="11" t="s">
        <v>191</v>
      </c>
      <c r="I695" s="11" t="s">
        <v>667</v>
      </c>
      <c r="J695" s="11" t="s">
        <v>673</v>
      </c>
    </row>
    <row r="696" customFormat="false" ht="15" hidden="false" customHeight="false" outlineLevel="0" collapsed="false">
      <c r="A696" s="11" t="s">
        <v>178</v>
      </c>
      <c r="B696" s="11" t="s">
        <v>179</v>
      </c>
      <c r="C696" s="11" t="n">
        <v>2017</v>
      </c>
      <c r="D696" s="11" t="s">
        <v>26</v>
      </c>
      <c r="E696" s="17" t="n">
        <v>24102</v>
      </c>
      <c r="F696" s="11" t="s">
        <v>119</v>
      </c>
      <c r="G696" s="11" t="s">
        <v>190</v>
      </c>
      <c r="H696" s="11" t="s">
        <v>191</v>
      </c>
      <c r="I696" s="11" t="s">
        <v>667</v>
      </c>
      <c r="J696" s="11" t="s">
        <v>673</v>
      </c>
    </row>
    <row r="697" customFormat="false" ht="15" hidden="false" customHeight="false" outlineLevel="0" collapsed="false">
      <c r="A697" s="11" t="s">
        <v>178</v>
      </c>
      <c r="B697" s="11" t="s">
        <v>179</v>
      </c>
      <c r="C697" s="11" t="n">
        <v>2018</v>
      </c>
      <c r="D697" s="11" t="s">
        <v>26</v>
      </c>
      <c r="E697" s="17" t="n">
        <v>24024</v>
      </c>
      <c r="F697" s="11" t="s">
        <v>119</v>
      </c>
      <c r="G697" s="11" t="s">
        <v>190</v>
      </c>
      <c r="H697" s="11" t="s">
        <v>191</v>
      </c>
      <c r="I697" s="11" t="s">
        <v>667</v>
      </c>
      <c r="J697" s="11" t="s">
        <v>673</v>
      </c>
    </row>
    <row r="698" customFormat="false" ht="15" hidden="false" customHeight="false" outlineLevel="0" collapsed="false">
      <c r="A698" s="11" t="s">
        <v>178</v>
      </c>
      <c r="B698" s="11" t="s">
        <v>179</v>
      </c>
      <c r="C698" s="11" t="n">
        <v>2019</v>
      </c>
      <c r="D698" s="11" t="s">
        <v>26</v>
      </c>
      <c r="E698" s="17" t="n">
        <v>23878</v>
      </c>
      <c r="F698" s="11" t="s">
        <v>119</v>
      </c>
      <c r="G698" s="11" t="s">
        <v>190</v>
      </c>
      <c r="H698" s="11" t="s">
        <v>191</v>
      </c>
      <c r="I698" s="11" t="s">
        <v>667</v>
      </c>
      <c r="J698" s="11" t="s">
        <v>673</v>
      </c>
    </row>
    <row r="699" customFormat="false" ht="15" hidden="false" customHeight="false" outlineLevel="0" collapsed="false">
      <c r="A699" s="11" t="s">
        <v>178</v>
      </c>
      <c r="B699" s="11" t="s">
        <v>179</v>
      </c>
      <c r="C699" s="11" t="n">
        <v>2020</v>
      </c>
      <c r="D699" s="11" t="s">
        <v>26</v>
      </c>
      <c r="E699" s="17" t="n">
        <v>24631</v>
      </c>
      <c r="F699" s="11" t="s">
        <v>119</v>
      </c>
      <c r="G699" s="11" t="s">
        <v>190</v>
      </c>
      <c r="H699" s="11" t="s">
        <v>191</v>
      </c>
      <c r="I699" s="11" t="s">
        <v>667</v>
      </c>
      <c r="J699" s="11" t="s">
        <v>673</v>
      </c>
    </row>
    <row r="700" customFormat="false" ht="15" hidden="false" customHeight="false" outlineLevel="0" collapsed="false">
      <c r="A700" s="11" t="s">
        <v>178</v>
      </c>
      <c r="B700" s="11" t="s">
        <v>179</v>
      </c>
      <c r="C700" s="11" t="n">
        <v>2021</v>
      </c>
      <c r="D700" s="11" t="s">
        <v>26</v>
      </c>
      <c r="E700" s="17" t="n">
        <v>26259</v>
      </c>
      <c r="F700" s="11" t="s">
        <v>119</v>
      </c>
      <c r="G700" s="11" t="s">
        <v>190</v>
      </c>
      <c r="H700" s="11" t="s">
        <v>191</v>
      </c>
      <c r="I700" s="11" t="s">
        <v>667</v>
      </c>
      <c r="J700" s="11" t="s">
        <v>673</v>
      </c>
    </row>
    <row r="701" customFormat="false" ht="15" hidden="false" customHeight="false" outlineLevel="0" collapsed="false">
      <c r="A701" s="11" t="s">
        <v>178</v>
      </c>
      <c r="B701" s="11" t="s">
        <v>179</v>
      </c>
      <c r="C701" s="11" t="n">
        <v>2022</v>
      </c>
      <c r="D701" s="11" t="s">
        <v>26</v>
      </c>
      <c r="E701" s="17" t="n">
        <v>35919</v>
      </c>
      <c r="F701" s="11" t="s">
        <v>119</v>
      </c>
      <c r="G701" s="11" t="s">
        <v>190</v>
      </c>
      <c r="H701" s="11" t="s">
        <v>193</v>
      </c>
      <c r="I701" s="11" t="s">
        <v>667</v>
      </c>
      <c r="J701" s="11" t="s">
        <v>673</v>
      </c>
    </row>
    <row r="702" customFormat="false" ht="15" hidden="false" customHeight="false" outlineLevel="0" collapsed="false">
      <c r="A702" s="11" t="s">
        <v>178</v>
      </c>
      <c r="B702" s="11" t="s">
        <v>179</v>
      </c>
      <c r="C702" s="11" t="n">
        <v>2013</v>
      </c>
      <c r="D702" s="11" t="s">
        <v>38</v>
      </c>
      <c r="E702" s="17" t="n">
        <v>4150</v>
      </c>
      <c r="F702" s="11" t="s">
        <v>123</v>
      </c>
      <c r="G702" s="11" t="s">
        <v>124</v>
      </c>
      <c r="H702" s="11" t="s">
        <v>192</v>
      </c>
      <c r="I702" s="11" t="s">
        <v>667</v>
      </c>
      <c r="J702" s="11" t="s">
        <v>674</v>
      </c>
    </row>
    <row r="703" customFormat="false" ht="15" hidden="false" customHeight="false" outlineLevel="0" collapsed="false">
      <c r="A703" s="11" t="s">
        <v>178</v>
      </c>
      <c r="B703" s="11" t="s">
        <v>179</v>
      </c>
      <c r="C703" s="11" t="n">
        <v>2014</v>
      </c>
      <c r="D703" s="11" t="s">
        <v>38</v>
      </c>
      <c r="E703" s="17" t="n">
        <v>2500</v>
      </c>
      <c r="F703" s="11" t="s">
        <v>123</v>
      </c>
      <c r="G703" s="11" t="s">
        <v>124</v>
      </c>
      <c r="H703" s="11" t="s">
        <v>192</v>
      </c>
      <c r="I703" s="11" t="s">
        <v>667</v>
      </c>
      <c r="J703" s="11" t="s">
        <v>674</v>
      </c>
    </row>
    <row r="704" customFormat="false" ht="15" hidden="false" customHeight="false" outlineLevel="0" collapsed="false">
      <c r="A704" s="11" t="s">
        <v>178</v>
      </c>
      <c r="B704" s="11" t="s">
        <v>179</v>
      </c>
      <c r="C704" s="11" t="n">
        <v>2015</v>
      </c>
      <c r="D704" s="11" t="s">
        <v>38</v>
      </c>
      <c r="E704" s="17" t="n">
        <v>3295</v>
      </c>
      <c r="F704" s="11" t="s">
        <v>123</v>
      </c>
      <c r="G704" s="11" t="s">
        <v>124</v>
      </c>
      <c r="H704" s="11" t="s">
        <v>192</v>
      </c>
      <c r="I704" s="11" t="s">
        <v>667</v>
      </c>
      <c r="J704" s="11" t="s">
        <v>674</v>
      </c>
    </row>
    <row r="705" customFormat="false" ht="15" hidden="false" customHeight="false" outlineLevel="0" collapsed="false">
      <c r="A705" s="11" t="s">
        <v>178</v>
      </c>
      <c r="B705" s="11" t="s">
        <v>179</v>
      </c>
      <c r="C705" s="11" t="n">
        <v>2016</v>
      </c>
      <c r="D705" s="11" t="s">
        <v>38</v>
      </c>
      <c r="E705" s="17" t="n">
        <v>3320</v>
      </c>
      <c r="F705" s="11" t="s">
        <v>123</v>
      </c>
      <c r="G705" s="11" t="s">
        <v>124</v>
      </c>
      <c r="H705" s="11" t="s">
        <v>192</v>
      </c>
      <c r="I705" s="11" t="s">
        <v>667</v>
      </c>
      <c r="J705" s="11" t="s">
        <v>674</v>
      </c>
    </row>
    <row r="706" customFormat="false" ht="15" hidden="false" customHeight="false" outlineLevel="0" collapsed="false">
      <c r="A706" s="11" t="s">
        <v>178</v>
      </c>
      <c r="B706" s="11" t="s">
        <v>179</v>
      </c>
      <c r="C706" s="11" t="n">
        <v>2017</v>
      </c>
      <c r="D706" s="11" t="s">
        <v>38</v>
      </c>
      <c r="E706" s="17" t="n">
        <v>3495</v>
      </c>
      <c r="F706" s="11" t="s">
        <v>123</v>
      </c>
      <c r="G706" s="11" t="s">
        <v>124</v>
      </c>
      <c r="H706" s="11" t="s">
        <v>192</v>
      </c>
      <c r="I706" s="11" t="s">
        <v>667</v>
      </c>
      <c r="J706" s="11" t="s">
        <v>674</v>
      </c>
    </row>
    <row r="707" customFormat="false" ht="15" hidden="false" customHeight="false" outlineLevel="0" collapsed="false">
      <c r="A707" s="11" t="s">
        <v>178</v>
      </c>
      <c r="B707" s="11" t="s">
        <v>179</v>
      </c>
      <c r="C707" s="11" t="n">
        <v>2018</v>
      </c>
      <c r="D707" s="11" t="s">
        <v>38</v>
      </c>
      <c r="E707" s="17" t="n">
        <v>5580</v>
      </c>
      <c r="F707" s="11" t="s">
        <v>123</v>
      </c>
      <c r="G707" s="11" t="s">
        <v>124</v>
      </c>
      <c r="H707" s="11" t="s">
        <v>192</v>
      </c>
      <c r="I707" s="11" t="s">
        <v>667</v>
      </c>
      <c r="J707" s="11" t="s">
        <v>674</v>
      </c>
    </row>
    <row r="708" customFormat="false" ht="15" hidden="false" customHeight="false" outlineLevel="0" collapsed="false">
      <c r="A708" s="11" t="s">
        <v>178</v>
      </c>
      <c r="B708" s="11" t="s">
        <v>179</v>
      </c>
      <c r="C708" s="11" t="n">
        <v>2019</v>
      </c>
      <c r="D708" s="11" t="s">
        <v>38</v>
      </c>
      <c r="E708" s="17" t="n">
        <v>13630</v>
      </c>
      <c r="F708" s="11" t="s">
        <v>123</v>
      </c>
      <c r="G708" s="11" t="s">
        <v>124</v>
      </c>
      <c r="H708" s="11" t="s">
        <v>192</v>
      </c>
      <c r="I708" s="11" t="s">
        <v>667</v>
      </c>
      <c r="J708" s="11" t="s">
        <v>674</v>
      </c>
    </row>
    <row r="709" customFormat="false" ht="15" hidden="false" customHeight="false" outlineLevel="0" collapsed="false">
      <c r="A709" s="11" t="s">
        <v>178</v>
      </c>
      <c r="B709" s="11" t="s">
        <v>179</v>
      </c>
      <c r="C709" s="11" t="n">
        <v>2020</v>
      </c>
      <c r="D709" s="11" t="s">
        <v>38</v>
      </c>
      <c r="E709" s="17" t="n">
        <v>22240</v>
      </c>
      <c r="F709" s="11" t="s">
        <v>123</v>
      </c>
      <c r="G709" s="11" t="s">
        <v>124</v>
      </c>
      <c r="H709" s="11" t="s">
        <v>192</v>
      </c>
      <c r="I709" s="11" t="s">
        <v>667</v>
      </c>
      <c r="J709" s="11" t="s">
        <v>674</v>
      </c>
    </row>
    <row r="710" customFormat="false" ht="15" hidden="false" customHeight="false" outlineLevel="0" collapsed="false">
      <c r="A710" s="11" t="s">
        <v>178</v>
      </c>
      <c r="B710" s="11" t="s">
        <v>179</v>
      </c>
      <c r="C710" s="11" t="n">
        <v>2021</v>
      </c>
      <c r="D710" s="11" t="s">
        <v>38</v>
      </c>
      <c r="E710" s="17" t="n">
        <v>13540</v>
      </c>
      <c r="F710" s="11" t="s">
        <v>123</v>
      </c>
      <c r="G710" s="11" t="s">
        <v>124</v>
      </c>
      <c r="H710" s="11" t="s">
        <v>192</v>
      </c>
      <c r="I710" s="11" t="s">
        <v>667</v>
      </c>
      <c r="J710" s="11" t="s">
        <v>674</v>
      </c>
    </row>
    <row r="711" customFormat="false" ht="15" hidden="false" customHeight="false" outlineLevel="0" collapsed="false">
      <c r="A711" s="11" t="s">
        <v>178</v>
      </c>
      <c r="B711" s="11" t="s">
        <v>179</v>
      </c>
      <c r="C711" s="11" t="n">
        <v>2022</v>
      </c>
      <c r="D711" s="11" t="s">
        <v>38</v>
      </c>
      <c r="E711" s="17" t="n">
        <v>43830</v>
      </c>
      <c r="F711" s="11" t="s">
        <v>123</v>
      </c>
      <c r="G711" s="11" t="s">
        <v>124</v>
      </c>
      <c r="H711" s="11" t="s">
        <v>192</v>
      </c>
      <c r="I711" s="11" t="s">
        <v>667</v>
      </c>
      <c r="J711" s="11" t="s">
        <v>674</v>
      </c>
    </row>
    <row r="712" customFormat="false" ht="15" hidden="false" customHeight="false" outlineLevel="0" collapsed="false">
      <c r="A712" s="11" t="s">
        <v>178</v>
      </c>
      <c r="B712" s="11" t="s">
        <v>179</v>
      </c>
      <c r="C712" s="11" t="n">
        <v>2010</v>
      </c>
      <c r="D712" s="11" t="s">
        <v>18</v>
      </c>
      <c r="E712" s="17" t="n">
        <v>4295427</v>
      </c>
      <c r="F712" s="11" t="s">
        <v>98</v>
      </c>
      <c r="G712" s="11" t="s">
        <v>99</v>
      </c>
      <c r="H712" s="11" t="s">
        <v>671</v>
      </c>
      <c r="I712" s="11" t="s">
        <v>667</v>
      </c>
      <c r="J712" s="11" t="s">
        <v>672</v>
      </c>
    </row>
    <row r="713" customFormat="false" ht="15" hidden="false" customHeight="false" outlineLevel="0" collapsed="false">
      <c r="A713" s="11" t="s">
        <v>178</v>
      </c>
      <c r="B713" s="11" t="s">
        <v>179</v>
      </c>
      <c r="C713" s="11" t="n">
        <v>2011</v>
      </c>
      <c r="D713" s="11" t="s">
        <v>18</v>
      </c>
      <c r="E713" s="17" t="n">
        <v>4280622</v>
      </c>
      <c r="F713" s="11" t="s">
        <v>98</v>
      </c>
      <c r="G713" s="11" t="s">
        <v>99</v>
      </c>
      <c r="H713" s="11" t="s">
        <v>671</v>
      </c>
      <c r="I713" s="11" t="s">
        <v>667</v>
      </c>
      <c r="J713" s="11" t="s">
        <v>672</v>
      </c>
    </row>
    <row r="714" customFormat="false" ht="15" hidden="false" customHeight="false" outlineLevel="0" collapsed="false">
      <c r="A714" s="11" t="s">
        <v>178</v>
      </c>
      <c r="B714" s="11" t="s">
        <v>179</v>
      </c>
      <c r="C714" s="11" t="n">
        <v>2012</v>
      </c>
      <c r="D714" s="11" t="s">
        <v>18</v>
      </c>
      <c r="E714" s="17" t="n">
        <v>4260368</v>
      </c>
      <c r="F714" s="11" t="s">
        <v>98</v>
      </c>
      <c r="G714" s="11" t="s">
        <v>99</v>
      </c>
      <c r="H714" s="11" t="s">
        <v>671</v>
      </c>
      <c r="I714" s="11" t="s">
        <v>667</v>
      </c>
      <c r="J714" s="11" t="s">
        <v>672</v>
      </c>
    </row>
    <row r="715" customFormat="false" ht="15" hidden="false" customHeight="false" outlineLevel="0" collapsed="false">
      <c r="A715" s="11" t="s">
        <v>178</v>
      </c>
      <c r="B715" s="11" t="s">
        <v>179</v>
      </c>
      <c r="C715" s="11" t="n">
        <v>2013</v>
      </c>
      <c r="D715" s="11" t="s">
        <v>18</v>
      </c>
      <c r="E715" s="17" t="n">
        <v>4233922</v>
      </c>
      <c r="F715" s="11" t="s">
        <v>98</v>
      </c>
      <c r="G715" s="11" t="s">
        <v>99</v>
      </c>
      <c r="H715" s="11" t="s">
        <v>671</v>
      </c>
      <c r="I715" s="11" t="s">
        <v>667</v>
      </c>
      <c r="J715" s="11" t="s">
        <v>672</v>
      </c>
    </row>
    <row r="716" customFormat="false" ht="15" hidden="false" customHeight="false" outlineLevel="0" collapsed="false">
      <c r="A716" s="11" t="s">
        <v>178</v>
      </c>
      <c r="B716" s="11" t="s">
        <v>179</v>
      </c>
      <c r="C716" s="11" t="n">
        <v>2014</v>
      </c>
      <c r="D716" s="11" t="s">
        <v>18</v>
      </c>
      <c r="E716" s="17" t="n">
        <v>4201598</v>
      </c>
      <c r="F716" s="11" t="s">
        <v>98</v>
      </c>
      <c r="G716" s="11" t="s">
        <v>99</v>
      </c>
      <c r="H716" s="11" t="s">
        <v>671</v>
      </c>
      <c r="I716" s="11" t="s">
        <v>667</v>
      </c>
      <c r="J716" s="11" t="s">
        <v>672</v>
      </c>
    </row>
    <row r="717" customFormat="false" ht="15" hidden="false" customHeight="false" outlineLevel="0" collapsed="false">
      <c r="A717" s="11" t="s">
        <v>178</v>
      </c>
      <c r="B717" s="11" t="s">
        <v>179</v>
      </c>
      <c r="C717" s="11" t="n">
        <v>2015</v>
      </c>
      <c r="D717" s="11" t="s">
        <v>18</v>
      </c>
      <c r="E717" s="17" t="n">
        <v>4151725</v>
      </c>
      <c r="F717" s="11" t="s">
        <v>98</v>
      </c>
      <c r="G717" s="11" t="s">
        <v>99</v>
      </c>
      <c r="H717" s="11" t="s">
        <v>671</v>
      </c>
      <c r="I717" s="11" t="s">
        <v>667</v>
      </c>
      <c r="J717" s="11" t="s">
        <v>672</v>
      </c>
    </row>
    <row r="718" customFormat="false" ht="15" hidden="false" customHeight="false" outlineLevel="0" collapsed="false">
      <c r="A718" s="11" t="s">
        <v>178</v>
      </c>
      <c r="B718" s="11" t="s">
        <v>179</v>
      </c>
      <c r="C718" s="11" t="n">
        <v>2016</v>
      </c>
      <c r="D718" s="11" t="s">
        <v>18</v>
      </c>
      <c r="E718" s="17" t="n">
        <v>4106867</v>
      </c>
      <c r="F718" s="11" t="s">
        <v>98</v>
      </c>
      <c r="G718" s="11" t="s">
        <v>99</v>
      </c>
      <c r="H718" s="11" t="s">
        <v>671</v>
      </c>
      <c r="I718" s="11" t="s">
        <v>667</v>
      </c>
      <c r="J718" s="11" t="s">
        <v>672</v>
      </c>
    </row>
    <row r="719" customFormat="false" ht="15" hidden="false" customHeight="false" outlineLevel="0" collapsed="false">
      <c r="A719" s="11" t="s">
        <v>178</v>
      </c>
      <c r="B719" s="11" t="s">
        <v>179</v>
      </c>
      <c r="C719" s="11" t="n">
        <v>2017</v>
      </c>
      <c r="D719" s="11" t="s">
        <v>18</v>
      </c>
      <c r="E719" s="17" t="n">
        <v>4041407</v>
      </c>
      <c r="F719" s="11" t="s">
        <v>98</v>
      </c>
      <c r="G719" s="11" t="s">
        <v>99</v>
      </c>
      <c r="H719" s="11" t="s">
        <v>671</v>
      </c>
      <c r="I719" s="11" t="s">
        <v>667</v>
      </c>
      <c r="J719" s="11" t="s">
        <v>672</v>
      </c>
    </row>
    <row r="720" customFormat="false" ht="15" hidden="false" customHeight="false" outlineLevel="0" collapsed="false">
      <c r="A720" s="11" t="s">
        <v>178</v>
      </c>
      <c r="B720" s="11" t="s">
        <v>179</v>
      </c>
      <c r="C720" s="11" t="n">
        <v>2018</v>
      </c>
      <c r="D720" s="11" t="s">
        <v>18</v>
      </c>
      <c r="E720" s="17" t="n">
        <v>3988775</v>
      </c>
      <c r="F720" s="11" t="s">
        <v>98</v>
      </c>
      <c r="G720" s="11" t="s">
        <v>99</v>
      </c>
      <c r="H720" s="11" t="s">
        <v>671</v>
      </c>
      <c r="I720" s="11" t="s">
        <v>667</v>
      </c>
      <c r="J720" s="11" t="s">
        <v>672</v>
      </c>
    </row>
    <row r="721" customFormat="false" ht="15" hidden="false" customHeight="false" outlineLevel="0" collapsed="false">
      <c r="A721" s="11" t="s">
        <v>178</v>
      </c>
      <c r="B721" s="11" t="s">
        <v>179</v>
      </c>
      <c r="C721" s="11" t="n">
        <v>2019</v>
      </c>
      <c r="D721" s="11" t="s">
        <v>18</v>
      </c>
      <c r="E721" s="17" t="n">
        <v>3949390</v>
      </c>
      <c r="F721" s="11" t="s">
        <v>98</v>
      </c>
      <c r="G721" s="11" t="s">
        <v>99</v>
      </c>
      <c r="H721" s="11" t="s">
        <v>671</v>
      </c>
      <c r="I721" s="11" t="s">
        <v>667</v>
      </c>
      <c r="J721" s="11" t="s">
        <v>672</v>
      </c>
    </row>
    <row r="722" customFormat="false" ht="15" hidden="false" customHeight="false" outlineLevel="0" collapsed="false">
      <c r="A722" s="11" t="s">
        <v>178</v>
      </c>
      <c r="B722" s="11" t="s">
        <v>179</v>
      </c>
      <c r="C722" s="11" t="n">
        <v>2020</v>
      </c>
      <c r="D722" s="11" t="s">
        <v>18</v>
      </c>
      <c r="E722" s="17" t="n">
        <v>3914206</v>
      </c>
      <c r="F722" s="11" t="s">
        <v>98</v>
      </c>
      <c r="G722" s="11" t="s">
        <v>99</v>
      </c>
      <c r="H722" s="11" t="s">
        <v>671</v>
      </c>
      <c r="I722" s="11" t="s">
        <v>667</v>
      </c>
      <c r="J722" s="11" t="s">
        <v>672</v>
      </c>
    </row>
    <row r="723" customFormat="false" ht="15" hidden="false" customHeight="false" outlineLevel="0" collapsed="false">
      <c r="A723" s="11" t="s">
        <v>178</v>
      </c>
      <c r="B723" s="11" t="s">
        <v>179</v>
      </c>
      <c r="C723" s="11" t="n">
        <v>2021</v>
      </c>
      <c r="D723" s="11" t="s">
        <v>18</v>
      </c>
      <c r="E723" s="17" t="n">
        <v>3878981</v>
      </c>
      <c r="F723" s="11" t="s">
        <v>98</v>
      </c>
      <c r="G723" s="11" t="s">
        <v>99</v>
      </c>
      <c r="H723" s="11" t="s">
        <v>671</v>
      </c>
      <c r="I723" s="11" t="s">
        <v>667</v>
      </c>
      <c r="J723" s="11" t="s">
        <v>672</v>
      </c>
    </row>
    <row r="724" customFormat="false" ht="15" hidden="false" customHeight="false" outlineLevel="0" collapsed="false">
      <c r="A724" s="11" t="s">
        <v>178</v>
      </c>
      <c r="B724" s="11" t="s">
        <v>179</v>
      </c>
      <c r="C724" s="11" t="n">
        <v>2022</v>
      </c>
      <c r="D724" s="11" t="s">
        <v>18</v>
      </c>
      <c r="E724" s="17" t="n">
        <v>3855641</v>
      </c>
      <c r="F724" s="11" t="s">
        <v>98</v>
      </c>
      <c r="G724" s="11" t="s">
        <v>99</v>
      </c>
      <c r="H724" s="11" t="s">
        <v>671</v>
      </c>
      <c r="I724" s="11" t="s">
        <v>667</v>
      </c>
      <c r="J724" s="11" t="s">
        <v>672</v>
      </c>
    </row>
    <row r="725" customFormat="false" ht="15" hidden="false" customHeight="false" outlineLevel="0" collapsed="false">
      <c r="A725" s="11" t="s">
        <v>231</v>
      </c>
      <c r="B725" s="11" t="s">
        <v>232</v>
      </c>
      <c r="C725" s="11" t="n">
        <v>2010</v>
      </c>
      <c r="D725" s="11" t="s">
        <v>22</v>
      </c>
      <c r="E725" s="17" t="n">
        <v>436616</v>
      </c>
      <c r="F725" s="11" t="s">
        <v>116</v>
      </c>
      <c r="G725" s="11" t="s">
        <v>235</v>
      </c>
      <c r="H725" s="11" t="s">
        <v>118</v>
      </c>
      <c r="I725" s="11" t="s">
        <v>667</v>
      </c>
      <c r="J725" s="11" t="s">
        <v>673</v>
      </c>
    </row>
    <row r="726" customFormat="false" ht="15" hidden="false" customHeight="false" outlineLevel="0" collapsed="false">
      <c r="A726" s="11" t="s">
        <v>231</v>
      </c>
      <c r="B726" s="11" t="s">
        <v>232</v>
      </c>
      <c r="C726" s="11" t="n">
        <v>2011</v>
      </c>
      <c r="D726" s="11" t="s">
        <v>22</v>
      </c>
      <c r="E726" s="17" t="n">
        <v>443295</v>
      </c>
      <c r="F726" s="11" t="s">
        <v>116</v>
      </c>
      <c r="G726" s="11" t="s">
        <v>235</v>
      </c>
      <c r="H726" s="11" t="s">
        <v>118</v>
      </c>
      <c r="I726" s="11" t="s">
        <v>667</v>
      </c>
      <c r="J726" s="11" t="s">
        <v>673</v>
      </c>
    </row>
    <row r="727" customFormat="false" ht="15" hidden="false" customHeight="false" outlineLevel="0" collapsed="false">
      <c r="A727" s="11" t="s">
        <v>231</v>
      </c>
      <c r="B727" s="11" t="s">
        <v>232</v>
      </c>
      <c r="C727" s="11" t="n">
        <v>2012</v>
      </c>
      <c r="D727" s="11" t="s">
        <v>22</v>
      </c>
      <c r="E727" s="17" t="n">
        <v>401769</v>
      </c>
      <c r="F727" s="11" t="s">
        <v>116</v>
      </c>
      <c r="G727" s="11" t="s">
        <v>235</v>
      </c>
      <c r="H727" s="11" t="s">
        <v>200</v>
      </c>
      <c r="I727" s="11" t="s">
        <v>667</v>
      </c>
      <c r="J727" s="11" t="s">
        <v>673</v>
      </c>
    </row>
    <row r="728" customFormat="false" ht="15" hidden="false" customHeight="false" outlineLevel="0" collapsed="false">
      <c r="A728" s="11" t="s">
        <v>231</v>
      </c>
      <c r="B728" s="11" t="s">
        <v>232</v>
      </c>
      <c r="C728" s="11" t="n">
        <v>2013</v>
      </c>
      <c r="D728" s="11" t="s">
        <v>22</v>
      </c>
      <c r="E728" s="17" t="n">
        <v>423317</v>
      </c>
      <c r="F728" s="11" t="s">
        <v>116</v>
      </c>
      <c r="G728" s="11" t="s">
        <v>235</v>
      </c>
      <c r="H728" s="11" t="s">
        <v>118</v>
      </c>
      <c r="I728" s="11" t="s">
        <v>667</v>
      </c>
      <c r="J728" s="11" t="s">
        <v>673</v>
      </c>
    </row>
    <row r="729" customFormat="false" ht="15" hidden="false" customHeight="false" outlineLevel="0" collapsed="false">
      <c r="A729" s="11" t="s">
        <v>231</v>
      </c>
      <c r="B729" s="11" t="s">
        <v>232</v>
      </c>
      <c r="C729" s="11" t="n">
        <v>2014</v>
      </c>
      <c r="D729" s="11" t="s">
        <v>22</v>
      </c>
      <c r="E729" s="17" t="n">
        <v>447029</v>
      </c>
      <c r="F729" s="11" t="s">
        <v>116</v>
      </c>
      <c r="G729" s="11" t="s">
        <v>235</v>
      </c>
      <c r="H729" s="11" t="s">
        <v>118</v>
      </c>
      <c r="I729" s="11" t="s">
        <v>667</v>
      </c>
      <c r="J729" s="11" t="s">
        <v>673</v>
      </c>
    </row>
    <row r="730" customFormat="false" ht="15" hidden="false" customHeight="false" outlineLevel="0" collapsed="false">
      <c r="A730" s="11" t="s">
        <v>231</v>
      </c>
      <c r="B730" s="11" t="s">
        <v>232</v>
      </c>
      <c r="C730" s="11" t="n">
        <v>2015</v>
      </c>
      <c r="D730" s="11" t="s">
        <v>22</v>
      </c>
      <c r="E730" s="17" t="n">
        <v>475508</v>
      </c>
      <c r="F730" s="11" t="s">
        <v>116</v>
      </c>
      <c r="G730" s="11" t="s">
        <v>235</v>
      </c>
      <c r="H730" s="11" t="s">
        <v>118</v>
      </c>
      <c r="I730" s="11" t="s">
        <v>667</v>
      </c>
      <c r="J730" s="11" t="s">
        <v>673</v>
      </c>
    </row>
    <row r="731" customFormat="false" ht="15" hidden="false" customHeight="false" outlineLevel="0" collapsed="false">
      <c r="A731" s="11" t="s">
        <v>231</v>
      </c>
      <c r="B731" s="11" t="s">
        <v>232</v>
      </c>
      <c r="C731" s="11" t="n">
        <v>2016</v>
      </c>
      <c r="D731" s="11" t="s">
        <v>22</v>
      </c>
      <c r="E731" s="17" t="n">
        <v>503787</v>
      </c>
      <c r="F731" s="11" t="s">
        <v>116</v>
      </c>
      <c r="G731" s="11" t="s">
        <v>235</v>
      </c>
      <c r="H731" s="11" t="s">
        <v>118</v>
      </c>
      <c r="I731" s="11" t="s">
        <v>667</v>
      </c>
      <c r="J731" s="11" t="s">
        <v>673</v>
      </c>
    </row>
    <row r="732" customFormat="false" ht="15" hidden="false" customHeight="false" outlineLevel="0" collapsed="false">
      <c r="A732" s="11" t="s">
        <v>231</v>
      </c>
      <c r="B732" s="11" t="s">
        <v>232</v>
      </c>
      <c r="C732" s="11" t="n">
        <v>2017</v>
      </c>
      <c r="D732" s="11" t="s">
        <v>22</v>
      </c>
      <c r="E732" s="17" t="n">
        <v>513649</v>
      </c>
      <c r="F732" s="11" t="s">
        <v>116</v>
      </c>
      <c r="G732" s="11" t="s">
        <v>235</v>
      </c>
      <c r="H732" s="11" t="s">
        <v>118</v>
      </c>
      <c r="I732" s="11" t="s">
        <v>667</v>
      </c>
      <c r="J732" s="11" t="s">
        <v>673</v>
      </c>
    </row>
    <row r="733" customFormat="false" ht="15" hidden="false" customHeight="false" outlineLevel="0" collapsed="false">
      <c r="A733" s="11" t="s">
        <v>231</v>
      </c>
      <c r="B733" s="11" t="s">
        <v>232</v>
      </c>
      <c r="C733" s="11" t="n">
        <v>2018</v>
      </c>
      <c r="D733" s="11" t="s">
        <v>22</v>
      </c>
      <c r="E733" s="17" t="n">
        <v>536182</v>
      </c>
      <c r="F733" s="11" t="s">
        <v>116</v>
      </c>
      <c r="G733" s="11" t="s">
        <v>235</v>
      </c>
      <c r="H733" s="11" t="s">
        <v>118</v>
      </c>
      <c r="I733" s="11" t="s">
        <v>667</v>
      </c>
      <c r="J733" s="11" t="s">
        <v>673</v>
      </c>
    </row>
    <row r="734" customFormat="false" ht="15" hidden="false" customHeight="false" outlineLevel="0" collapsed="false">
      <c r="A734" s="11" t="s">
        <v>231</v>
      </c>
      <c r="B734" s="11" t="s">
        <v>232</v>
      </c>
      <c r="C734" s="11" t="n">
        <v>2019</v>
      </c>
      <c r="D734" s="11" t="s">
        <v>22</v>
      </c>
      <c r="E734" s="17" t="n">
        <v>564761</v>
      </c>
      <c r="F734" s="11" t="s">
        <v>116</v>
      </c>
      <c r="G734" s="11" t="s">
        <v>235</v>
      </c>
      <c r="H734" s="11" t="s">
        <v>118</v>
      </c>
      <c r="I734" s="11" t="s">
        <v>667</v>
      </c>
      <c r="J734" s="11" t="s">
        <v>673</v>
      </c>
    </row>
    <row r="735" customFormat="false" ht="15" hidden="false" customHeight="false" outlineLevel="0" collapsed="false">
      <c r="A735" s="11" t="s">
        <v>231</v>
      </c>
      <c r="B735" s="11" t="s">
        <v>232</v>
      </c>
      <c r="C735" s="11" t="n">
        <v>2020</v>
      </c>
      <c r="D735" s="11" t="s">
        <v>22</v>
      </c>
      <c r="E735" s="17" t="n">
        <v>593937</v>
      </c>
      <c r="F735" s="11" t="s">
        <v>116</v>
      </c>
      <c r="G735" s="11" t="s">
        <v>235</v>
      </c>
      <c r="H735" s="11" t="s">
        <v>118</v>
      </c>
      <c r="I735" s="11" t="s">
        <v>667</v>
      </c>
      <c r="J735" s="11" t="s">
        <v>673</v>
      </c>
    </row>
    <row r="736" customFormat="false" ht="15" hidden="false" customHeight="false" outlineLevel="0" collapsed="false">
      <c r="A736" s="11" t="s">
        <v>231</v>
      </c>
      <c r="B736" s="11" t="s">
        <v>232</v>
      </c>
      <c r="C736" s="11" t="n">
        <v>2021</v>
      </c>
      <c r="D736" s="11" t="s">
        <v>22</v>
      </c>
      <c r="E736" s="17" t="n">
        <v>597440</v>
      </c>
      <c r="F736" s="11" t="s">
        <v>116</v>
      </c>
      <c r="G736" s="11" t="s">
        <v>235</v>
      </c>
      <c r="H736" s="11" t="s">
        <v>118</v>
      </c>
      <c r="I736" s="11" t="s">
        <v>667</v>
      </c>
      <c r="J736" s="11" t="s">
        <v>673</v>
      </c>
    </row>
    <row r="737" customFormat="false" ht="15" hidden="false" customHeight="false" outlineLevel="0" collapsed="false">
      <c r="A737" s="11" t="s">
        <v>231</v>
      </c>
      <c r="B737" s="11" t="s">
        <v>232</v>
      </c>
      <c r="C737" s="11" t="n">
        <v>2022</v>
      </c>
      <c r="D737" s="11" t="s">
        <v>22</v>
      </c>
      <c r="E737" s="17" t="n">
        <v>612618</v>
      </c>
      <c r="F737" s="11" t="s">
        <v>116</v>
      </c>
      <c r="G737" s="11" t="s">
        <v>235</v>
      </c>
      <c r="H737" s="11" t="s">
        <v>118</v>
      </c>
      <c r="I737" s="11" t="s">
        <v>667</v>
      </c>
      <c r="J737" s="11" t="s">
        <v>673</v>
      </c>
    </row>
    <row r="738" customFormat="false" ht="15" hidden="false" customHeight="false" outlineLevel="0" collapsed="false">
      <c r="A738" s="11" t="s">
        <v>231</v>
      </c>
      <c r="B738" s="11" t="s">
        <v>232</v>
      </c>
      <c r="C738" s="11" t="n">
        <v>2010</v>
      </c>
      <c r="D738" s="11" t="s">
        <v>26</v>
      </c>
      <c r="E738" s="17" t="n">
        <v>200005</v>
      </c>
      <c r="F738" s="11" t="s">
        <v>119</v>
      </c>
      <c r="G738" s="11" t="s">
        <v>236</v>
      </c>
      <c r="H738" s="11" t="s">
        <v>121</v>
      </c>
      <c r="I738" s="11" t="s">
        <v>667</v>
      </c>
      <c r="J738" s="11" t="s">
        <v>673</v>
      </c>
    </row>
    <row r="739" customFormat="false" ht="15" hidden="false" customHeight="false" outlineLevel="0" collapsed="false">
      <c r="A739" s="11" t="s">
        <v>231</v>
      </c>
      <c r="B739" s="11" t="s">
        <v>232</v>
      </c>
      <c r="C739" s="11" t="n">
        <v>2011</v>
      </c>
      <c r="D739" s="11" t="s">
        <v>26</v>
      </c>
      <c r="E739" s="17" t="n">
        <v>209202</v>
      </c>
      <c r="F739" s="11" t="s">
        <v>119</v>
      </c>
      <c r="G739" s="11" t="s">
        <v>236</v>
      </c>
      <c r="H739" s="11" t="s">
        <v>121</v>
      </c>
      <c r="I739" s="11" t="s">
        <v>667</v>
      </c>
      <c r="J739" s="11" t="s">
        <v>673</v>
      </c>
    </row>
    <row r="740" customFormat="false" ht="15" hidden="false" customHeight="false" outlineLevel="0" collapsed="false">
      <c r="A740" s="11" t="s">
        <v>231</v>
      </c>
      <c r="B740" s="11" t="s">
        <v>232</v>
      </c>
      <c r="C740" s="11" t="n">
        <v>2012</v>
      </c>
      <c r="D740" s="11" t="s">
        <v>26</v>
      </c>
      <c r="E740" s="17" t="n">
        <v>143125</v>
      </c>
      <c r="F740" s="11" t="s">
        <v>119</v>
      </c>
      <c r="G740" s="11" t="s">
        <v>236</v>
      </c>
      <c r="H740" s="11" t="s">
        <v>144</v>
      </c>
      <c r="I740" s="11" t="s">
        <v>667</v>
      </c>
      <c r="J740" s="11" t="s">
        <v>673</v>
      </c>
    </row>
    <row r="741" customFormat="false" ht="15" hidden="false" customHeight="false" outlineLevel="0" collapsed="false">
      <c r="A741" s="11" t="s">
        <v>231</v>
      </c>
      <c r="B741" s="11" t="s">
        <v>232</v>
      </c>
      <c r="C741" s="11" t="n">
        <v>2013</v>
      </c>
      <c r="D741" s="11" t="s">
        <v>26</v>
      </c>
      <c r="E741" s="17" t="n">
        <v>141122</v>
      </c>
      <c r="F741" s="11" t="s">
        <v>119</v>
      </c>
      <c r="G741" s="11" t="s">
        <v>236</v>
      </c>
      <c r="H741" s="11" t="s">
        <v>121</v>
      </c>
      <c r="I741" s="11" t="s">
        <v>667</v>
      </c>
      <c r="J741" s="11" t="s">
        <v>673</v>
      </c>
    </row>
    <row r="742" customFormat="false" ht="15" hidden="false" customHeight="false" outlineLevel="0" collapsed="false">
      <c r="A742" s="11" t="s">
        <v>231</v>
      </c>
      <c r="B742" s="11" t="s">
        <v>232</v>
      </c>
      <c r="C742" s="11" t="n">
        <v>2014</v>
      </c>
      <c r="D742" s="11" t="s">
        <v>26</v>
      </c>
      <c r="E742" s="17" t="n">
        <v>140301</v>
      </c>
      <c r="F742" s="11" t="s">
        <v>119</v>
      </c>
      <c r="G742" s="11" t="s">
        <v>236</v>
      </c>
      <c r="H742" s="11" t="s">
        <v>121</v>
      </c>
      <c r="I742" s="11" t="s">
        <v>667</v>
      </c>
      <c r="J742" s="11" t="s">
        <v>673</v>
      </c>
    </row>
    <row r="743" customFormat="false" ht="15" hidden="false" customHeight="false" outlineLevel="0" collapsed="false">
      <c r="A743" s="11" t="s">
        <v>231</v>
      </c>
      <c r="B743" s="11" t="s">
        <v>232</v>
      </c>
      <c r="C743" s="11" t="n">
        <v>2015</v>
      </c>
      <c r="D743" s="11" t="s">
        <v>26</v>
      </c>
      <c r="E743" s="17" t="n">
        <v>145727</v>
      </c>
      <c r="F743" s="11" t="s">
        <v>119</v>
      </c>
      <c r="G743" s="11" t="s">
        <v>236</v>
      </c>
      <c r="H743" s="11" t="s">
        <v>121</v>
      </c>
      <c r="I743" s="11" t="s">
        <v>667</v>
      </c>
      <c r="J743" s="11" t="s">
        <v>673</v>
      </c>
    </row>
    <row r="744" customFormat="false" ht="15" hidden="false" customHeight="false" outlineLevel="0" collapsed="false">
      <c r="A744" s="11" t="s">
        <v>231</v>
      </c>
      <c r="B744" s="11" t="s">
        <v>232</v>
      </c>
      <c r="C744" s="11" t="n">
        <v>2016</v>
      </c>
      <c r="D744" s="11" t="s">
        <v>26</v>
      </c>
      <c r="E744" s="17" t="n">
        <v>156366</v>
      </c>
      <c r="F744" s="11" t="s">
        <v>119</v>
      </c>
      <c r="G744" s="11" t="s">
        <v>236</v>
      </c>
      <c r="H744" s="11" t="s">
        <v>121</v>
      </c>
      <c r="I744" s="11" t="s">
        <v>667</v>
      </c>
      <c r="J744" s="11" t="s">
        <v>673</v>
      </c>
    </row>
    <row r="745" customFormat="false" ht="15" hidden="false" customHeight="false" outlineLevel="0" collapsed="false">
      <c r="A745" s="11" t="s">
        <v>231</v>
      </c>
      <c r="B745" s="11" t="s">
        <v>232</v>
      </c>
      <c r="C745" s="11" t="n">
        <v>2017</v>
      </c>
      <c r="D745" s="11" t="s">
        <v>26</v>
      </c>
      <c r="E745" s="17" t="n">
        <v>150885</v>
      </c>
      <c r="F745" s="11" t="s">
        <v>119</v>
      </c>
      <c r="G745" s="11" t="s">
        <v>236</v>
      </c>
      <c r="H745" s="11" t="s">
        <v>121</v>
      </c>
      <c r="I745" s="11" t="s">
        <v>667</v>
      </c>
      <c r="J745" s="11" t="s">
        <v>673</v>
      </c>
    </row>
    <row r="746" customFormat="false" ht="15" hidden="false" customHeight="false" outlineLevel="0" collapsed="false">
      <c r="A746" s="11" t="s">
        <v>231</v>
      </c>
      <c r="B746" s="11" t="s">
        <v>232</v>
      </c>
      <c r="C746" s="11" t="n">
        <v>2018</v>
      </c>
      <c r="D746" s="11" t="s">
        <v>26</v>
      </c>
      <c r="E746" s="17" t="n">
        <v>161549</v>
      </c>
      <c r="F746" s="11" t="s">
        <v>119</v>
      </c>
      <c r="G746" s="11" t="s">
        <v>236</v>
      </c>
      <c r="H746" s="11" t="s">
        <v>121</v>
      </c>
      <c r="I746" s="11" t="s">
        <v>667</v>
      </c>
      <c r="J746" s="11" t="s">
        <v>673</v>
      </c>
    </row>
    <row r="747" customFormat="false" ht="15" hidden="false" customHeight="false" outlineLevel="0" collapsed="false">
      <c r="A747" s="11" t="s">
        <v>231</v>
      </c>
      <c r="B747" s="11" t="s">
        <v>232</v>
      </c>
      <c r="C747" s="11" t="n">
        <v>2019</v>
      </c>
      <c r="D747" s="11" t="s">
        <v>26</v>
      </c>
      <c r="E747" s="17" t="n">
        <v>180525</v>
      </c>
      <c r="F747" s="11" t="s">
        <v>119</v>
      </c>
      <c r="G747" s="11" t="s">
        <v>236</v>
      </c>
      <c r="H747" s="11" t="s">
        <v>121</v>
      </c>
      <c r="I747" s="11" t="s">
        <v>667</v>
      </c>
      <c r="J747" s="11" t="s">
        <v>673</v>
      </c>
    </row>
    <row r="748" customFormat="false" ht="15" hidden="false" customHeight="false" outlineLevel="0" collapsed="false">
      <c r="A748" s="11" t="s">
        <v>231</v>
      </c>
      <c r="B748" s="11" t="s">
        <v>232</v>
      </c>
      <c r="C748" s="11" t="n">
        <v>2020</v>
      </c>
      <c r="D748" s="11" t="s">
        <v>26</v>
      </c>
      <c r="E748" s="17" t="n">
        <v>199707</v>
      </c>
      <c r="F748" s="11" t="s">
        <v>119</v>
      </c>
      <c r="G748" s="11" t="s">
        <v>236</v>
      </c>
      <c r="H748" s="11" t="s">
        <v>121</v>
      </c>
      <c r="I748" s="11" t="s">
        <v>667</v>
      </c>
      <c r="J748" s="11" t="s">
        <v>673</v>
      </c>
    </row>
    <row r="749" customFormat="false" ht="15" hidden="false" customHeight="false" outlineLevel="0" collapsed="false">
      <c r="A749" s="11" t="s">
        <v>231</v>
      </c>
      <c r="B749" s="11" t="s">
        <v>232</v>
      </c>
      <c r="C749" s="11" t="n">
        <v>2021</v>
      </c>
      <c r="D749" s="11" t="s">
        <v>26</v>
      </c>
      <c r="E749" s="17" t="n">
        <v>194240</v>
      </c>
      <c r="F749" s="11" t="s">
        <v>119</v>
      </c>
      <c r="G749" s="11" t="s">
        <v>236</v>
      </c>
      <c r="H749" s="11" t="s">
        <v>121</v>
      </c>
      <c r="I749" s="11" t="s">
        <v>667</v>
      </c>
      <c r="J749" s="11" t="s">
        <v>673</v>
      </c>
    </row>
    <row r="750" customFormat="false" ht="15" hidden="false" customHeight="false" outlineLevel="0" collapsed="false">
      <c r="A750" s="11" t="s">
        <v>231</v>
      </c>
      <c r="B750" s="11" t="s">
        <v>232</v>
      </c>
      <c r="C750" s="11" t="n">
        <v>2022</v>
      </c>
      <c r="D750" s="11" t="s">
        <v>26</v>
      </c>
      <c r="E750" s="17" t="n">
        <v>202299</v>
      </c>
      <c r="F750" s="11" t="s">
        <v>119</v>
      </c>
      <c r="G750" s="11" t="s">
        <v>236</v>
      </c>
      <c r="H750" s="11" t="s">
        <v>121</v>
      </c>
      <c r="I750" s="11" t="s">
        <v>667</v>
      </c>
      <c r="J750" s="11" t="s">
        <v>673</v>
      </c>
    </row>
    <row r="751" customFormat="false" ht="15" hidden="false" customHeight="false" outlineLevel="0" collapsed="false">
      <c r="A751" s="11" t="s">
        <v>231</v>
      </c>
      <c r="B751" s="11" t="s">
        <v>232</v>
      </c>
      <c r="C751" s="11" t="n">
        <v>2010</v>
      </c>
      <c r="D751" s="11" t="s">
        <v>38</v>
      </c>
      <c r="E751" s="17" t="n">
        <v>6970</v>
      </c>
      <c r="F751" s="11" t="s">
        <v>123</v>
      </c>
      <c r="G751" s="11" t="s">
        <v>124</v>
      </c>
      <c r="H751" s="11" t="s">
        <v>125</v>
      </c>
      <c r="I751" s="11" t="s">
        <v>667</v>
      </c>
      <c r="J751" s="11" t="s">
        <v>674</v>
      </c>
    </row>
    <row r="752" customFormat="false" ht="15" hidden="false" customHeight="false" outlineLevel="0" collapsed="false">
      <c r="A752" s="11" t="s">
        <v>231</v>
      </c>
      <c r="B752" s="11" t="s">
        <v>232</v>
      </c>
      <c r="C752" s="11" t="n">
        <v>2011</v>
      </c>
      <c r="D752" s="11" t="s">
        <v>38</v>
      </c>
      <c r="E752" s="17" t="n">
        <v>9655</v>
      </c>
      <c r="F752" s="11" t="s">
        <v>123</v>
      </c>
      <c r="G752" s="11" t="s">
        <v>124</v>
      </c>
      <c r="H752" s="11" t="s">
        <v>125</v>
      </c>
      <c r="I752" s="11" t="s">
        <v>667</v>
      </c>
      <c r="J752" s="11" t="s">
        <v>674</v>
      </c>
    </row>
    <row r="753" customFormat="false" ht="15" hidden="false" customHeight="false" outlineLevel="0" collapsed="false">
      <c r="A753" s="11" t="s">
        <v>231</v>
      </c>
      <c r="B753" s="11" t="s">
        <v>232</v>
      </c>
      <c r="C753" s="11" t="n">
        <v>2012</v>
      </c>
      <c r="D753" s="11" t="s">
        <v>38</v>
      </c>
      <c r="E753" s="17" t="n">
        <v>12175</v>
      </c>
      <c r="F753" s="11" t="s">
        <v>123</v>
      </c>
      <c r="G753" s="11" t="s">
        <v>124</v>
      </c>
      <c r="H753" s="11" t="s">
        <v>125</v>
      </c>
      <c r="I753" s="11" t="s">
        <v>667</v>
      </c>
      <c r="J753" s="11" t="s">
        <v>674</v>
      </c>
    </row>
    <row r="754" customFormat="false" ht="15" hidden="false" customHeight="false" outlineLevel="0" collapsed="false">
      <c r="A754" s="11" t="s">
        <v>231</v>
      </c>
      <c r="B754" s="11" t="s">
        <v>232</v>
      </c>
      <c r="C754" s="11" t="n">
        <v>2013</v>
      </c>
      <c r="D754" s="11" t="s">
        <v>38</v>
      </c>
      <c r="E754" s="17" t="n">
        <v>28755</v>
      </c>
      <c r="F754" s="11" t="s">
        <v>123</v>
      </c>
      <c r="G754" s="11" t="s">
        <v>124</v>
      </c>
      <c r="H754" s="11" t="s">
        <v>125</v>
      </c>
      <c r="I754" s="11" t="s">
        <v>667</v>
      </c>
      <c r="J754" s="11" t="s">
        <v>674</v>
      </c>
    </row>
    <row r="755" customFormat="false" ht="15" hidden="false" customHeight="false" outlineLevel="0" collapsed="false">
      <c r="A755" s="11" t="s">
        <v>231</v>
      </c>
      <c r="B755" s="11" t="s">
        <v>232</v>
      </c>
      <c r="C755" s="11" t="n">
        <v>2014</v>
      </c>
      <c r="D755" s="11" t="s">
        <v>38</v>
      </c>
      <c r="E755" s="17" t="n">
        <v>56170</v>
      </c>
      <c r="F755" s="11" t="s">
        <v>123</v>
      </c>
      <c r="G755" s="11" t="s">
        <v>124</v>
      </c>
      <c r="H755" s="11" t="s">
        <v>125</v>
      </c>
      <c r="I755" s="11" t="s">
        <v>667</v>
      </c>
      <c r="J755" s="11" t="s">
        <v>674</v>
      </c>
    </row>
    <row r="756" customFormat="false" ht="15" hidden="false" customHeight="false" outlineLevel="0" collapsed="false">
      <c r="A756" s="11" t="s">
        <v>231</v>
      </c>
      <c r="B756" s="11" t="s">
        <v>232</v>
      </c>
      <c r="C756" s="11" t="n">
        <v>2015</v>
      </c>
      <c r="D756" s="11" t="s">
        <v>38</v>
      </c>
      <c r="E756" s="17" t="n">
        <v>424055</v>
      </c>
      <c r="F756" s="11" t="s">
        <v>123</v>
      </c>
      <c r="G756" s="11" t="s">
        <v>124</v>
      </c>
      <c r="H756" s="11" t="s">
        <v>125</v>
      </c>
      <c r="I756" s="11" t="s">
        <v>667</v>
      </c>
      <c r="J756" s="11" t="s">
        <v>674</v>
      </c>
    </row>
    <row r="757" customFormat="false" ht="15" hidden="false" customHeight="false" outlineLevel="0" collapsed="false">
      <c r="A757" s="11" t="s">
        <v>231</v>
      </c>
      <c r="B757" s="11" t="s">
        <v>232</v>
      </c>
      <c r="C757" s="11" t="n">
        <v>2016</v>
      </c>
      <c r="D757" s="11" t="s">
        <v>38</v>
      </c>
      <c r="E757" s="17" t="n">
        <v>41560</v>
      </c>
      <c r="F757" s="11" t="s">
        <v>123</v>
      </c>
      <c r="G757" s="11" t="s">
        <v>124</v>
      </c>
      <c r="H757" s="11" t="s">
        <v>125</v>
      </c>
      <c r="I757" s="11" t="s">
        <v>667</v>
      </c>
      <c r="J757" s="11" t="s">
        <v>674</v>
      </c>
    </row>
    <row r="758" customFormat="false" ht="15" hidden="false" customHeight="false" outlineLevel="0" collapsed="false">
      <c r="A758" s="11" t="s">
        <v>231</v>
      </c>
      <c r="B758" s="11" t="s">
        <v>232</v>
      </c>
      <c r="C758" s="11" t="n">
        <v>2017</v>
      </c>
      <c r="D758" s="11" t="s">
        <v>38</v>
      </c>
      <c r="E758" s="17" t="n">
        <v>25730</v>
      </c>
      <c r="F758" s="11" t="s">
        <v>123</v>
      </c>
      <c r="G758" s="11" t="s">
        <v>124</v>
      </c>
      <c r="H758" s="11" t="s">
        <v>125</v>
      </c>
      <c r="I758" s="11" t="s">
        <v>667</v>
      </c>
      <c r="J758" s="11" t="s">
        <v>674</v>
      </c>
    </row>
    <row r="759" customFormat="false" ht="15" hidden="false" customHeight="false" outlineLevel="0" collapsed="false">
      <c r="A759" s="11" t="s">
        <v>231</v>
      </c>
      <c r="B759" s="11" t="s">
        <v>232</v>
      </c>
      <c r="C759" s="11" t="n">
        <v>2018</v>
      </c>
      <c r="D759" s="11" t="s">
        <v>38</v>
      </c>
      <c r="E759" s="17" t="n">
        <v>18915</v>
      </c>
      <c r="F759" s="11" t="s">
        <v>123</v>
      </c>
      <c r="G759" s="11" t="s">
        <v>124</v>
      </c>
      <c r="H759" s="11" t="s">
        <v>125</v>
      </c>
      <c r="I759" s="11" t="s">
        <v>667</v>
      </c>
      <c r="J759" s="11" t="s">
        <v>674</v>
      </c>
    </row>
    <row r="760" customFormat="false" ht="15" hidden="false" customHeight="false" outlineLevel="0" collapsed="false">
      <c r="A760" s="11" t="s">
        <v>231</v>
      </c>
      <c r="B760" s="11" t="s">
        <v>232</v>
      </c>
      <c r="C760" s="11" t="n">
        <v>2019</v>
      </c>
      <c r="D760" s="11" t="s">
        <v>38</v>
      </c>
      <c r="E760" s="17" t="n">
        <v>36440</v>
      </c>
      <c r="F760" s="11" t="s">
        <v>123</v>
      </c>
      <c r="G760" s="11" t="s">
        <v>124</v>
      </c>
      <c r="H760" s="11" t="s">
        <v>125</v>
      </c>
      <c r="I760" s="11" t="s">
        <v>667</v>
      </c>
      <c r="J760" s="11" t="s">
        <v>674</v>
      </c>
    </row>
    <row r="761" customFormat="false" ht="15" hidden="false" customHeight="false" outlineLevel="0" collapsed="false">
      <c r="A761" s="11" t="s">
        <v>231</v>
      </c>
      <c r="B761" s="11" t="s">
        <v>232</v>
      </c>
      <c r="C761" s="11" t="n">
        <v>2020</v>
      </c>
      <c r="D761" s="11" t="s">
        <v>38</v>
      </c>
      <c r="E761" s="17" t="n">
        <v>89370</v>
      </c>
      <c r="F761" s="11" t="s">
        <v>123</v>
      </c>
      <c r="G761" s="11" t="s">
        <v>124</v>
      </c>
      <c r="H761" s="11" t="s">
        <v>125</v>
      </c>
      <c r="I761" s="11" t="s">
        <v>667</v>
      </c>
      <c r="J761" s="11" t="s">
        <v>674</v>
      </c>
    </row>
    <row r="762" customFormat="false" ht="15" hidden="false" customHeight="false" outlineLevel="0" collapsed="false">
      <c r="A762" s="11" t="s">
        <v>231</v>
      </c>
      <c r="B762" s="11" t="s">
        <v>232</v>
      </c>
      <c r="C762" s="11" t="n">
        <v>2021</v>
      </c>
      <c r="D762" s="11" t="s">
        <v>38</v>
      </c>
      <c r="E762" s="17" t="n">
        <v>134140</v>
      </c>
      <c r="F762" s="11" t="s">
        <v>123</v>
      </c>
      <c r="G762" s="11" t="s">
        <v>124</v>
      </c>
      <c r="H762" s="11" t="s">
        <v>125</v>
      </c>
      <c r="I762" s="11" t="s">
        <v>667</v>
      </c>
      <c r="J762" s="11" t="s">
        <v>674</v>
      </c>
    </row>
    <row r="763" customFormat="false" ht="15" hidden="false" customHeight="false" outlineLevel="0" collapsed="false">
      <c r="A763" s="11" t="s">
        <v>231</v>
      </c>
      <c r="B763" s="11" t="s">
        <v>232</v>
      </c>
      <c r="C763" s="11" t="n">
        <v>2022</v>
      </c>
      <c r="D763" s="11" t="s">
        <v>38</v>
      </c>
      <c r="E763" s="17" t="n">
        <v>222515</v>
      </c>
      <c r="F763" s="11" t="s">
        <v>123</v>
      </c>
      <c r="G763" s="11" t="s">
        <v>124</v>
      </c>
      <c r="H763" s="11" t="s">
        <v>125</v>
      </c>
      <c r="I763" s="11" t="s">
        <v>667</v>
      </c>
      <c r="J763" s="11" t="s">
        <v>674</v>
      </c>
    </row>
    <row r="764" customFormat="false" ht="15" hidden="false" customHeight="false" outlineLevel="0" collapsed="false">
      <c r="A764" s="11" t="s">
        <v>231</v>
      </c>
      <c r="B764" s="11" t="s">
        <v>232</v>
      </c>
      <c r="C764" s="11" t="n">
        <v>2010</v>
      </c>
      <c r="D764" s="11" t="s">
        <v>18</v>
      </c>
      <c r="E764" s="17" t="n">
        <v>10000023</v>
      </c>
      <c r="F764" s="11" t="s">
        <v>98</v>
      </c>
      <c r="G764" s="11" t="s">
        <v>99</v>
      </c>
      <c r="H764" s="11" t="s">
        <v>671</v>
      </c>
      <c r="I764" s="11" t="s">
        <v>667</v>
      </c>
      <c r="J764" s="11" t="s">
        <v>672</v>
      </c>
    </row>
    <row r="765" customFormat="false" ht="15" hidden="false" customHeight="false" outlineLevel="0" collapsed="false">
      <c r="A765" s="11" t="s">
        <v>231</v>
      </c>
      <c r="B765" s="11" t="s">
        <v>232</v>
      </c>
      <c r="C765" s="11" t="n">
        <v>2011</v>
      </c>
      <c r="D765" s="11" t="s">
        <v>18</v>
      </c>
      <c r="E765" s="17" t="n">
        <v>9971727</v>
      </c>
      <c r="F765" s="11" t="s">
        <v>98</v>
      </c>
      <c r="G765" s="11" t="s">
        <v>99</v>
      </c>
      <c r="H765" s="11" t="s">
        <v>671</v>
      </c>
      <c r="I765" s="11" t="s">
        <v>667</v>
      </c>
      <c r="J765" s="11" t="s">
        <v>672</v>
      </c>
    </row>
    <row r="766" customFormat="false" ht="15" hidden="false" customHeight="false" outlineLevel="0" collapsed="false">
      <c r="A766" s="11" t="s">
        <v>231</v>
      </c>
      <c r="B766" s="11" t="s">
        <v>232</v>
      </c>
      <c r="C766" s="11" t="n">
        <v>2012</v>
      </c>
      <c r="D766" s="11" t="s">
        <v>18</v>
      </c>
      <c r="E766" s="17" t="n">
        <v>9920362</v>
      </c>
      <c r="F766" s="11" t="s">
        <v>98</v>
      </c>
      <c r="G766" s="11" t="s">
        <v>99</v>
      </c>
      <c r="H766" s="11" t="s">
        <v>671</v>
      </c>
      <c r="I766" s="11" t="s">
        <v>667</v>
      </c>
      <c r="J766" s="11" t="s">
        <v>672</v>
      </c>
    </row>
    <row r="767" customFormat="false" ht="15" hidden="false" customHeight="false" outlineLevel="0" collapsed="false">
      <c r="A767" s="11" t="s">
        <v>231</v>
      </c>
      <c r="B767" s="11" t="s">
        <v>232</v>
      </c>
      <c r="C767" s="11" t="n">
        <v>2013</v>
      </c>
      <c r="D767" s="11" t="s">
        <v>18</v>
      </c>
      <c r="E767" s="17" t="n">
        <v>9872734</v>
      </c>
      <c r="F767" s="11" t="s">
        <v>98</v>
      </c>
      <c r="G767" s="11" t="s">
        <v>99</v>
      </c>
      <c r="H767" s="11" t="s">
        <v>671</v>
      </c>
      <c r="I767" s="11" t="s">
        <v>667</v>
      </c>
      <c r="J767" s="11" t="s">
        <v>672</v>
      </c>
    </row>
    <row r="768" customFormat="false" ht="15" hidden="false" customHeight="false" outlineLevel="0" collapsed="false">
      <c r="A768" s="11" t="s">
        <v>231</v>
      </c>
      <c r="B768" s="11" t="s">
        <v>232</v>
      </c>
      <c r="C768" s="11" t="n">
        <v>2014</v>
      </c>
      <c r="D768" s="11" t="s">
        <v>18</v>
      </c>
      <c r="E768" s="17" t="n">
        <v>9833038</v>
      </c>
      <c r="F768" s="11" t="s">
        <v>98</v>
      </c>
      <c r="G768" s="11" t="s">
        <v>99</v>
      </c>
      <c r="H768" s="11" t="s">
        <v>671</v>
      </c>
      <c r="I768" s="11" t="s">
        <v>667</v>
      </c>
      <c r="J768" s="11" t="s">
        <v>672</v>
      </c>
    </row>
    <row r="769" customFormat="false" ht="15" hidden="false" customHeight="false" outlineLevel="0" collapsed="false">
      <c r="A769" s="11" t="s">
        <v>231</v>
      </c>
      <c r="B769" s="11" t="s">
        <v>232</v>
      </c>
      <c r="C769" s="11" t="n">
        <v>2015</v>
      </c>
      <c r="D769" s="11" t="s">
        <v>18</v>
      </c>
      <c r="E769" s="17" t="n">
        <v>9797755</v>
      </c>
      <c r="F769" s="11" t="s">
        <v>98</v>
      </c>
      <c r="G769" s="11" t="s">
        <v>99</v>
      </c>
      <c r="H769" s="11" t="s">
        <v>671</v>
      </c>
      <c r="I769" s="11" t="s">
        <v>667</v>
      </c>
      <c r="J769" s="11" t="s">
        <v>672</v>
      </c>
    </row>
    <row r="770" customFormat="false" ht="15" hidden="false" customHeight="false" outlineLevel="0" collapsed="false">
      <c r="A770" s="11" t="s">
        <v>231</v>
      </c>
      <c r="B770" s="11" t="s">
        <v>232</v>
      </c>
      <c r="C770" s="11" t="n">
        <v>2016</v>
      </c>
      <c r="D770" s="11" t="s">
        <v>18</v>
      </c>
      <c r="E770" s="17" t="n">
        <v>9759755</v>
      </c>
      <c r="F770" s="11" t="s">
        <v>98</v>
      </c>
      <c r="G770" s="11" t="s">
        <v>99</v>
      </c>
      <c r="H770" s="11" t="s">
        <v>671</v>
      </c>
      <c r="I770" s="11" t="s">
        <v>667</v>
      </c>
      <c r="J770" s="11" t="s">
        <v>672</v>
      </c>
    </row>
    <row r="771" customFormat="false" ht="15" hidden="false" customHeight="false" outlineLevel="0" collapsed="false">
      <c r="A771" s="11" t="s">
        <v>231</v>
      </c>
      <c r="B771" s="11" t="s">
        <v>232</v>
      </c>
      <c r="C771" s="11" t="n">
        <v>2017</v>
      </c>
      <c r="D771" s="11" t="s">
        <v>18</v>
      </c>
      <c r="E771" s="17" t="n">
        <v>9726756</v>
      </c>
      <c r="F771" s="11" t="s">
        <v>98</v>
      </c>
      <c r="G771" s="11" t="s">
        <v>99</v>
      </c>
      <c r="H771" s="11" t="s">
        <v>671</v>
      </c>
      <c r="I771" s="11" t="s">
        <v>667</v>
      </c>
      <c r="J771" s="11" t="s">
        <v>672</v>
      </c>
    </row>
    <row r="772" customFormat="false" ht="15" hidden="false" customHeight="false" outlineLevel="0" collapsed="false">
      <c r="A772" s="11" t="s">
        <v>231</v>
      </c>
      <c r="B772" s="11" t="s">
        <v>232</v>
      </c>
      <c r="C772" s="11" t="n">
        <v>2018</v>
      </c>
      <c r="D772" s="11" t="s">
        <v>18</v>
      </c>
      <c r="E772" s="17" t="n">
        <v>9706964</v>
      </c>
      <c r="F772" s="11" t="s">
        <v>98</v>
      </c>
      <c r="G772" s="11" t="s">
        <v>99</v>
      </c>
      <c r="H772" s="11" t="s">
        <v>671</v>
      </c>
      <c r="I772" s="11" t="s">
        <v>667</v>
      </c>
      <c r="J772" s="11" t="s">
        <v>672</v>
      </c>
    </row>
    <row r="773" customFormat="false" ht="15" hidden="false" customHeight="false" outlineLevel="0" collapsed="false">
      <c r="A773" s="11" t="s">
        <v>231</v>
      </c>
      <c r="B773" s="11" t="s">
        <v>232</v>
      </c>
      <c r="C773" s="11" t="n">
        <v>2019</v>
      </c>
      <c r="D773" s="11" t="s">
        <v>18</v>
      </c>
      <c r="E773" s="17" t="n">
        <v>9694824</v>
      </c>
      <c r="F773" s="11" t="s">
        <v>98</v>
      </c>
      <c r="G773" s="11" t="s">
        <v>99</v>
      </c>
      <c r="H773" s="11" t="s">
        <v>671</v>
      </c>
      <c r="I773" s="11" t="s">
        <v>667</v>
      </c>
      <c r="J773" s="11" t="s">
        <v>672</v>
      </c>
    </row>
    <row r="774" customFormat="false" ht="15" hidden="false" customHeight="false" outlineLevel="0" collapsed="false">
      <c r="A774" s="11" t="s">
        <v>231</v>
      </c>
      <c r="B774" s="11" t="s">
        <v>232</v>
      </c>
      <c r="C774" s="11" t="n">
        <v>2020</v>
      </c>
      <c r="D774" s="11" t="s">
        <v>18</v>
      </c>
      <c r="E774" s="17" t="n">
        <v>9670419</v>
      </c>
      <c r="F774" s="11" t="s">
        <v>98</v>
      </c>
      <c r="G774" s="11" t="s">
        <v>99</v>
      </c>
      <c r="H774" s="11" t="s">
        <v>671</v>
      </c>
      <c r="I774" s="11" t="s">
        <v>667</v>
      </c>
      <c r="J774" s="11" t="s">
        <v>672</v>
      </c>
    </row>
    <row r="775" customFormat="false" ht="15" hidden="false" customHeight="false" outlineLevel="0" collapsed="false">
      <c r="A775" s="11" t="s">
        <v>231</v>
      </c>
      <c r="B775" s="11" t="s">
        <v>232</v>
      </c>
      <c r="C775" s="11" t="n">
        <v>2021</v>
      </c>
      <c r="D775" s="11" t="s">
        <v>18</v>
      </c>
      <c r="E775" s="17" t="n">
        <v>9630932</v>
      </c>
      <c r="F775" s="11" t="s">
        <v>98</v>
      </c>
      <c r="G775" s="11" t="s">
        <v>99</v>
      </c>
      <c r="H775" s="11" t="s">
        <v>671</v>
      </c>
      <c r="I775" s="11" t="s">
        <v>667</v>
      </c>
      <c r="J775" s="11" t="s">
        <v>672</v>
      </c>
    </row>
    <row r="776" customFormat="false" ht="15" hidden="false" customHeight="false" outlineLevel="0" collapsed="false">
      <c r="A776" s="11" t="s">
        <v>231</v>
      </c>
      <c r="B776" s="11" t="s">
        <v>232</v>
      </c>
      <c r="C776" s="11" t="n">
        <v>2022</v>
      </c>
      <c r="D776" s="11" t="s">
        <v>18</v>
      </c>
      <c r="E776" s="17" t="n">
        <v>9605074</v>
      </c>
      <c r="F776" s="11" t="s">
        <v>98</v>
      </c>
      <c r="G776" s="11" t="s">
        <v>99</v>
      </c>
      <c r="H776" s="11" t="s">
        <v>671</v>
      </c>
      <c r="I776" s="11" t="s">
        <v>667</v>
      </c>
      <c r="J776" s="11" t="s">
        <v>672</v>
      </c>
    </row>
    <row r="777" customFormat="false" ht="15" hidden="false" customHeight="false" outlineLevel="0" collapsed="false">
      <c r="A777" s="11" t="s">
        <v>244</v>
      </c>
      <c r="B777" s="11" t="s">
        <v>245</v>
      </c>
      <c r="C777" s="11" t="n">
        <v>2010</v>
      </c>
      <c r="D777" s="11" t="s">
        <v>22</v>
      </c>
      <c r="E777" s="17" t="n">
        <v>5601237</v>
      </c>
      <c r="F777" s="11" t="s">
        <v>167</v>
      </c>
      <c r="G777" s="11" t="s">
        <v>168</v>
      </c>
      <c r="H777" s="11" t="s">
        <v>174</v>
      </c>
      <c r="I777" s="11" t="s">
        <v>667</v>
      </c>
      <c r="J777" s="11" t="s">
        <v>676</v>
      </c>
    </row>
    <row r="778" customFormat="false" ht="15" hidden="false" customHeight="false" outlineLevel="0" collapsed="false">
      <c r="A778" s="11" t="s">
        <v>244</v>
      </c>
      <c r="B778" s="11" t="s">
        <v>245</v>
      </c>
      <c r="C778" s="11" t="n">
        <v>2011</v>
      </c>
      <c r="D778" s="11" t="s">
        <v>22</v>
      </c>
      <c r="E778" s="17" t="n">
        <v>5490000</v>
      </c>
      <c r="F778" s="11" t="s">
        <v>248</v>
      </c>
      <c r="G778" s="11" t="s">
        <v>249</v>
      </c>
      <c r="H778" s="11" t="s">
        <v>250</v>
      </c>
      <c r="I778" s="11" t="s">
        <v>667</v>
      </c>
      <c r="J778" s="11" t="s">
        <v>676</v>
      </c>
    </row>
    <row r="779" customFormat="false" ht="15" hidden="false" customHeight="false" outlineLevel="0" collapsed="false">
      <c r="A779" s="11" t="s">
        <v>244</v>
      </c>
      <c r="B779" s="11" t="s">
        <v>245</v>
      </c>
      <c r="C779" s="11" t="n">
        <v>2015</v>
      </c>
      <c r="D779" s="11" t="s">
        <v>22</v>
      </c>
      <c r="E779" s="17" t="n">
        <v>5252296</v>
      </c>
      <c r="F779" s="11" t="s">
        <v>167</v>
      </c>
      <c r="G779" s="11" t="s">
        <v>168</v>
      </c>
      <c r="H779" s="11" t="s">
        <v>174</v>
      </c>
      <c r="I779" s="11" t="s">
        <v>667</v>
      </c>
      <c r="J779" s="11" t="s">
        <v>676</v>
      </c>
    </row>
    <row r="780" customFormat="false" ht="15" hidden="false" customHeight="false" outlineLevel="0" collapsed="false">
      <c r="A780" s="11" t="s">
        <v>244</v>
      </c>
      <c r="B780" s="11" t="s">
        <v>245</v>
      </c>
      <c r="C780" s="11" t="n">
        <v>2020</v>
      </c>
      <c r="D780" s="11" t="s">
        <v>22</v>
      </c>
      <c r="E780" s="17" t="n">
        <v>4929816</v>
      </c>
      <c r="F780" s="11" t="s">
        <v>167</v>
      </c>
      <c r="G780" s="11" t="s">
        <v>168</v>
      </c>
      <c r="H780" s="11" t="s">
        <v>174</v>
      </c>
      <c r="I780" s="11" t="s">
        <v>667</v>
      </c>
      <c r="J780" s="11" t="s">
        <v>676</v>
      </c>
    </row>
    <row r="781" customFormat="false" ht="15" hidden="false" customHeight="false" outlineLevel="0" collapsed="false">
      <c r="A781" s="11" t="s">
        <v>244</v>
      </c>
      <c r="B781" s="11" t="s">
        <v>245</v>
      </c>
      <c r="C781" s="11" t="n">
        <v>2010</v>
      </c>
      <c r="D781" s="11" t="s">
        <v>18</v>
      </c>
      <c r="E781" s="17" t="n">
        <v>1243481564</v>
      </c>
      <c r="F781" s="11" t="s">
        <v>98</v>
      </c>
      <c r="G781" s="11" t="s">
        <v>99</v>
      </c>
      <c r="H781" s="11" t="s">
        <v>671</v>
      </c>
      <c r="I781" s="11" t="s">
        <v>667</v>
      </c>
      <c r="J781" s="11" t="s">
        <v>672</v>
      </c>
    </row>
    <row r="782" customFormat="false" ht="15" hidden="false" customHeight="false" outlineLevel="0" collapsed="false">
      <c r="A782" s="11" t="s">
        <v>244</v>
      </c>
      <c r="B782" s="11" t="s">
        <v>245</v>
      </c>
      <c r="C782" s="11" t="n">
        <v>2011</v>
      </c>
      <c r="D782" s="11" t="s">
        <v>18</v>
      </c>
      <c r="E782" s="17" t="n">
        <v>1261224954</v>
      </c>
      <c r="F782" s="11" t="s">
        <v>98</v>
      </c>
      <c r="G782" s="11" t="s">
        <v>99</v>
      </c>
      <c r="H782" s="11" t="s">
        <v>671</v>
      </c>
      <c r="I782" s="11" t="s">
        <v>667</v>
      </c>
      <c r="J782" s="11" t="s">
        <v>672</v>
      </c>
    </row>
    <row r="783" customFormat="false" ht="15" hidden="false" customHeight="false" outlineLevel="0" collapsed="false">
      <c r="A783" s="11" t="s">
        <v>244</v>
      </c>
      <c r="B783" s="11" t="s">
        <v>245</v>
      </c>
      <c r="C783" s="11" t="n">
        <v>2012</v>
      </c>
      <c r="D783" s="11" t="s">
        <v>18</v>
      </c>
      <c r="E783" s="17" t="n">
        <v>1278674502</v>
      </c>
      <c r="F783" s="11" t="s">
        <v>98</v>
      </c>
      <c r="G783" s="11" t="s">
        <v>99</v>
      </c>
      <c r="H783" s="11" t="s">
        <v>671</v>
      </c>
      <c r="I783" s="11" t="s">
        <v>667</v>
      </c>
      <c r="J783" s="11" t="s">
        <v>672</v>
      </c>
    </row>
    <row r="784" customFormat="false" ht="15" hidden="false" customHeight="false" outlineLevel="0" collapsed="false">
      <c r="A784" s="11" t="s">
        <v>244</v>
      </c>
      <c r="B784" s="11" t="s">
        <v>245</v>
      </c>
      <c r="C784" s="11" t="n">
        <v>2013</v>
      </c>
      <c r="D784" s="11" t="s">
        <v>18</v>
      </c>
      <c r="E784" s="17" t="n">
        <v>1295829511</v>
      </c>
      <c r="F784" s="11" t="s">
        <v>98</v>
      </c>
      <c r="G784" s="11" t="s">
        <v>99</v>
      </c>
      <c r="H784" s="11" t="s">
        <v>671</v>
      </c>
      <c r="I784" s="11" t="s">
        <v>667</v>
      </c>
      <c r="J784" s="11" t="s">
        <v>672</v>
      </c>
    </row>
    <row r="785" customFormat="false" ht="15" hidden="false" customHeight="false" outlineLevel="0" collapsed="false">
      <c r="A785" s="11" t="s">
        <v>244</v>
      </c>
      <c r="B785" s="11" t="s">
        <v>245</v>
      </c>
      <c r="C785" s="11" t="n">
        <v>2014</v>
      </c>
      <c r="D785" s="11" t="s">
        <v>18</v>
      </c>
      <c r="E785" s="17" t="n">
        <v>1312277191</v>
      </c>
      <c r="F785" s="11" t="s">
        <v>98</v>
      </c>
      <c r="G785" s="11" t="s">
        <v>99</v>
      </c>
      <c r="H785" s="11" t="s">
        <v>671</v>
      </c>
      <c r="I785" s="11" t="s">
        <v>667</v>
      </c>
      <c r="J785" s="11" t="s">
        <v>672</v>
      </c>
    </row>
    <row r="786" customFormat="false" ht="15" hidden="false" customHeight="false" outlineLevel="0" collapsed="false">
      <c r="A786" s="11" t="s">
        <v>244</v>
      </c>
      <c r="B786" s="11" t="s">
        <v>245</v>
      </c>
      <c r="C786" s="11" t="n">
        <v>2015</v>
      </c>
      <c r="D786" s="11" t="s">
        <v>18</v>
      </c>
      <c r="E786" s="17" t="n">
        <v>1328024498</v>
      </c>
      <c r="F786" s="11" t="s">
        <v>98</v>
      </c>
      <c r="G786" s="11" t="s">
        <v>99</v>
      </c>
      <c r="H786" s="11" t="s">
        <v>671</v>
      </c>
      <c r="I786" s="11" t="s">
        <v>667</v>
      </c>
      <c r="J786" s="11" t="s">
        <v>672</v>
      </c>
    </row>
    <row r="787" customFormat="false" ht="15" hidden="false" customHeight="false" outlineLevel="0" collapsed="false">
      <c r="A787" s="11" t="s">
        <v>244</v>
      </c>
      <c r="B787" s="11" t="s">
        <v>245</v>
      </c>
      <c r="C787" s="11" t="n">
        <v>2016</v>
      </c>
      <c r="D787" s="11" t="s">
        <v>18</v>
      </c>
      <c r="E787" s="17" t="n">
        <v>1343944296</v>
      </c>
      <c r="F787" s="11" t="s">
        <v>98</v>
      </c>
      <c r="G787" s="11" t="s">
        <v>99</v>
      </c>
      <c r="H787" s="11" t="s">
        <v>671</v>
      </c>
      <c r="I787" s="11" t="s">
        <v>667</v>
      </c>
      <c r="J787" s="11" t="s">
        <v>672</v>
      </c>
    </row>
    <row r="788" customFormat="false" ht="15" hidden="false" customHeight="false" outlineLevel="0" collapsed="false">
      <c r="A788" s="11" t="s">
        <v>244</v>
      </c>
      <c r="B788" s="11" t="s">
        <v>245</v>
      </c>
      <c r="C788" s="11" t="n">
        <v>2017</v>
      </c>
      <c r="D788" s="11" t="s">
        <v>18</v>
      </c>
      <c r="E788" s="17" t="n">
        <v>1359657400</v>
      </c>
      <c r="F788" s="11" t="s">
        <v>98</v>
      </c>
      <c r="G788" s="11" t="s">
        <v>99</v>
      </c>
      <c r="H788" s="11" t="s">
        <v>671</v>
      </c>
      <c r="I788" s="11" t="s">
        <v>667</v>
      </c>
      <c r="J788" s="11" t="s">
        <v>672</v>
      </c>
    </row>
    <row r="789" customFormat="false" ht="15" hidden="false" customHeight="false" outlineLevel="0" collapsed="false">
      <c r="A789" s="11" t="s">
        <v>244</v>
      </c>
      <c r="B789" s="11" t="s">
        <v>245</v>
      </c>
      <c r="C789" s="11" t="n">
        <v>2018</v>
      </c>
      <c r="D789" s="11" t="s">
        <v>18</v>
      </c>
      <c r="E789" s="17" t="n">
        <v>1374659064</v>
      </c>
      <c r="F789" s="11" t="s">
        <v>98</v>
      </c>
      <c r="G789" s="11" t="s">
        <v>99</v>
      </c>
      <c r="H789" s="11" t="s">
        <v>671</v>
      </c>
      <c r="I789" s="11" t="s">
        <v>667</v>
      </c>
      <c r="J789" s="11" t="s">
        <v>672</v>
      </c>
    </row>
    <row r="790" customFormat="false" ht="15" hidden="false" customHeight="false" outlineLevel="0" collapsed="false">
      <c r="A790" s="11" t="s">
        <v>244</v>
      </c>
      <c r="B790" s="11" t="s">
        <v>245</v>
      </c>
      <c r="C790" s="11" t="n">
        <v>2019</v>
      </c>
      <c r="D790" s="11" t="s">
        <v>18</v>
      </c>
      <c r="E790" s="17" t="n">
        <v>1389030312</v>
      </c>
      <c r="F790" s="11" t="s">
        <v>98</v>
      </c>
      <c r="G790" s="11" t="s">
        <v>99</v>
      </c>
      <c r="H790" s="11" t="s">
        <v>671</v>
      </c>
      <c r="I790" s="11" t="s">
        <v>667</v>
      </c>
      <c r="J790" s="11" t="s">
        <v>672</v>
      </c>
    </row>
    <row r="791" customFormat="false" ht="15" hidden="false" customHeight="false" outlineLevel="0" collapsed="false">
      <c r="A791" s="11" t="s">
        <v>244</v>
      </c>
      <c r="B791" s="11" t="s">
        <v>245</v>
      </c>
      <c r="C791" s="11" t="n">
        <v>2020</v>
      </c>
      <c r="D791" s="11" t="s">
        <v>18</v>
      </c>
      <c r="E791" s="17" t="n">
        <v>1402617695</v>
      </c>
      <c r="F791" s="11" t="s">
        <v>98</v>
      </c>
      <c r="G791" s="11" t="s">
        <v>99</v>
      </c>
      <c r="H791" s="11" t="s">
        <v>671</v>
      </c>
      <c r="I791" s="11" t="s">
        <v>667</v>
      </c>
      <c r="J791" s="11" t="s">
        <v>672</v>
      </c>
    </row>
    <row r="792" customFormat="false" ht="15" hidden="false" customHeight="false" outlineLevel="0" collapsed="false">
      <c r="A792" s="11" t="s">
        <v>244</v>
      </c>
      <c r="B792" s="11" t="s">
        <v>245</v>
      </c>
      <c r="C792" s="11" t="n">
        <v>2021</v>
      </c>
      <c r="D792" s="11" t="s">
        <v>18</v>
      </c>
      <c r="E792" s="17" t="n">
        <v>1414203896</v>
      </c>
      <c r="F792" s="11" t="s">
        <v>98</v>
      </c>
      <c r="G792" s="11" t="s">
        <v>99</v>
      </c>
      <c r="H792" s="11" t="s">
        <v>671</v>
      </c>
      <c r="I792" s="11" t="s">
        <v>667</v>
      </c>
      <c r="J792" s="11" t="s">
        <v>672</v>
      </c>
    </row>
    <row r="793" customFormat="false" ht="15" hidden="false" customHeight="false" outlineLevel="0" collapsed="false">
      <c r="A793" s="11" t="s">
        <v>244</v>
      </c>
      <c r="B793" s="11" t="s">
        <v>245</v>
      </c>
      <c r="C793" s="11" t="n">
        <v>2022</v>
      </c>
      <c r="D793" s="11" t="s">
        <v>18</v>
      </c>
      <c r="E793" s="17" t="n">
        <v>1425423212</v>
      </c>
      <c r="F793" s="11" t="s">
        <v>98</v>
      </c>
      <c r="G793" s="11" t="s">
        <v>99</v>
      </c>
      <c r="H793" s="11" t="s">
        <v>671</v>
      </c>
      <c r="I793" s="11" t="s">
        <v>667</v>
      </c>
      <c r="J793" s="11" t="s">
        <v>672</v>
      </c>
    </row>
    <row r="794" customFormat="false" ht="15" hidden="false" customHeight="false" outlineLevel="0" collapsed="false">
      <c r="A794" s="11" t="s">
        <v>237</v>
      </c>
      <c r="B794" s="11" t="s">
        <v>238</v>
      </c>
      <c r="C794" s="11" t="n">
        <v>2010</v>
      </c>
      <c r="D794" s="11" t="s">
        <v>22</v>
      </c>
      <c r="E794" s="17" t="n">
        <v>35091</v>
      </c>
      <c r="F794" s="11" t="s">
        <v>116</v>
      </c>
      <c r="G794" s="11" t="s">
        <v>241</v>
      </c>
      <c r="H794" s="11" t="s">
        <v>118</v>
      </c>
      <c r="I794" s="11" t="s">
        <v>667</v>
      </c>
      <c r="J794" s="11" t="s">
        <v>673</v>
      </c>
    </row>
    <row r="795" customFormat="false" ht="15" hidden="false" customHeight="false" outlineLevel="0" collapsed="false">
      <c r="A795" s="11" t="s">
        <v>237</v>
      </c>
      <c r="B795" s="11" t="s">
        <v>238</v>
      </c>
      <c r="C795" s="11" t="n">
        <v>2011</v>
      </c>
      <c r="D795" s="11" t="s">
        <v>22</v>
      </c>
      <c r="E795" s="17" t="n">
        <v>34650</v>
      </c>
      <c r="F795" s="11" t="s">
        <v>116</v>
      </c>
      <c r="G795" s="11" t="s">
        <v>241</v>
      </c>
      <c r="H795" s="11" t="s">
        <v>118</v>
      </c>
      <c r="I795" s="11" t="s">
        <v>667</v>
      </c>
      <c r="J795" s="11" t="s">
        <v>673</v>
      </c>
    </row>
    <row r="796" customFormat="false" ht="15" hidden="false" customHeight="false" outlineLevel="0" collapsed="false">
      <c r="A796" s="11" t="s">
        <v>237</v>
      </c>
      <c r="B796" s="11" t="s">
        <v>238</v>
      </c>
      <c r="C796" s="11" t="n">
        <v>2012</v>
      </c>
      <c r="D796" s="11" t="s">
        <v>22</v>
      </c>
      <c r="E796" s="17" t="n">
        <v>34550</v>
      </c>
      <c r="F796" s="11" t="s">
        <v>116</v>
      </c>
      <c r="G796" s="11" t="s">
        <v>241</v>
      </c>
      <c r="H796" s="11" t="s">
        <v>118</v>
      </c>
      <c r="I796" s="11" t="s">
        <v>667</v>
      </c>
      <c r="J796" s="11" t="s">
        <v>673</v>
      </c>
    </row>
    <row r="797" customFormat="false" ht="15" hidden="false" customHeight="false" outlineLevel="0" collapsed="false">
      <c r="A797" s="11" t="s">
        <v>237</v>
      </c>
      <c r="B797" s="11" t="s">
        <v>238</v>
      </c>
      <c r="C797" s="11" t="n">
        <v>2013</v>
      </c>
      <c r="D797" s="11" t="s">
        <v>22</v>
      </c>
      <c r="E797" s="17" t="n">
        <v>35319</v>
      </c>
      <c r="F797" s="11" t="s">
        <v>116</v>
      </c>
      <c r="G797" s="11" t="s">
        <v>241</v>
      </c>
      <c r="H797" s="11" t="s">
        <v>118</v>
      </c>
      <c r="I797" s="11" t="s">
        <v>667</v>
      </c>
      <c r="J797" s="11" t="s">
        <v>673</v>
      </c>
    </row>
    <row r="798" customFormat="false" ht="15" hidden="false" customHeight="false" outlineLevel="0" collapsed="false">
      <c r="A798" s="11" t="s">
        <v>237</v>
      </c>
      <c r="B798" s="11" t="s">
        <v>238</v>
      </c>
      <c r="C798" s="11" t="n">
        <v>2014</v>
      </c>
      <c r="D798" s="11" t="s">
        <v>22</v>
      </c>
      <c r="E798" s="17" t="n">
        <v>37116</v>
      </c>
      <c r="F798" s="11" t="s">
        <v>116</v>
      </c>
      <c r="G798" s="11" t="s">
        <v>241</v>
      </c>
      <c r="H798" s="11" t="s">
        <v>118</v>
      </c>
      <c r="I798" s="11" t="s">
        <v>667</v>
      </c>
      <c r="J798" s="11" t="s">
        <v>673</v>
      </c>
    </row>
    <row r="799" customFormat="false" ht="15" hidden="false" customHeight="false" outlineLevel="0" collapsed="false">
      <c r="A799" s="11" t="s">
        <v>237</v>
      </c>
      <c r="B799" s="11" t="s">
        <v>238</v>
      </c>
      <c r="C799" s="11" t="n">
        <v>2015</v>
      </c>
      <c r="D799" s="11" t="s">
        <v>22</v>
      </c>
      <c r="E799" s="17" t="n">
        <v>39072</v>
      </c>
      <c r="F799" s="11" t="s">
        <v>116</v>
      </c>
      <c r="G799" s="11" t="s">
        <v>241</v>
      </c>
      <c r="H799" s="11" t="s">
        <v>118</v>
      </c>
      <c r="I799" s="11" t="s">
        <v>667</v>
      </c>
      <c r="J799" s="11" t="s">
        <v>673</v>
      </c>
    </row>
    <row r="800" customFormat="false" ht="15" hidden="false" customHeight="false" outlineLevel="0" collapsed="false">
      <c r="A800" s="11" t="s">
        <v>237</v>
      </c>
      <c r="B800" s="11" t="s">
        <v>238</v>
      </c>
      <c r="C800" s="11" t="n">
        <v>2016</v>
      </c>
      <c r="D800" s="11" t="s">
        <v>22</v>
      </c>
      <c r="E800" s="17" t="n">
        <v>41853</v>
      </c>
      <c r="F800" s="11" t="s">
        <v>116</v>
      </c>
      <c r="G800" s="11" t="s">
        <v>241</v>
      </c>
      <c r="H800" s="11" t="s">
        <v>118</v>
      </c>
      <c r="I800" s="11" t="s">
        <v>667</v>
      </c>
      <c r="J800" s="11" t="s">
        <v>673</v>
      </c>
    </row>
    <row r="801" customFormat="false" ht="15" hidden="false" customHeight="false" outlineLevel="0" collapsed="false">
      <c r="A801" s="11" t="s">
        <v>237</v>
      </c>
      <c r="B801" s="11" t="s">
        <v>238</v>
      </c>
      <c r="C801" s="11" t="n">
        <v>2017</v>
      </c>
      <c r="D801" s="11" t="s">
        <v>22</v>
      </c>
      <c r="E801" s="17" t="n">
        <v>46080</v>
      </c>
      <c r="F801" s="11" t="s">
        <v>116</v>
      </c>
      <c r="G801" s="11" t="s">
        <v>241</v>
      </c>
      <c r="H801" s="11" t="s">
        <v>118</v>
      </c>
      <c r="I801" s="11" t="s">
        <v>667</v>
      </c>
      <c r="J801" s="11" t="s">
        <v>673</v>
      </c>
    </row>
    <row r="802" customFormat="false" ht="15" hidden="false" customHeight="false" outlineLevel="0" collapsed="false">
      <c r="A802" s="11" t="s">
        <v>237</v>
      </c>
      <c r="B802" s="11" t="s">
        <v>238</v>
      </c>
      <c r="C802" s="11" t="n">
        <v>2018</v>
      </c>
      <c r="D802" s="11" t="s">
        <v>22</v>
      </c>
      <c r="E802" s="17" t="n">
        <v>53540</v>
      </c>
      <c r="F802" s="11" t="s">
        <v>116</v>
      </c>
      <c r="G802" s="11" t="s">
        <v>241</v>
      </c>
      <c r="H802" s="11" t="s">
        <v>118</v>
      </c>
      <c r="I802" s="11" t="s">
        <v>667</v>
      </c>
      <c r="J802" s="11" t="s">
        <v>673</v>
      </c>
    </row>
    <row r="803" customFormat="false" ht="15" hidden="false" customHeight="false" outlineLevel="0" collapsed="false">
      <c r="A803" s="11" t="s">
        <v>237</v>
      </c>
      <c r="B803" s="11" t="s">
        <v>238</v>
      </c>
      <c r="C803" s="11" t="n">
        <v>2019</v>
      </c>
      <c r="D803" s="11" t="s">
        <v>22</v>
      </c>
      <c r="E803" s="17" t="n">
        <v>59999</v>
      </c>
      <c r="F803" s="11" t="s">
        <v>116</v>
      </c>
      <c r="G803" s="11" t="s">
        <v>241</v>
      </c>
      <c r="H803" s="11" t="s">
        <v>118</v>
      </c>
      <c r="I803" s="11" t="s">
        <v>667</v>
      </c>
      <c r="J803" s="11" t="s">
        <v>673</v>
      </c>
    </row>
    <row r="804" customFormat="false" ht="15" hidden="false" customHeight="false" outlineLevel="0" collapsed="false">
      <c r="A804" s="11" t="s">
        <v>237</v>
      </c>
      <c r="B804" s="11" t="s">
        <v>238</v>
      </c>
      <c r="C804" s="11" t="n">
        <v>2020</v>
      </c>
      <c r="D804" s="11" t="s">
        <v>22</v>
      </c>
      <c r="E804" s="17" t="n">
        <v>65205</v>
      </c>
      <c r="F804" s="11" t="s">
        <v>116</v>
      </c>
      <c r="G804" s="11" t="s">
        <v>241</v>
      </c>
      <c r="H804" s="11" t="s">
        <v>118</v>
      </c>
      <c r="I804" s="11" t="s">
        <v>667</v>
      </c>
      <c r="J804" s="11" t="s">
        <v>673</v>
      </c>
    </row>
    <row r="805" customFormat="false" ht="15" hidden="false" customHeight="false" outlineLevel="0" collapsed="false">
      <c r="A805" s="11" t="s">
        <v>237</v>
      </c>
      <c r="B805" s="11" t="s">
        <v>238</v>
      </c>
      <c r="C805" s="11" t="n">
        <v>2021</v>
      </c>
      <c r="D805" s="11" t="s">
        <v>22</v>
      </c>
      <c r="E805" s="17" t="n">
        <v>67438</v>
      </c>
      <c r="F805" s="11" t="s">
        <v>116</v>
      </c>
      <c r="G805" s="11" t="s">
        <v>241</v>
      </c>
      <c r="H805" s="11" t="s">
        <v>118</v>
      </c>
      <c r="I805" s="11" t="s">
        <v>667</v>
      </c>
      <c r="J805" s="11" t="s">
        <v>673</v>
      </c>
    </row>
    <row r="806" customFormat="false" ht="15" hidden="false" customHeight="false" outlineLevel="0" collapsed="false">
      <c r="A806" s="11" t="s">
        <v>237</v>
      </c>
      <c r="B806" s="11" t="s">
        <v>238</v>
      </c>
      <c r="C806" s="11" t="n">
        <v>2022</v>
      </c>
      <c r="D806" s="11" t="s">
        <v>22</v>
      </c>
      <c r="E806" s="17" t="n">
        <v>71767</v>
      </c>
      <c r="F806" s="11" t="s">
        <v>116</v>
      </c>
      <c r="G806" s="11" t="s">
        <v>241</v>
      </c>
      <c r="H806" s="11" t="s">
        <v>118</v>
      </c>
      <c r="I806" s="11" t="s">
        <v>667</v>
      </c>
      <c r="J806" s="11" t="s">
        <v>673</v>
      </c>
    </row>
    <row r="807" customFormat="false" ht="15" hidden="false" customHeight="false" outlineLevel="0" collapsed="false">
      <c r="A807" s="11" t="s">
        <v>237</v>
      </c>
      <c r="B807" s="11" t="s">
        <v>238</v>
      </c>
      <c r="C807" s="11" t="n">
        <v>2010</v>
      </c>
      <c r="D807" s="11" t="s">
        <v>26</v>
      </c>
      <c r="E807" s="17" t="n">
        <v>21701</v>
      </c>
      <c r="F807" s="11" t="s">
        <v>119</v>
      </c>
      <c r="G807" s="11" t="s">
        <v>242</v>
      </c>
      <c r="H807" s="11" t="s">
        <v>121</v>
      </c>
      <c r="I807" s="11" t="s">
        <v>667</v>
      </c>
      <c r="J807" s="11" t="s">
        <v>673</v>
      </c>
    </row>
    <row r="808" customFormat="false" ht="15" hidden="false" customHeight="false" outlineLevel="0" collapsed="false">
      <c r="A808" s="11" t="s">
        <v>237</v>
      </c>
      <c r="B808" s="11" t="s">
        <v>238</v>
      </c>
      <c r="C808" s="11" t="n">
        <v>2011</v>
      </c>
      <c r="D808" s="11" t="s">
        <v>26</v>
      </c>
      <c r="E808" s="17" t="n">
        <v>21143</v>
      </c>
      <c r="F808" s="11" t="s">
        <v>119</v>
      </c>
      <c r="G808" s="11" t="s">
        <v>242</v>
      </c>
      <c r="H808" s="11" t="s">
        <v>121</v>
      </c>
      <c r="I808" s="11" t="s">
        <v>667</v>
      </c>
      <c r="J808" s="11" t="s">
        <v>673</v>
      </c>
    </row>
    <row r="809" customFormat="false" ht="15" hidden="false" customHeight="false" outlineLevel="0" collapsed="false">
      <c r="A809" s="11" t="s">
        <v>237</v>
      </c>
      <c r="B809" s="11" t="s">
        <v>238</v>
      </c>
      <c r="C809" s="11" t="n">
        <v>2012</v>
      </c>
      <c r="D809" s="11" t="s">
        <v>26</v>
      </c>
      <c r="E809" s="17" t="n">
        <v>20957</v>
      </c>
      <c r="F809" s="11" t="s">
        <v>119</v>
      </c>
      <c r="G809" s="11" t="s">
        <v>242</v>
      </c>
      <c r="H809" s="11" t="s">
        <v>121</v>
      </c>
      <c r="I809" s="11" t="s">
        <v>667</v>
      </c>
      <c r="J809" s="11" t="s">
        <v>673</v>
      </c>
    </row>
    <row r="810" customFormat="false" ht="15" hidden="false" customHeight="false" outlineLevel="0" collapsed="false">
      <c r="A810" s="11" t="s">
        <v>237</v>
      </c>
      <c r="B810" s="11" t="s">
        <v>238</v>
      </c>
      <c r="C810" s="11" t="n">
        <v>2013</v>
      </c>
      <c r="D810" s="11" t="s">
        <v>26</v>
      </c>
      <c r="E810" s="17" t="n">
        <v>21446</v>
      </c>
      <c r="F810" s="11" t="s">
        <v>119</v>
      </c>
      <c r="G810" s="11" t="s">
        <v>242</v>
      </c>
      <c r="H810" s="11" t="s">
        <v>121</v>
      </c>
      <c r="I810" s="11" t="s">
        <v>667</v>
      </c>
      <c r="J810" s="11" t="s">
        <v>673</v>
      </c>
    </row>
    <row r="811" customFormat="false" ht="15" hidden="false" customHeight="false" outlineLevel="0" collapsed="false">
      <c r="A811" s="11" t="s">
        <v>237</v>
      </c>
      <c r="B811" s="11" t="s">
        <v>238</v>
      </c>
      <c r="C811" s="11" t="n">
        <v>2014</v>
      </c>
      <c r="D811" s="11" t="s">
        <v>26</v>
      </c>
      <c r="E811" s="17" t="n">
        <v>22744</v>
      </c>
      <c r="F811" s="11" t="s">
        <v>119</v>
      </c>
      <c r="G811" s="11" t="s">
        <v>242</v>
      </c>
      <c r="H811" s="11" t="s">
        <v>121</v>
      </c>
      <c r="I811" s="11" t="s">
        <v>667</v>
      </c>
      <c r="J811" s="11" t="s">
        <v>673</v>
      </c>
    </row>
    <row r="812" customFormat="false" ht="15" hidden="false" customHeight="false" outlineLevel="0" collapsed="false">
      <c r="A812" s="11" t="s">
        <v>237</v>
      </c>
      <c r="B812" s="11" t="s">
        <v>238</v>
      </c>
      <c r="C812" s="11" t="n">
        <v>2015</v>
      </c>
      <c r="D812" s="11" t="s">
        <v>26</v>
      </c>
      <c r="E812" s="17" t="n">
        <v>24294</v>
      </c>
      <c r="F812" s="11" t="s">
        <v>119</v>
      </c>
      <c r="G812" s="11" t="s">
        <v>242</v>
      </c>
      <c r="H812" s="11" t="s">
        <v>121</v>
      </c>
      <c r="I812" s="11" t="s">
        <v>667</v>
      </c>
      <c r="J812" s="11" t="s">
        <v>673</v>
      </c>
    </row>
    <row r="813" customFormat="false" ht="15" hidden="false" customHeight="false" outlineLevel="0" collapsed="false">
      <c r="A813" s="11" t="s">
        <v>237</v>
      </c>
      <c r="B813" s="11" t="s">
        <v>238</v>
      </c>
      <c r="C813" s="11" t="n">
        <v>2016</v>
      </c>
      <c r="D813" s="11" t="s">
        <v>26</v>
      </c>
      <c r="E813" s="17" t="n">
        <v>26485</v>
      </c>
      <c r="F813" s="11" t="s">
        <v>119</v>
      </c>
      <c r="G813" s="11" t="s">
        <v>242</v>
      </c>
      <c r="H813" s="11" t="s">
        <v>121</v>
      </c>
      <c r="I813" s="11" t="s">
        <v>667</v>
      </c>
      <c r="J813" s="11" t="s">
        <v>673</v>
      </c>
    </row>
    <row r="814" customFormat="false" ht="15" hidden="false" customHeight="false" outlineLevel="0" collapsed="false">
      <c r="A814" s="11" t="s">
        <v>237</v>
      </c>
      <c r="B814" s="11" t="s">
        <v>238</v>
      </c>
      <c r="C814" s="11" t="n">
        <v>2017</v>
      </c>
      <c r="D814" s="11" t="s">
        <v>26</v>
      </c>
      <c r="E814" s="17" t="n">
        <v>30275</v>
      </c>
      <c r="F814" s="11" t="s">
        <v>119</v>
      </c>
      <c r="G814" s="11" t="s">
        <v>242</v>
      </c>
      <c r="H814" s="11" t="s">
        <v>121</v>
      </c>
      <c r="I814" s="11" t="s">
        <v>667</v>
      </c>
      <c r="J814" s="11" t="s">
        <v>673</v>
      </c>
    </row>
    <row r="815" customFormat="false" ht="15" hidden="false" customHeight="false" outlineLevel="0" collapsed="false">
      <c r="A815" s="11" t="s">
        <v>237</v>
      </c>
      <c r="B815" s="11" t="s">
        <v>238</v>
      </c>
      <c r="C815" s="11" t="n">
        <v>2018</v>
      </c>
      <c r="D815" s="11" t="s">
        <v>26</v>
      </c>
      <c r="E815" s="17" t="n">
        <v>37830</v>
      </c>
      <c r="F815" s="11" t="s">
        <v>119</v>
      </c>
      <c r="G815" s="11" t="s">
        <v>242</v>
      </c>
      <c r="H815" s="11" t="s">
        <v>121</v>
      </c>
      <c r="I815" s="11" t="s">
        <v>667</v>
      </c>
      <c r="J815" s="11" t="s">
        <v>673</v>
      </c>
    </row>
    <row r="816" customFormat="false" ht="15" hidden="false" customHeight="false" outlineLevel="0" collapsed="false">
      <c r="A816" s="11" t="s">
        <v>237</v>
      </c>
      <c r="B816" s="11" t="s">
        <v>238</v>
      </c>
      <c r="C816" s="11" t="n">
        <v>2019</v>
      </c>
      <c r="D816" s="11" t="s">
        <v>26</v>
      </c>
      <c r="E816" s="17" t="n">
        <v>44269</v>
      </c>
      <c r="F816" s="11" t="s">
        <v>119</v>
      </c>
      <c r="G816" s="11" t="s">
        <v>242</v>
      </c>
      <c r="H816" s="11" t="s">
        <v>121</v>
      </c>
      <c r="I816" s="11" t="s">
        <v>667</v>
      </c>
      <c r="J816" s="11" t="s">
        <v>673</v>
      </c>
    </row>
    <row r="817" customFormat="false" ht="15" hidden="false" customHeight="false" outlineLevel="0" collapsed="false">
      <c r="A817" s="11" t="s">
        <v>237</v>
      </c>
      <c r="B817" s="11" t="s">
        <v>238</v>
      </c>
      <c r="C817" s="11" t="n">
        <v>2020</v>
      </c>
      <c r="D817" s="11" t="s">
        <v>26</v>
      </c>
      <c r="E817" s="17" t="n">
        <v>49391</v>
      </c>
      <c r="F817" s="11" t="s">
        <v>119</v>
      </c>
      <c r="G817" s="11" t="s">
        <v>242</v>
      </c>
      <c r="H817" s="11" t="s">
        <v>121</v>
      </c>
      <c r="I817" s="11" t="s">
        <v>667</v>
      </c>
      <c r="J817" s="11" t="s">
        <v>673</v>
      </c>
    </row>
    <row r="818" customFormat="false" ht="15" hidden="false" customHeight="false" outlineLevel="0" collapsed="false">
      <c r="A818" s="11" t="s">
        <v>237</v>
      </c>
      <c r="B818" s="11" t="s">
        <v>238</v>
      </c>
      <c r="C818" s="11" t="n">
        <v>2021</v>
      </c>
      <c r="D818" s="11" t="s">
        <v>26</v>
      </c>
      <c r="E818" s="17" t="n">
        <v>51283</v>
      </c>
      <c r="F818" s="11" t="s">
        <v>119</v>
      </c>
      <c r="G818" s="11" t="s">
        <v>242</v>
      </c>
      <c r="H818" s="11" t="s">
        <v>121</v>
      </c>
      <c r="I818" s="11" t="s">
        <v>667</v>
      </c>
      <c r="J818" s="11" t="s">
        <v>673</v>
      </c>
    </row>
    <row r="819" customFormat="false" ht="15" hidden="false" customHeight="false" outlineLevel="0" collapsed="false">
      <c r="A819" s="11" t="s">
        <v>237</v>
      </c>
      <c r="B819" s="11" t="s">
        <v>238</v>
      </c>
      <c r="C819" s="11" t="n">
        <v>2022</v>
      </c>
      <c r="D819" s="11" t="s">
        <v>26</v>
      </c>
      <c r="E819" s="17" t="n">
        <v>54959</v>
      </c>
      <c r="F819" s="11" t="s">
        <v>119</v>
      </c>
      <c r="G819" s="11" t="s">
        <v>242</v>
      </c>
      <c r="H819" s="11" t="s">
        <v>121</v>
      </c>
      <c r="I819" s="11" t="s">
        <v>667</v>
      </c>
      <c r="J819" s="11" t="s">
        <v>673</v>
      </c>
    </row>
    <row r="820" customFormat="false" ht="15" hidden="false" customHeight="false" outlineLevel="0" collapsed="false">
      <c r="A820" s="11" t="s">
        <v>237</v>
      </c>
      <c r="B820" s="11" t="s">
        <v>238</v>
      </c>
      <c r="C820" s="11" t="n">
        <v>2016</v>
      </c>
      <c r="D820" s="11" t="s">
        <v>38</v>
      </c>
      <c r="E820" s="17" t="n">
        <v>30</v>
      </c>
      <c r="F820" s="11" t="s">
        <v>123</v>
      </c>
      <c r="G820" s="11" t="s">
        <v>124</v>
      </c>
      <c r="H820" s="11" t="s">
        <v>243</v>
      </c>
      <c r="I820" s="11" t="s">
        <v>667</v>
      </c>
      <c r="J820" s="11" t="s">
        <v>674</v>
      </c>
    </row>
    <row r="821" customFormat="false" ht="15" hidden="false" customHeight="false" outlineLevel="0" collapsed="false">
      <c r="A821" s="11" t="s">
        <v>237</v>
      </c>
      <c r="B821" s="11" t="s">
        <v>238</v>
      </c>
      <c r="C821" s="11" t="n">
        <v>2017</v>
      </c>
      <c r="D821" s="11" t="s">
        <v>38</v>
      </c>
      <c r="E821" s="17" t="n">
        <v>15</v>
      </c>
      <c r="F821" s="11" t="s">
        <v>123</v>
      </c>
      <c r="G821" s="11" t="s">
        <v>124</v>
      </c>
      <c r="H821" s="11" t="s">
        <v>243</v>
      </c>
      <c r="I821" s="11" t="s">
        <v>667</v>
      </c>
      <c r="J821" s="11" t="s">
        <v>674</v>
      </c>
    </row>
    <row r="822" customFormat="false" ht="15" hidden="false" customHeight="false" outlineLevel="0" collapsed="false">
      <c r="A822" s="11" t="s">
        <v>237</v>
      </c>
      <c r="B822" s="11" t="s">
        <v>238</v>
      </c>
      <c r="C822" s="11" t="n">
        <v>2019</v>
      </c>
      <c r="D822" s="11" t="s">
        <v>38</v>
      </c>
      <c r="E822" s="17" t="n">
        <v>110</v>
      </c>
      <c r="F822" s="11" t="s">
        <v>123</v>
      </c>
      <c r="G822" s="11" t="s">
        <v>124</v>
      </c>
      <c r="H822" s="11" t="s">
        <v>243</v>
      </c>
      <c r="I822" s="11" t="s">
        <v>667</v>
      </c>
      <c r="J822" s="11" t="s">
        <v>674</v>
      </c>
    </row>
    <row r="823" customFormat="false" ht="15" hidden="false" customHeight="false" outlineLevel="0" collapsed="false">
      <c r="A823" s="11" t="s">
        <v>237</v>
      </c>
      <c r="B823" s="11" t="s">
        <v>238</v>
      </c>
      <c r="C823" s="11" t="n">
        <v>2010</v>
      </c>
      <c r="D823" s="11" t="s">
        <v>18</v>
      </c>
      <c r="E823" s="17" t="n">
        <v>318041</v>
      </c>
      <c r="F823" s="11" t="s">
        <v>98</v>
      </c>
      <c r="G823" s="11" t="s">
        <v>99</v>
      </c>
      <c r="H823" s="11" t="s">
        <v>671</v>
      </c>
      <c r="I823" s="11" t="s">
        <v>667</v>
      </c>
      <c r="J823" s="11" t="s">
        <v>672</v>
      </c>
    </row>
    <row r="824" customFormat="false" ht="15" hidden="false" customHeight="false" outlineLevel="0" collapsed="false">
      <c r="A824" s="11" t="s">
        <v>237</v>
      </c>
      <c r="B824" s="11" t="s">
        <v>238</v>
      </c>
      <c r="C824" s="11" t="n">
        <v>2011</v>
      </c>
      <c r="D824" s="11" t="s">
        <v>18</v>
      </c>
      <c r="E824" s="17" t="n">
        <v>319014</v>
      </c>
      <c r="F824" s="11" t="s">
        <v>98</v>
      </c>
      <c r="G824" s="11" t="s">
        <v>99</v>
      </c>
      <c r="H824" s="11" t="s">
        <v>671</v>
      </c>
      <c r="I824" s="11" t="s">
        <v>667</v>
      </c>
      <c r="J824" s="11" t="s">
        <v>672</v>
      </c>
    </row>
    <row r="825" customFormat="false" ht="15" hidden="false" customHeight="false" outlineLevel="0" collapsed="false">
      <c r="A825" s="11" t="s">
        <v>237</v>
      </c>
      <c r="B825" s="11" t="s">
        <v>238</v>
      </c>
      <c r="C825" s="11" t="n">
        <v>2012</v>
      </c>
      <c r="D825" s="11" t="s">
        <v>18</v>
      </c>
      <c r="E825" s="17" t="n">
        <v>320716</v>
      </c>
      <c r="F825" s="11" t="s">
        <v>98</v>
      </c>
      <c r="G825" s="11" t="s">
        <v>99</v>
      </c>
      <c r="H825" s="11" t="s">
        <v>671</v>
      </c>
      <c r="I825" s="11" t="s">
        <v>667</v>
      </c>
      <c r="J825" s="11" t="s">
        <v>672</v>
      </c>
    </row>
    <row r="826" customFormat="false" ht="15" hidden="false" customHeight="false" outlineLevel="0" collapsed="false">
      <c r="A826" s="11" t="s">
        <v>237</v>
      </c>
      <c r="B826" s="11" t="s">
        <v>238</v>
      </c>
      <c r="C826" s="11" t="n">
        <v>2013</v>
      </c>
      <c r="D826" s="11" t="s">
        <v>18</v>
      </c>
      <c r="E826" s="17" t="n">
        <v>323764</v>
      </c>
      <c r="F826" s="11" t="s">
        <v>98</v>
      </c>
      <c r="G826" s="11" t="s">
        <v>99</v>
      </c>
      <c r="H826" s="11" t="s">
        <v>671</v>
      </c>
      <c r="I826" s="11" t="s">
        <v>667</v>
      </c>
      <c r="J826" s="11" t="s">
        <v>672</v>
      </c>
    </row>
    <row r="827" customFormat="false" ht="15" hidden="false" customHeight="false" outlineLevel="0" collapsed="false">
      <c r="A827" s="11" t="s">
        <v>237</v>
      </c>
      <c r="B827" s="11" t="s">
        <v>238</v>
      </c>
      <c r="C827" s="11" t="n">
        <v>2014</v>
      </c>
      <c r="D827" s="11" t="s">
        <v>18</v>
      </c>
      <c r="E827" s="17" t="n">
        <v>327386</v>
      </c>
      <c r="F827" s="11" t="s">
        <v>98</v>
      </c>
      <c r="G827" s="11" t="s">
        <v>99</v>
      </c>
      <c r="H827" s="11" t="s">
        <v>671</v>
      </c>
      <c r="I827" s="11" t="s">
        <v>667</v>
      </c>
      <c r="J827" s="11" t="s">
        <v>672</v>
      </c>
    </row>
    <row r="828" customFormat="false" ht="15" hidden="false" customHeight="false" outlineLevel="0" collapsed="false">
      <c r="A828" s="11" t="s">
        <v>237</v>
      </c>
      <c r="B828" s="11" t="s">
        <v>238</v>
      </c>
      <c r="C828" s="11" t="n">
        <v>2015</v>
      </c>
      <c r="D828" s="11" t="s">
        <v>18</v>
      </c>
      <c r="E828" s="17" t="n">
        <v>330815</v>
      </c>
      <c r="F828" s="11" t="s">
        <v>98</v>
      </c>
      <c r="G828" s="11" t="s">
        <v>99</v>
      </c>
      <c r="H828" s="11" t="s">
        <v>671</v>
      </c>
      <c r="I828" s="11" t="s">
        <v>667</v>
      </c>
      <c r="J828" s="11" t="s">
        <v>672</v>
      </c>
    </row>
    <row r="829" customFormat="false" ht="15" hidden="false" customHeight="false" outlineLevel="0" collapsed="false">
      <c r="A829" s="11" t="s">
        <v>237</v>
      </c>
      <c r="B829" s="11" t="s">
        <v>238</v>
      </c>
      <c r="C829" s="11" t="n">
        <v>2016</v>
      </c>
      <c r="D829" s="11" t="s">
        <v>18</v>
      </c>
      <c r="E829" s="17" t="n">
        <v>335439</v>
      </c>
      <c r="F829" s="11" t="s">
        <v>98</v>
      </c>
      <c r="G829" s="11" t="s">
        <v>99</v>
      </c>
      <c r="H829" s="11" t="s">
        <v>671</v>
      </c>
      <c r="I829" s="11" t="s">
        <v>667</v>
      </c>
      <c r="J829" s="11" t="s">
        <v>672</v>
      </c>
    </row>
    <row r="830" customFormat="false" ht="15" hidden="false" customHeight="false" outlineLevel="0" collapsed="false">
      <c r="A830" s="11" t="s">
        <v>237</v>
      </c>
      <c r="B830" s="11" t="s">
        <v>238</v>
      </c>
      <c r="C830" s="11" t="n">
        <v>2017</v>
      </c>
      <c r="D830" s="11" t="s">
        <v>18</v>
      </c>
      <c r="E830" s="17" t="n">
        <v>343400</v>
      </c>
      <c r="F830" s="11" t="s">
        <v>98</v>
      </c>
      <c r="G830" s="11" t="s">
        <v>99</v>
      </c>
      <c r="H830" s="11" t="s">
        <v>671</v>
      </c>
      <c r="I830" s="11" t="s">
        <v>667</v>
      </c>
      <c r="J830" s="11" t="s">
        <v>672</v>
      </c>
    </row>
    <row r="831" customFormat="false" ht="15" hidden="false" customHeight="false" outlineLevel="0" collapsed="false">
      <c r="A831" s="11" t="s">
        <v>237</v>
      </c>
      <c r="B831" s="11" t="s">
        <v>238</v>
      </c>
      <c r="C831" s="11" t="n">
        <v>2018</v>
      </c>
      <c r="D831" s="11" t="s">
        <v>18</v>
      </c>
      <c r="E831" s="17" t="n">
        <v>352721</v>
      </c>
      <c r="F831" s="11" t="s">
        <v>98</v>
      </c>
      <c r="G831" s="11" t="s">
        <v>99</v>
      </c>
      <c r="H831" s="11" t="s">
        <v>671</v>
      </c>
      <c r="I831" s="11" t="s">
        <v>667</v>
      </c>
      <c r="J831" s="11" t="s">
        <v>672</v>
      </c>
    </row>
    <row r="832" customFormat="false" ht="15" hidden="false" customHeight="false" outlineLevel="0" collapsed="false">
      <c r="A832" s="11" t="s">
        <v>237</v>
      </c>
      <c r="B832" s="11" t="s">
        <v>238</v>
      </c>
      <c r="C832" s="11" t="n">
        <v>2019</v>
      </c>
      <c r="D832" s="11" t="s">
        <v>18</v>
      </c>
      <c r="E832" s="17" t="n">
        <v>360563</v>
      </c>
      <c r="F832" s="11" t="s">
        <v>98</v>
      </c>
      <c r="G832" s="11" t="s">
        <v>99</v>
      </c>
      <c r="H832" s="11" t="s">
        <v>671</v>
      </c>
      <c r="I832" s="11" t="s">
        <v>667</v>
      </c>
      <c r="J832" s="11" t="s">
        <v>672</v>
      </c>
    </row>
    <row r="833" customFormat="false" ht="15" hidden="false" customHeight="false" outlineLevel="0" collapsed="false">
      <c r="A833" s="11" t="s">
        <v>237</v>
      </c>
      <c r="B833" s="11" t="s">
        <v>238</v>
      </c>
      <c r="C833" s="11" t="n">
        <v>2020</v>
      </c>
      <c r="D833" s="11" t="s">
        <v>18</v>
      </c>
      <c r="E833" s="17" t="n">
        <v>366463</v>
      </c>
      <c r="F833" s="11" t="s">
        <v>98</v>
      </c>
      <c r="G833" s="11" t="s">
        <v>99</v>
      </c>
      <c r="H833" s="11" t="s">
        <v>671</v>
      </c>
      <c r="I833" s="11" t="s">
        <v>667</v>
      </c>
      <c r="J833" s="11" t="s">
        <v>672</v>
      </c>
    </row>
    <row r="834" customFormat="false" ht="15" hidden="false" customHeight="false" outlineLevel="0" collapsed="false">
      <c r="A834" s="11" t="s">
        <v>237</v>
      </c>
      <c r="B834" s="11" t="s">
        <v>238</v>
      </c>
      <c r="C834" s="11" t="n">
        <v>2021</v>
      </c>
      <c r="D834" s="11" t="s">
        <v>18</v>
      </c>
      <c r="E834" s="17" t="n">
        <v>372520</v>
      </c>
      <c r="F834" s="11" t="s">
        <v>98</v>
      </c>
      <c r="G834" s="11" t="s">
        <v>99</v>
      </c>
      <c r="H834" s="11" t="s">
        <v>671</v>
      </c>
      <c r="I834" s="11" t="s">
        <v>667</v>
      </c>
      <c r="J834" s="11" t="s">
        <v>672</v>
      </c>
    </row>
    <row r="835" customFormat="false" ht="15" hidden="false" customHeight="false" outlineLevel="0" collapsed="false">
      <c r="A835" s="11" t="s">
        <v>237</v>
      </c>
      <c r="B835" s="11" t="s">
        <v>238</v>
      </c>
      <c r="C835" s="11" t="n">
        <v>2022</v>
      </c>
      <c r="D835" s="11" t="s">
        <v>18</v>
      </c>
      <c r="E835" s="17" t="n">
        <v>382003</v>
      </c>
      <c r="F835" s="11" t="s">
        <v>98</v>
      </c>
      <c r="G835" s="11" t="s">
        <v>99</v>
      </c>
      <c r="H835" s="11" t="s">
        <v>671</v>
      </c>
      <c r="I835" s="11" t="s">
        <v>667</v>
      </c>
      <c r="J835" s="11" t="s">
        <v>672</v>
      </c>
    </row>
    <row r="836" customFormat="false" ht="15" hidden="false" customHeight="false" outlineLevel="0" collapsed="false">
      <c r="A836" s="11" t="s">
        <v>251</v>
      </c>
      <c r="B836" s="11" t="s">
        <v>252</v>
      </c>
      <c r="C836" s="11" t="n">
        <v>2010</v>
      </c>
      <c r="D836" s="11" t="s">
        <v>22</v>
      </c>
      <c r="E836" s="17" t="n">
        <v>1877700</v>
      </c>
      <c r="F836" s="11" t="s">
        <v>101</v>
      </c>
      <c r="G836" s="11" t="s">
        <v>255</v>
      </c>
      <c r="H836" s="11" t="s">
        <v>256</v>
      </c>
      <c r="I836" s="11" t="s">
        <v>667</v>
      </c>
      <c r="J836" s="11" t="s">
        <v>668</v>
      </c>
    </row>
    <row r="837" customFormat="false" ht="15" hidden="false" customHeight="false" outlineLevel="0" collapsed="false">
      <c r="A837" s="11" t="s">
        <v>251</v>
      </c>
      <c r="B837" s="11" t="s">
        <v>252</v>
      </c>
      <c r="C837" s="11" t="n">
        <v>2011</v>
      </c>
      <c r="D837" s="11" t="s">
        <v>22</v>
      </c>
      <c r="E837" s="17" t="n">
        <v>1869000</v>
      </c>
      <c r="F837" s="11" t="s">
        <v>101</v>
      </c>
      <c r="G837" s="11" t="s">
        <v>255</v>
      </c>
      <c r="H837" s="11" t="s">
        <v>256</v>
      </c>
      <c r="I837" s="11" t="s">
        <v>667</v>
      </c>
      <c r="J837" s="11" t="s">
        <v>668</v>
      </c>
    </row>
    <row r="838" customFormat="false" ht="15" hidden="false" customHeight="false" outlineLevel="0" collapsed="false">
      <c r="A838" s="11" t="s">
        <v>251</v>
      </c>
      <c r="B838" s="11" t="s">
        <v>252</v>
      </c>
      <c r="C838" s="11" t="n">
        <v>2012</v>
      </c>
      <c r="D838" s="11" t="s">
        <v>22</v>
      </c>
      <c r="E838" s="17" t="n">
        <v>1850000</v>
      </c>
      <c r="F838" s="11" t="s">
        <v>101</v>
      </c>
      <c r="G838" s="11" t="s">
        <v>255</v>
      </c>
      <c r="H838" s="11" t="s">
        <v>256</v>
      </c>
      <c r="I838" s="11" t="s">
        <v>667</v>
      </c>
      <c r="J838" s="11" t="s">
        <v>668</v>
      </c>
    </row>
    <row r="839" customFormat="false" ht="15" hidden="false" customHeight="false" outlineLevel="0" collapsed="false">
      <c r="A839" s="11" t="s">
        <v>251</v>
      </c>
      <c r="B839" s="11" t="s">
        <v>252</v>
      </c>
      <c r="C839" s="11" t="n">
        <v>2013</v>
      </c>
      <c r="D839" s="11" t="s">
        <v>22</v>
      </c>
      <c r="E839" s="17" t="n">
        <v>1835000</v>
      </c>
      <c r="F839" s="11" t="s">
        <v>101</v>
      </c>
      <c r="G839" s="11" t="s">
        <v>255</v>
      </c>
      <c r="H839" s="11" t="s">
        <v>256</v>
      </c>
      <c r="I839" s="11" t="s">
        <v>667</v>
      </c>
      <c r="J839" s="11" t="s">
        <v>668</v>
      </c>
    </row>
    <row r="840" customFormat="false" ht="15" hidden="false" customHeight="false" outlineLevel="0" collapsed="false">
      <c r="A840" s="11" t="s">
        <v>251</v>
      </c>
      <c r="B840" s="11" t="s">
        <v>252</v>
      </c>
      <c r="C840" s="11" t="n">
        <v>2014</v>
      </c>
      <c r="D840" s="11" t="s">
        <v>22</v>
      </c>
      <c r="E840" s="17" t="n">
        <v>1821000</v>
      </c>
      <c r="F840" s="11" t="s">
        <v>101</v>
      </c>
      <c r="G840" s="11" t="s">
        <v>255</v>
      </c>
      <c r="H840" s="11" t="s">
        <v>256</v>
      </c>
      <c r="I840" s="11" t="s">
        <v>667</v>
      </c>
      <c r="J840" s="11" t="s">
        <v>668</v>
      </c>
    </row>
    <row r="841" customFormat="false" ht="15" hidden="false" customHeight="false" outlineLevel="0" collapsed="false">
      <c r="A841" s="11" t="s">
        <v>251</v>
      </c>
      <c r="B841" s="11" t="s">
        <v>252</v>
      </c>
      <c r="C841" s="11" t="n">
        <v>2015</v>
      </c>
      <c r="D841" s="11" t="s">
        <v>22</v>
      </c>
      <c r="E841" s="17" t="n">
        <v>1817000</v>
      </c>
      <c r="F841" s="11" t="s">
        <v>101</v>
      </c>
      <c r="G841" s="11" t="s">
        <v>255</v>
      </c>
      <c r="H841" s="11" t="s">
        <v>256</v>
      </c>
      <c r="I841" s="11" t="s">
        <v>667</v>
      </c>
      <c r="J841" s="11" t="s">
        <v>668</v>
      </c>
    </row>
    <row r="842" customFormat="false" ht="15" hidden="false" customHeight="false" outlineLevel="0" collapsed="false">
      <c r="A842" s="11" t="s">
        <v>251</v>
      </c>
      <c r="B842" s="11" t="s">
        <v>252</v>
      </c>
      <c r="C842" s="11" t="n">
        <v>2016</v>
      </c>
      <c r="D842" s="11" t="s">
        <v>22</v>
      </c>
      <c r="E842" s="17" t="n">
        <v>1817500</v>
      </c>
      <c r="F842" s="11" t="s">
        <v>101</v>
      </c>
      <c r="G842" s="11" t="s">
        <v>255</v>
      </c>
      <c r="H842" s="11" t="s">
        <v>256</v>
      </c>
      <c r="I842" s="11" t="s">
        <v>667</v>
      </c>
      <c r="J842" s="11" t="s">
        <v>668</v>
      </c>
    </row>
    <row r="843" customFormat="false" ht="15" hidden="false" customHeight="false" outlineLevel="0" collapsed="false">
      <c r="A843" s="11" t="s">
        <v>251</v>
      </c>
      <c r="B843" s="11" t="s">
        <v>252</v>
      </c>
      <c r="C843" s="11" t="n">
        <v>2017</v>
      </c>
      <c r="D843" s="11" t="s">
        <v>22</v>
      </c>
      <c r="E843" s="17" t="n">
        <v>1812420</v>
      </c>
      <c r="F843" s="11" t="s">
        <v>101</v>
      </c>
      <c r="G843" s="11" t="s">
        <v>255</v>
      </c>
      <c r="H843" s="11" t="s">
        <v>256</v>
      </c>
      <c r="I843" s="11" t="s">
        <v>667</v>
      </c>
      <c r="J843" s="11" t="s">
        <v>668</v>
      </c>
    </row>
    <row r="844" customFormat="false" ht="15" hidden="false" customHeight="false" outlineLevel="0" collapsed="false">
      <c r="A844" s="11" t="s">
        <v>251</v>
      </c>
      <c r="B844" s="11" t="s">
        <v>252</v>
      </c>
      <c r="C844" s="11" t="n">
        <v>2018</v>
      </c>
      <c r="D844" s="11" t="s">
        <v>22</v>
      </c>
      <c r="E844" s="17" t="n">
        <v>1811240</v>
      </c>
      <c r="F844" s="11" t="s">
        <v>101</v>
      </c>
      <c r="G844" s="11" t="s">
        <v>255</v>
      </c>
      <c r="H844" s="11" t="s">
        <v>256</v>
      </c>
      <c r="I844" s="11" t="s">
        <v>667</v>
      </c>
      <c r="J844" s="11" t="s">
        <v>668</v>
      </c>
    </row>
    <row r="845" customFormat="false" ht="15" hidden="false" customHeight="false" outlineLevel="0" collapsed="false">
      <c r="A845" s="11" t="s">
        <v>251</v>
      </c>
      <c r="B845" s="11" t="s">
        <v>252</v>
      </c>
      <c r="C845" s="11" t="n">
        <v>2019</v>
      </c>
      <c r="D845" s="11" t="s">
        <v>22</v>
      </c>
      <c r="E845" s="17" t="n">
        <v>1808920</v>
      </c>
      <c r="F845" s="11" t="s">
        <v>101</v>
      </c>
      <c r="G845" s="11" t="s">
        <v>255</v>
      </c>
      <c r="H845" s="11" t="s">
        <v>256</v>
      </c>
      <c r="I845" s="11" t="s">
        <v>667</v>
      </c>
      <c r="J845" s="11" t="s">
        <v>668</v>
      </c>
    </row>
    <row r="846" customFormat="false" ht="15" hidden="false" customHeight="false" outlineLevel="0" collapsed="false">
      <c r="A846" s="11" t="s">
        <v>251</v>
      </c>
      <c r="B846" s="11" t="s">
        <v>252</v>
      </c>
      <c r="C846" s="11" t="n">
        <v>2020</v>
      </c>
      <c r="D846" s="11" t="s">
        <v>22</v>
      </c>
      <c r="E846" s="17" t="n">
        <v>1812180</v>
      </c>
      <c r="F846" s="11" t="s">
        <v>101</v>
      </c>
      <c r="G846" s="11" t="s">
        <v>255</v>
      </c>
      <c r="H846" s="11" t="s">
        <v>256</v>
      </c>
      <c r="I846" s="11" t="s">
        <v>667</v>
      </c>
      <c r="J846" s="11" t="s">
        <v>668</v>
      </c>
    </row>
    <row r="847" customFormat="false" ht="15" hidden="false" customHeight="false" outlineLevel="0" collapsed="false">
      <c r="A847" s="11" t="s">
        <v>251</v>
      </c>
      <c r="B847" s="11" t="s">
        <v>252</v>
      </c>
      <c r="C847" s="11" t="n">
        <v>2021</v>
      </c>
      <c r="D847" s="11" t="s">
        <v>22</v>
      </c>
      <c r="E847" s="17" t="n">
        <v>1797300</v>
      </c>
      <c r="F847" s="11" t="s">
        <v>101</v>
      </c>
      <c r="G847" s="11" t="s">
        <v>255</v>
      </c>
      <c r="H847" s="11" t="s">
        <v>256</v>
      </c>
      <c r="I847" s="11" t="s">
        <v>667</v>
      </c>
      <c r="J847" s="11" t="s">
        <v>668</v>
      </c>
    </row>
    <row r="848" customFormat="false" ht="15" hidden="false" customHeight="false" outlineLevel="0" collapsed="false">
      <c r="A848" s="11" t="s">
        <v>251</v>
      </c>
      <c r="B848" s="11" t="s">
        <v>252</v>
      </c>
      <c r="C848" s="11" t="n">
        <v>2022</v>
      </c>
      <c r="D848" s="11" t="s">
        <v>22</v>
      </c>
      <c r="E848" s="17" t="n">
        <v>1792880</v>
      </c>
      <c r="F848" s="11" t="s">
        <v>101</v>
      </c>
      <c r="G848" s="11" t="s">
        <v>255</v>
      </c>
      <c r="H848" s="11" t="s">
        <v>256</v>
      </c>
      <c r="I848" s="11" t="s">
        <v>667</v>
      </c>
      <c r="J848" s="11" t="s">
        <v>668</v>
      </c>
    </row>
    <row r="849" customFormat="false" ht="15" hidden="false" customHeight="false" outlineLevel="0" collapsed="false">
      <c r="A849" s="11" t="s">
        <v>251</v>
      </c>
      <c r="B849" s="11" t="s">
        <v>252</v>
      </c>
      <c r="C849" s="11" t="n">
        <v>2020</v>
      </c>
      <c r="D849" s="11" t="s">
        <v>30</v>
      </c>
      <c r="E849" s="17" t="n">
        <v>30100</v>
      </c>
      <c r="F849" s="11" t="s">
        <v>257</v>
      </c>
      <c r="G849" s="11" t="s">
        <v>258</v>
      </c>
      <c r="H849" s="11" t="s">
        <v>259</v>
      </c>
      <c r="I849" s="11" t="s">
        <v>667</v>
      </c>
      <c r="J849" s="11" t="s">
        <v>670</v>
      </c>
    </row>
    <row r="850" customFormat="false" ht="15" hidden="false" customHeight="false" outlineLevel="0" collapsed="false">
      <c r="A850" s="11" t="s">
        <v>251</v>
      </c>
      <c r="B850" s="11" t="s">
        <v>252</v>
      </c>
      <c r="C850" s="11" t="n">
        <v>2022</v>
      </c>
      <c r="D850" s="11" t="s">
        <v>30</v>
      </c>
      <c r="E850" s="17" t="n">
        <v>26798</v>
      </c>
      <c r="F850" s="11" t="s">
        <v>257</v>
      </c>
      <c r="G850" s="11" t="s">
        <v>258</v>
      </c>
      <c r="H850" s="11" t="s">
        <v>260</v>
      </c>
      <c r="I850" s="11" t="s">
        <v>667</v>
      </c>
      <c r="J850" s="11" t="s">
        <v>670</v>
      </c>
    </row>
    <row r="851" customFormat="false" ht="15" hidden="false" customHeight="false" outlineLevel="0" collapsed="false">
      <c r="A851" s="11" t="s">
        <v>251</v>
      </c>
      <c r="B851" s="11" t="s">
        <v>252</v>
      </c>
      <c r="C851" s="11" t="n">
        <v>2022</v>
      </c>
      <c r="D851" s="11" t="s">
        <v>30</v>
      </c>
      <c r="E851" s="17" t="n">
        <v>22571</v>
      </c>
      <c r="F851" s="11" t="s">
        <v>257</v>
      </c>
      <c r="G851" s="11" t="s">
        <v>258</v>
      </c>
      <c r="H851" s="11" t="s">
        <v>612</v>
      </c>
      <c r="I851" s="11" t="s">
        <v>675</v>
      </c>
      <c r="J851" s="11" t="s">
        <v>670</v>
      </c>
    </row>
    <row r="852" customFormat="false" ht="15" hidden="false" customHeight="false" outlineLevel="0" collapsed="false">
      <c r="A852" s="11" t="s">
        <v>251</v>
      </c>
      <c r="B852" s="11" t="s">
        <v>252</v>
      </c>
      <c r="C852" s="11" t="n">
        <v>2010</v>
      </c>
      <c r="D852" s="11" t="s">
        <v>18</v>
      </c>
      <c r="E852" s="17" t="n">
        <v>7623600</v>
      </c>
      <c r="F852" s="11" t="s">
        <v>98</v>
      </c>
      <c r="G852" s="11" t="s">
        <v>99</v>
      </c>
      <c r="H852" s="11" t="s">
        <v>671</v>
      </c>
      <c r="I852" s="11" t="s">
        <v>667</v>
      </c>
      <c r="J852" s="11" t="s">
        <v>672</v>
      </c>
    </row>
    <row r="853" customFormat="false" ht="15" hidden="false" customHeight="false" outlineLevel="0" collapsed="false">
      <c r="A853" s="11" t="s">
        <v>251</v>
      </c>
      <c r="B853" s="11" t="s">
        <v>252</v>
      </c>
      <c r="C853" s="11" t="n">
        <v>2011</v>
      </c>
      <c r="D853" s="11" t="s">
        <v>18</v>
      </c>
      <c r="E853" s="17" t="n">
        <v>7765800</v>
      </c>
      <c r="F853" s="11" t="s">
        <v>98</v>
      </c>
      <c r="G853" s="11" t="s">
        <v>99</v>
      </c>
      <c r="H853" s="11" t="s">
        <v>671</v>
      </c>
      <c r="I853" s="11" t="s">
        <v>667</v>
      </c>
      <c r="J853" s="11" t="s">
        <v>672</v>
      </c>
    </row>
    <row r="854" customFormat="false" ht="15" hidden="false" customHeight="false" outlineLevel="0" collapsed="false">
      <c r="A854" s="11" t="s">
        <v>251</v>
      </c>
      <c r="B854" s="11" t="s">
        <v>252</v>
      </c>
      <c r="C854" s="11" t="n">
        <v>2012</v>
      </c>
      <c r="D854" s="11" t="s">
        <v>18</v>
      </c>
      <c r="E854" s="17" t="n">
        <v>7910500</v>
      </c>
      <c r="F854" s="11" t="s">
        <v>98</v>
      </c>
      <c r="G854" s="11" t="s">
        <v>99</v>
      </c>
      <c r="H854" s="11" t="s">
        <v>671</v>
      </c>
      <c r="I854" s="11" t="s">
        <v>667</v>
      </c>
      <c r="J854" s="11" t="s">
        <v>672</v>
      </c>
    </row>
    <row r="855" customFormat="false" ht="15" hidden="false" customHeight="false" outlineLevel="0" collapsed="false">
      <c r="A855" s="11" t="s">
        <v>251</v>
      </c>
      <c r="B855" s="11" t="s">
        <v>252</v>
      </c>
      <c r="C855" s="11" t="n">
        <v>2013</v>
      </c>
      <c r="D855" s="11" t="s">
        <v>18</v>
      </c>
      <c r="E855" s="17" t="n">
        <v>8059500</v>
      </c>
      <c r="F855" s="11" t="s">
        <v>98</v>
      </c>
      <c r="G855" s="11" t="s">
        <v>99</v>
      </c>
      <c r="H855" s="11" t="s">
        <v>671</v>
      </c>
      <c r="I855" s="11" t="s">
        <v>667</v>
      </c>
      <c r="J855" s="11" t="s">
        <v>672</v>
      </c>
    </row>
    <row r="856" customFormat="false" ht="15" hidden="false" customHeight="false" outlineLevel="0" collapsed="false">
      <c r="A856" s="11" t="s">
        <v>251</v>
      </c>
      <c r="B856" s="11" t="s">
        <v>252</v>
      </c>
      <c r="C856" s="11" t="n">
        <v>2014</v>
      </c>
      <c r="D856" s="11" t="s">
        <v>18</v>
      </c>
      <c r="E856" s="17" t="n">
        <v>8215700</v>
      </c>
      <c r="F856" s="11" t="s">
        <v>98</v>
      </c>
      <c r="G856" s="11" t="s">
        <v>99</v>
      </c>
      <c r="H856" s="11" t="s">
        <v>671</v>
      </c>
      <c r="I856" s="11" t="s">
        <v>667</v>
      </c>
      <c r="J856" s="11" t="s">
        <v>672</v>
      </c>
    </row>
    <row r="857" customFormat="false" ht="15" hidden="false" customHeight="false" outlineLevel="0" collapsed="false">
      <c r="A857" s="11" t="s">
        <v>251</v>
      </c>
      <c r="B857" s="11" t="s">
        <v>252</v>
      </c>
      <c r="C857" s="11" t="n">
        <v>2015</v>
      </c>
      <c r="D857" s="11" t="s">
        <v>18</v>
      </c>
      <c r="E857" s="17" t="n">
        <v>8380100</v>
      </c>
      <c r="F857" s="11" t="s">
        <v>98</v>
      </c>
      <c r="G857" s="11" t="s">
        <v>99</v>
      </c>
      <c r="H857" s="11" t="s">
        <v>671</v>
      </c>
      <c r="I857" s="11" t="s">
        <v>667</v>
      </c>
      <c r="J857" s="11" t="s">
        <v>672</v>
      </c>
    </row>
    <row r="858" customFormat="false" ht="15" hidden="false" customHeight="false" outlineLevel="0" collapsed="false">
      <c r="A858" s="11" t="s">
        <v>251</v>
      </c>
      <c r="B858" s="11" t="s">
        <v>252</v>
      </c>
      <c r="C858" s="11" t="n">
        <v>2016</v>
      </c>
      <c r="D858" s="11" t="s">
        <v>18</v>
      </c>
      <c r="E858" s="17" t="n">
        <v>8546000</v>
      </c>
      <c r="F858" s="11" t="s">
        <v>98</v>
      </c>
      <c r="G858" s="11" t="s">
        <v>99</v>
      </c>
      <c r="H858" s="11" t="s">
        <v>671</v>
      </c>
      <c r="I858" s="11" t="s">
        <v>667</v>
      </c>
      <c r="J858" s="11" t="s">
        <v>672</v>
      </c>
    </row>
    <row r="859" customFormat="false" ht="15" hidden="false" customHeight="false" outlineLevel="0" collapsed="false">
      <c r="A859" s="11" t="s">
        <v>251</v>
      </c>
      <c r="B859" s="11" t="s">
        <v>252</v>
      </c>
      <c r="C859" s="11" t="n">
        <v>2017</v>
      </c>
      <c r="D859" s="11" t="s">
        <v>18</v>
      </c>
      <c r="E859" s="17" t="n">
        <v>8713300</v>
      </c>
      <c r="F859" s="11" t="s">
        <v>98</v>
      </c>
      <c r="G859" s="11" t="s">
        <v>99</v>
      </c>
      <c r="H859" s="11" t="s">
        <v>671</v>
      </c>
      <c r="I859" s="11" t="s">
        <v>667</v>
      </c>
      <c r="J859" s="11" t="s">
        <v>672</v>
      </c>
    </row>
    <row r="860" customFormat="false" ht="15" hidden="false" customHeight="false" outlineLevel="0" collapsed="false">
      <c r="A860" s="11" t="s">
        <v>251</v>
      </c>
      <c r="B860" s="11" t="s">
        <v>252</v>
      </c>
      <c r="C860" s="11" t="n">
        <v>2018</v>
      </c>
      <c r="D860" s="11" t="s">
        <v>18</v>
      </c>
      <c r="E860" s="17" t="n">
        <v>8882800</v>
      </c>
      <c r="F860" s="11" t="s">
        <v>98</v>
      </c>
      <c r="G860" s="11" t="s">
        <v>99</v>
      </c>
      <c r="H860" s="11" t="s">
        <v>671</v>
      </c>
      <c r="I860" s="11" t="s">
        <v>667</v>
      </c>
      <c r="J860" s="11" t="s">
        <v>672</v>
      </c>
    </row>
    <row r="861" customFormat="false" ht="15" hidden="false" customHeight="false" outlineLevel="0" collapsed="false">
      <c r="A861" s="11" t="s">
        <v>251</v>
      </c>
      <c r="B861" s="11" t="s">
        <v>252</v>
      </c>
      <c r="C861" s="11" t="n">
        <v>2019</v>
      </c>
      <c r="D861" s="11" t="s">
        <v>18</v>
      </c>
      <c r="E861" s="17" t="n">
        <v>9054000</v>
      </c>
      <c r="F861" s="11" t="s">
        <v>98</v>
      </c>
      <c r="G861" s="11" t="s">
        <v>99</v>
      </c>
      <c r="H861" s="11" t="s">
        <v>671</v>
      </c>
      <c r="I861" s="11" t="s">
        <v>667</v>
      </c>
      <c r="J861" s="11" t="s">
        <v>672</v>
      </c>
    </row>
    <row r="862" customFormat="false" ht="15" hidden="false" customHeight="false" outlineLevel="0" collapsed="false">
      <c r="A862" s="11" t="s">
        <v>251</v>
      </c>
      <c r="B862" s="11" t="s">
        <v>252</v>
      </c>
      <c r="C862" s="11" t="n">
        <v>2020</v>
      </c>
      <c r="D862" s="11" t="s">
        <v>18</v>
      </c>
      <c r="E862" s="17" t="n">
        <v>9215100</v>
      </c>
      <c r="F862" s="11" t="s">
        <v>98</v>
      </c>
      <c r="G862" s="11" t="s">
        <v>99</v>
      </c>
      <c r="H862" s="11" t="s">
        <v>671</v>
      </c>
      <c r="I862" s="11" t="s">
        <v>667</v>
      </c>
      <c r="J862" s="11" t="s">
        <v>672</v>
      </c>
    </row>
    <row r="863" customFormat="false" ht="15" hidden="false" customHeight="false" outlineLevel="0" collapsed="false">
      <c r="A863" s="11" t="s">
        <v>251</v>
      </c>
      <c r="B863" s="11" t="s">
        <v>252</v>
      </c>
      <c r="C863" s="11" t="n">
        <v>2021</v>
      </c>
      <c r="D863" s="11" t="s">
        <v>18</v>
      </c>
      <c r="E863" s="17" t="n">
        <v>9371400</v>
      </c>
      <c r="F863" s="11" t="s">
        <v>98</v>
      </c>
      <c r="G863" s="11" t="s">
        <v>99</v>
      </c>
      <c r="H863" s="11" t="s">
        <v>671</v>
      </c>
      <c r="I863" s="11" t="s">
        <v>667</v>
      </c>
      <c r="J863" s="11" t="s">
        <v>672</v>
      </c>
    </row>
    <row r="864" customFormat="false" ht="15" hidden="false" customHeight="false" outlineLevel="0" collapsed="false">
      <c r="A864" s="11" t="s">
        <v>251</v>
      </c>
      <c r="B864" s="11" t="s">
        <v>252</v>
      </c>
      <c r="C864" s="11" t="n">
        <v>2022</v>
      </c>
      <c r="D864" s="11" t="s">
        <v>18</v>
      </c>
      <c r="E864" s="17" t="n">
        <v>9557500</v>
      </c>
      <c r="F864" s="11" t="s">
        <v>98</v>
      </c>
      <c r="G864" s="11" t="s">
        <v>99</v>
      </c>
      <c r="H864" s="11" t="s">
        <v>671</v>
      </c>
      <c r="I864" s="11" t="s">
        <v>667</v>
      </c>
      <c r="J864" s="11" t="s">
        <v>672</v>
      </c>
    </row>
    <row r="865" customFormat="false" ht="15" hidden="false" customHeight="false" outlineLevel="0" collapsed="false">
      <c r="A865" s="11" t="s">
        <v>261</v>
      </c>
      <c r="B865" s="11" t="s">
        <v>262</v>
      </c>
      <c r="C865" s="11" t="n">
        <v>2010</v>
      </c>
      <c r="D865" s="11" t="s">
        <v>22</v>
      </c>
      <c r="E865" s="17" t="n">
        <v>4597046</v>
      </c>
      <c r="F865" s="11" t="s">
        <v>116</v>
      </c>
      <c r="G865" s="11" t="s">
        <v>265</v>
      </c>
      <c r="H865" s="11" t="s">
        <v>118</v>
      </c>
      <c r="I865" s="11" t="s">
        <v>667</v>
      </c>
      <c r="J865" s="11" t="s">
        <v>673</v>
      </c>
    </row>
    <row r="866" customFormat="false" ht="15" hidden="false" customHeight="false" outlineLevel="0" collapsed="false">
      <c r="A866" s="11" t="s">
        <v>261</v>
      </c>
      <c r="B866" s="11" t="s">
        <v>262</v>
      </c>
      <c r="C866" s="11" t="n">
        <v>2011</v>
      </c>
      <c r="D866" s="11" t="s">
        <v>22</v>
      </c>
      <c r="E866" s="17" t="n">
        <v>4834495</v>
      </c>
      <c r="F866" s="11" t="s">
        <v>116</v>
      </c>
      <c r="G866" s="11" t="s">
        <v>265</v>
      </c>
      <c r="H866" s="11" t="s">
        <v>118</v>
      </c>
      <c r="I866" s="11" t="s">
        <v>667</v>
      </c>
      <c r="J866" s="11" t="s">
        <v>673</v>
      </c>
    </row>
    <row r="867" customFormat="false" ht="15" hidden="false" customHeight="false" outlineLevel="0" collapsed="false">
      <c r="A867" s="11" t="s">
        <v>261</v>
      </c>
      <c r="B867" s="11" t="s">
        <v>262</v>
      </c>
      <c r="C867" s="11" t="n">
        <v>2012</v>
      </c>
      <c r="D867" s="11" t="s">
        <v>22</v>
      </c>
      <c r="E867" s="17" t="n">
        <v>5022967</v>
      </c>
      <c r="F867" s="11" t="s">
        <v>116</v>
      </c>
      <c r="G867" s="11" t="s">
        <v>265</v>
      </c>
      <c r="H867" s="11" t="s">
        <v>118</v>
      </c>
      <c r="I867" s="11" t="s">
        <v>667</v>
      </c>
      <c r="J867" s="11" t="s">
        <v>673</v>
      </c>
    </row>
    <row r="868" customFormat="false" ht="15" hidden="false" customHeight="false" outlineLevel="0" collapsed="false">
      <c r="A868" s="11" t="s">
        <v>261</v>
      </c>
      <c r="B868" s="11" t="s">
        <v>262</v>
      </c>
      <c r="C868" s="11" t="n">
        <v>2013</v>
      </c>
      <c r="D868" s="11" t="s">
        <v>22</v>
      </c>
      <c r="E868" s="17" t="n">
        <v>5220823</v>
      </c>
      <c r="F868" s="11" t="s">
        <v>116</v>
      </c>
      <c r="G868" s="11" t="s">
        <v>265</v>
      </c>
      <c r="H868" s="11" t="s">
        <v>118</v>
      </c>
      <c r="I868" s="11" t="s">
        <v>667</v>
      </c>
      <c r="J868" s="11" t="s">
        <v>673</v>
      </c>
    </row>
    <row r="869" customFormat="false" ht="15" hidden="false" customHeight="false" outlineLevel="0" collapsed="false">
      <c r="A869" s="11" t="s">
        <v>261</v>
      </c>
      <c r="B869" s="11" t="s">
        <v>262</v>
      </c>
      <c r="C869" s="11" t="n">
        <v>2014</v>
      </c>
      <c r="D869" s="11" t="s">
        <v>22</v>
      </c>
      <c r="E869" s="17" t="n">
        <v>5355018</v>
      </c>
      <c r="F869" s="11" t="s">
        <v>116</v>
      </c>
      <c r="G869" s="11" t="s">
        <v>265</v>
      </c>
      <c r="H869" s="11" t="s">
        <v>118</v>
      </c>
      <c r="I869" s="11" t="s">
        <v>667</v>
      </c>
      <c r="J869" s="11" t="s">
        <v>673</v>
      </c>
    </row>
    <row r="870" customFormat="false" ht="15" hidden="false" customHeight="false" outlineLevel="0" collapsed="false">
      <c r="A870" s="11" t="s">
        <v>261</v>
      </c>
      <c r="B870" s="11" t="s">
        <v>262</v>
      </c>
      <c r="C870" s="11" t="n">
        <v>2015</v>
      </c>
      <c r="D870" s="11" t="s">
        <v>22</v>
      </c>
      <c r="E870" s="17" t="n">
        <v>5383252</v>
      </c>
      <c r="F870" s="11" t="s">
        <v>116</v>
      </c>
      <c r="G870" s="11" t="s">
        <v>265</v>
      </c>
      <c r="H870" s="11" t="s">
        <v>118</v>
      </c>
      <c r="I870" s="11" t="s">
        <v>667</v>
      </c>
      <c r="J870" s="11" t="s">
        <v>673</v>
      </c>
    </row>
    <row r="871" customFormat="false" ht="15" hidden="false" customHeight="false" outlineLevel="0" collapsed="false">
      <c r="A871" s="11" t="s">
        <v>261</v>
      </c>
      <c r="B871" s="11" t="s">
        <v>262</v>
      </c>
      <c r="C871" s="11" t="n">
        <v>2016</v>
      </c>
      <c r="D871" s="11" t="s">
        <v>22</v>
      </c>
      <c r="E871" s="17" t="n">
        <v>5656510</v>
      </c>
      <c r="F871" s="11" t="s">
        <v>116</v>
      </c>
      <c r="G871" s="11" t="s">
        <v>265</v>
      </c>
      <c r="H871" s="11" t="s">
        <v>118</v>
      </c>
      <c r="I871" s="11" t="s">
        <v>667</v>
      </c>
      <c r="J871" s="11" t="s">
        <v>673</v>
      </c>
    </row>
    <row r="872" customFormat="false" ht="15" hidden="false" customHeight="false" outlineLevel="0" collapsed="false">
      <c r="A872" s="11" t="s">
        <v>261</v>
      </c>
      <c r="B872" s="11" t="s">
        <v>262</v>
      </c>
      <c r="C872" s="11" t="n">
        <v>2017</v>
      </c>
      <c r="D872" s="11" t="s">
        <v>22</v>
      </c>
      <c r="E872" s="17" t="n">
        <v>5770263</v>
      </c>
      <c r="F872" s="11" t="s">
        <v>116</v>
      </c>
      <c r="G872" s="11" t="s">
        <v>265</v>
      </c>
      <c r="H872" s="11" t="s">
        <v>118</v>
      </c>
      <c r="I872" s="11" t="s">
        <v>667</v>
      </c>
      <c r="J872" s="11" t="s">
        <v>673</v>
      </c>
    </row>
    <row r="873" customFormat="false" ht="15" hidden="false" customHeight="false" outlineLevel="0" collapsed="false">
      <c r="A873" s="11" t="s">
        <v>261</v>
      </c>
      <c r="B873" s="11" t="s">
        <v>262</v>
      </c>
      <c r="C873" s="11" t="n">
        <v>2018</v>
      </c>
      <c r="D873" s="11" t="s">
        <v>22</v>
      </c>
      <c r="E873" s="17" t="n">
        <v>5888837</v>
      </c>
      <c r="F873" s="11" t="s">
        <v>116</v>
      </c>
      <c r="G873" s="11" t="s">
        <v>265</v>
      </c>
      <c r="H873" s="11" t="s">
        <v>118</v>
      </c>
      <c r="I873" s="11" t="s">
        <v>667</v>
      </c>
      <c r="J873" s="11" t="s">
        <v>673</v>
      </c>
    </row>
    <row r="874" customFormat="false" ht="15" hidden="false" customHeight="false" outlineLevel="0" collapsed="false">
      <c r="A874" s="11" t="s">
        <v>261</v>
      </c>
      <c r="B874" s="11" t="s">
        <v>262</v>
      </c>
      <c r="C874" s="11" t="n">
        <v>2019</v>
      </c>
      <c r="D874" s="11" t="s">
        <v>22</v>
      </c>
      <c r="E874" s="17" t="n">
        <v>6069000</v>
      </c>
      <c r="F874" s="11" t="s">
        <v>116</v>
      </c>
      <c r="G874" s="11" t="s">
        <v>265</v>
      </c>
      <c r="H874" s="11" t="s">
        <v>118</v>
      </c>
      <c r="I874" s="11" t="s">
        <v>667</v>
      </c>
      <c r="J874" s="11" t="s">
        <v>673</v>
      </c>
    </row>
    <row r="875" customFormat="false" ht="15" hidden="false" customHeight="false" outlineLevel="0" collapsed="false">
      <c r="A875" s="11" t="s">
        <v>261</v>
      </c>
      <c r="B875" s="11" t="s">
        <v>262</v>
      </c>
      <c r="C875" s="11" t="n">
        <v>2020</v>
      </c>
      <c r="D875" s="11" t="s">
        <v>22</v>
      </c>
      <c r="E875" s="17" t="n">
        <v>6161391</v>
      </c>
      <c r="F875" s="11" t="s">
        <v>116</v>
      </c>
      <c r="G875" s="11" t="s">
        <v>265</v>
      </c>
      <c r="H875" s="11" t="s">
        <v>118</v>
      </c>
      <c r="I875" s="11" t="s">
        <v>667</v>
      </c>
      <c r="J875" s="11" t="s">
        <v>673</v>
      </c>
    </row>
    <row r="876" customFormat="false" ht="15" hidden="false" customHeight="false" outlineLevel="0" collapsed="false">
      <c r="A876" s="11" t="s">
        <v>261</v>
      </c>
      <c r="B876" s="11" t="s">
        <v>262</v>
      </c>
      <c r="C876" s="11" t="n">
        <v>2021</v>
      </c>
      <c r="D876" s="11" t="s">
        <v>22</v>
      </c>
      <c r="E876" s="17" t="n">
        <v>6262207</v>
      </c>
      <c r="F876" s="11" t="s">
        <v>116</v>
      </c>
      <c r="G876" s="11" t="s">
        <v>265</v>
      </c>
      <c r="H876" s="11" t="s">
        <v>118</v>
      </c>
      <c r="I876" s="11" t="s">
        <v>667</v>
      </c>
      <c r="J876" s="11" t="s">
        <v>673</v>
      </c>
    </row>
    <row r="877" customFormat="false" ht="15" hidden="false" customHeight="false" outlineLevel="0" collapsed="false">
      <c r="A877" s="11" t="s">
        <v>261</v>
      </c>
      <c r="B877" s="11" t="s">
        <v>262</v>
      </c>
      <c r="C877" s="11" t="n">
        <v>2022</v>
      </c>
      <c r="D877" s="11" t="s">
        <v>22</v>
      </c>
      <c r="E877" s="17" t="n">
        <v>6161003</v>
      </c>
      <c r="F877" s="11" t="s">
        <v>116</v>
      </c>
      <c r="G877" s="11" t="s">
        <v>265</v>
      </c>
      <c r="H877" s="11" t="s">
        <v>200</v>
      </c>
      <c r="I877" s="11" t="s">
        <v>667</v>
      </c>
      <c r="J877" s="11" t="s">
        <v>673</v>
      </c>
    </row>
    <row r="878" customFormat="false" ht="15" hidden="false" customHeight="false" outlineLevel="0" collapsed="false">
      <c r="A878" s="11" t="s">
        <v>261</v>
      </c>
      <c r="B878" s="11" t="s">
        <v>262</v>
      </c>
      <c r="C878" s="11" t="n">
        <v>2010</v>
      </c>
      <c r="D878" s="11" t="s">
        <v>26</v>
      </c>
      <c r="E878" s="17" t="n">
        <v>3836349</v>
      </c>
      <c r="F878" s="11" t="s">
        <v>119</v>
      </c>
      <c r="G878" s="11" t="s">
        <v>266</v>
      </c>
      <c r="H878" s="11" t="s">
        <v>121</v>
      </c>
      <c r="I878" s="11" t="s">
        <v>667</v>
      </c>
      <c r="J878" s="11" t="s">
        <v>673</v>
      </c>
    </row>
    <row r="879" customFormat="false" ht="15" hidden="false" customHeight="false" outlineLevel="0" collapsed="false">
      <c r="A879" s="11" t="s">
        <v>261</v>
      </c>
      <c r="B879" s="11" t="s">
        <v>262</v>
      </c>
      <c r="C879" s="11" t="n">
        <v>2011</v>
      </c>
      <c r="D879" s="11" t="s">
        <v>26</v>
      </c>
      <c r="E879" s="17" t="n">
        <v>4101335</v>
      </c>
      <c r="F879" s="11" t="s">
        <v>119</v>
      </c>
      <c r="G879" s="11" t="s">
        <v>266</v>
      </c>
      <c r="H879" s="11" t="s">
        <v>121</v>
      </c>
      <c r="I879" s="11" t="s">
        <v>667</v>
      </c>
      <c r="J879" s="11" t="s">
        <v>673</v>
      </c>
    </row>
    <row r="880" customFormat="false" ht="15" hidden="false" customHeight="false" outlineLevel="0" collapsed="false">
      <c r="A880" s="11" t="s">
        <v>261</v>
      </c>
      <c r="B880" s="11" t="s">
        <v>262</v>
      </c>
      <c r="C880" s="11" t="n">
        <v>2012</v>
      </c>
      <c r="D880" s="11" t="s">
        <v>26</v>
      </c>
      <c r="E880" s="17" t="n">
        <v>4319201</v>
      </c>
      <c r="F880" s="11" t="s">
        <v>119</v>
      </c>
      <c r="G880" s="11" t="s">
        <v>266</v>
      </c>
      <c r="H880" s="11" t="s">
        <v>121</v>
      </c>
      <c r="I880" s="11" t="s">
        <v>667</v>
      </c>
      <c r="J880" s="11" t="s">
        <v>673</v>
      </c>
    </row>
    <row r="881" customFormat="false" ht="15" hidden="false" customHeight="false" outlineLevel="0" collapsed="false">
      <c r="A881" s="11" t="s">
        <v>261</v>
      </c>
      <c r="B881" s="11" t="s">
        <v>262</v>
      </c>
      <c r="C881" s="11" t="n">
        <v>2013</v>
      </c>
      <c r="D881" s="11" t="s">
        <v>26</v>
      </c>
      <c r="E881" s="17" t="n">
        <v>4610493</v>
      </c>
      <c r="F881" s="11" t="s">
        <v>119</v>
      </c>
      <c r="G881" s="11" t="s">
        <v>266</v>
      </c>
      <c r="H881" s="11" t="s">
        <v>121</v>
      </c>
      <c r="I881" s="11" t="s">
        <v>667</v>
      </c>
      <c r="J881" s="11" t="s">
        <v>673</v>
      </c>
    </row>
    <row r="882" customFormat="false" ht="15" hidden="false" customHeight="false" outlineLevel="0" collapsed="false">
      <c r="A882" s="11" t="s">
        <v>261</v>
      </c>
      <c r="B882" s="11" t="s">
        <v>262</v>
      </c>
      <c r="C882" s="11" t="n">
        <v>2014</v>
      </c>
      <c r="D882" s="11" t="s">
        <v>26</v>
      </c>
      <c r="E882" s="17" t="n">
        <v>4787166</v>
      </c>
      <c r="F882" s="11" t="s">
        <v>119</v>
      </c>
      <c r="G882" s="11" t="s">
        <v>266</v>
      </c>
      <c r="H882" s="11" t="s">
        <v>121</v>
      </c>
      <c r="I882" s="11" t="s">
        <v>667</v>
      </c>
      <c r="J882" s="11" t="s">
        <v>673</v>
      </c>
    </row>
    <row r="883" customFormat="false" ht="15" hidden="false" customHeight="false" outlineLevel="0" collapsed="false">
      <c r="A883" s="11" t="s">
        <v>261</v>
      </c>
      <c r="B883" s="11" t="s">
        <v>262</v>
      </c>
      <c r="C883" s="11" t="n">
        <v>2015</v>
      </c>
      <c r="D883" s="11" t="s">
        <v>26</v>
      </c>
      <c r="E883" s="17" t="n">
        <v>4835245</v>
      </c>
      <c r="F883" s="11" t="s">
        <v>119</v>
      </c>
      <c r="G883" s="11" t="s">
        <v>266</v>
      </c>
      <c r="H883" s="11" t="s">
        <v>121</v>
      </c>
      <c r="I883" s="11" t="s">
        <v>667</v>
      </c>
      <c r="J883" s="11" t="s">
        <v>673</v>
      </c>
    </row>
    <row r="884" customFormat="false" ht="15" hidden="false" customHeight="false" outlineLevel="0" collapsed="false">
      <c r="A884" s="11" t="s">
        <v>261</v>
      </c>
      <c r="B884" s="11" t="s">
        <v>262</v>
      </c>
      <c r="C884" s="11" t="n">
        <v>2016</v>
      </c>
      <c r="D884" s="11" t="s">
        <v>26</v>
      </c>
      <c r="E884" s="17" t="n">
        <v>4831042</v>
      </c>
      <c r="F884" s="11" t="s">
        <v>119</v>
      </c>
      <c r="G884" s="11" t="s">
        <v>266</v>
      </c>
      <c r="H884" s="11" t="s">
        <v>121</v>
      </c>
      <c r="I884" s="11" t="s">
        <v>667</v>
      </c>
      <c r="J884" s="11" t="s">
        <v>673</v>
      </c>
    </row>
    <row r="885" customFormat="false" ht="15" hidden="false" customHeight="false" outlineLevel="0" collapsed="false">
      <c r="A885" s="11" t="s">
        <v>261</v>
      </c>
      <c r="B885" s="11" t="s">
        <v>262</v>
      </c>
      <c r="C885" s="11" t="n">
        <v>2017</v>
      </c>
      <c r="D885" s="11" t="s">
        <v>26</v>
      </c>
      <c r="E885" s="17" t="n">
        <v>4818633</v>
      </c>
      <c r="F885" s="11" t="s">
        <v>119</v>
      </c>
      <c r="G885" s="11" t="s">
        <v>266</v>
      </c>
      <c r="H885" s="11" t="s">
        <v>121</v>
      </c>
      <c r="I885" s="11" t="s">
        <v>667</v>
      </c>
      <c r="J885" s="11" t="s">
        <v>673</v>
      </c>
    </row>
    <row r="886" customFormat="false" ht="15" hidden="false" customHeight="false" outlineLevel="0" collapsed="false">
      <c r="A886" s="11" t="s">
        <v>261</v>
      </c>
      <c r="B886" s="11" t="s">
        <v>262</v>
      </c>
      <c r="C886" s="11" t="n">
        <v>2018</v>
      </c>
      <c r="D886" s="11" t="s">
        <v>26</v>
      </c>
      <c r="E886" s="17" t="n">
        <v>4883451</v>
      </c>
      <c r="F886" s="11" t="s">
        <v>119</v>
      </c>
      <c r="G886" s="11" t="s">
        <v>266</v>
      </c>
      <c r="H886" s="11" t="s">
        <v>121</v>
      </c>
      <c r="I886" s="11" t="s">
        <v>667</v>
      </c>
      <c r="J886" s="11" t="s">
        <v>673</v>
      </c>
    </row>
    <row r="887" customFormat="false" ht="15" hidden="false" customHeight="false" outlineLevel="0" collapsed="false">
      <c r="A887" s="11" t="s">
        <v>261</v>
      </c>
      <c r="B887" s="11" t="s">
        <v>262</v>
      </c>
      <c r="C887" s="11" t="n">
        <v>2019</v>
      </c>
      <c r="D887" s="11" t="s">
        <v>26</v>
      </c>
      <c r="E887" s="17" t="n">
        <v>4996158</v>
      </c>
      <c r="F887" s="11" t="s">
        <v>119</v>
      </c>
      <c r="G887" s="11" t="s">
        <v>266</v>
      </c>
      <c r="H887" s="11" t="s">
        <v>121</v>
      </c>
      <c r="I887" s="11" t="s">
        <v>667</v>
      </c>
      <c r="J887" s="11" t="s">
        <v>673</v>
      </c>
    </row>
    <row r="888" customFormat="false" ht="15" hidden="false" customHeight="false" outlineLevel="0" collapsed="false">
      <c r="A888" s="11" t="s">
        <v>261</v>
      </c>
      <c r="B888" s="11" t="s">
        <v>262</v>
      </c>
      <c r="C888" s="11" t="n">
        <v>2020</v>
      </c>
      <c r="D888" s="11" t="s">
        <v>26</v>
      </c>
      <c r="E888" s="17" t="n">
        <v>5039637</v>
      </c>
      <c r="F888" s="11" t="s">
        <v>119</v>
      </c>
      <c r="G888" s="11" t="s">
        <v>266</v>
      </c>
      <c r="H888" s="11" t="s">
        <v>121</v>
      </c>
      <c r="I888" s="11" t="s">
        <v>667</v>
      </c>
      <c r="J888" s="11" t="s">
        <v>673</v>
      </c>
    </row>
    <row r="889" customFormat="false" ht="15" hidden="false" customHeight="false" outlineLevel="0" collapsed="false">
      <c r="A889" s="11" t="s">
        <v>261</v>
      </c>
      <c r="B889" s="11" t="s">
        <v>262</v>
      </c>
      <c r="C889" s="11" t="n">
        <v>2021</v>
      </c>
      <c r="D889" s="11" t="s">
        <v>26</v>
      </c>
      <c r="E889" s="17" t="n">
        <v>5171894</v>
      </c>
      <c r="F889" s="11" t="s">
        <v>119</v>
      </c>
      <c r="G889" s="11" t="s">
        <v>266</v>
      </c>
      <c r="H889" s="11" t="s">
        <v>121</v>
      </c>
      <c r="I889" s="11" t="s">
        <v>667</v>
      </c>
      <c r="J889" s="11" t="s">
        <v>673</v>
      </c>
    </row>
    <row r="890" customFormat="false" ht="15" hidden="false" customHeight="false" outlineLevel="0" collapsed="false">
      <c r="A890" s="11" t="s">
        <v>261</v>
      </c>
      <c r="B890" s="11" t="s">
        <v>262</v>
      </c>
      <c r="C890" s="11" t="n">
        <v>2022</v>
      </c>
      <c r="D890" s="11" t="s">
        <v>26</v>
      </c>
      <c r="E890" s="17" t="n">
        <v>5030716</v>
      </c>
      <c r="F890" s="11" t="s">
        <v>119</v>
      </c>
      <c r="G890" s="11" t="s">
        <v>266</v>
      </c>
      <c r="H890" s="11" t="s">
        <v>144</v>
      </c>
      <c r="I890" s="11" t="s">
        <v>667</v>
      </c>
      <c r="J890" s="11" t="s">
        <v>673</v>
      </c>
    </row>
    <row r="891" customFormat="false" ht="15" hidden="false" customHeight="false" outlineLevel="0" collapsed="false">
      <c r="A891" s="11" t="s">
        <v>261</v>
      </c>
      <c r="B891" s="11" t="s">
        <v>262</v>
      </c>
      <c r="C891" s="11" t="n">
        <v>2010</v>
      </c>
      <c r="D891" s="11" t="s">
        <v>38</v>
      </c>
      <c r="E891" s="17" t="n">
        <v>46955</v>
      </c>
      <c r="F891" s="11" t="s">
        <v>123</v>
      </c>
      <c r="G891" s="11" t="s">
        <v>124</v>
      </c>
      <c r="H891" s="11" t="s">
        <v>125</v>
      </c>
      <c r="I891" s="11" t="s">
        <v>667</v>
      </c>
      <c r="J891" s="11" t="s">
        <v>674</v>
      </c>
    </row>
    <row r="892" customFormat="false" ht="15" hidden="false" customHeight="false" outlineLevel="0" collapsed="false">
      <c r="A892" s="11" t="s">
        <v>261</v>
      </c>
      <c r="B892" s="11" t="s">
        <v>262</v>
      </c>
      <c r="C892" s="11" t="n">
        <v>2011</v>
      </c>
      <c r="D892" s="11" t="s">
        <v>38</v>
      </c>
      <c r="E892" s="17" t="n">
        <v>29505</v>
      </c>
      <c r="F892" s="11" t="s">
        <v>123</v>
      </c>
      <c r="G892" s="11" t="s">
        <v>124</v>
      </c>
      <c r="H892" s="11" t="s">
        <v>125</v>
      </c>
      <c r="I892" s="11" t="s">
        <v>667</v>
      </c>
      <c r="J892" s="11" t="s">
        <v>674</v>
      </c>
    </row>
    <row r="893" customFormat="false" ht="15" hidden="false" customHeight="false" outlineLevel="0" collapsed="false">
      <c r="A893" s="11" t="s">
        <v>261</v>
      </c>
      <c r="B893" s="11" t="s">
        <v>262</v>
      </c>
      <c r="C893" s="11" t="n">
        <v>2012</v>
      </c>
      <c r="D893" s="11" t="s">
        <v>38</v>
      </c>
      <c r="E893" s="17" t="n">
        <v>29345</v>
      </c>
      <c r="F893" s="11" t="s">
        <v>123</v>
      </c>
      <c r="G893" s="11" t="s">
        <v>124</v>
      </c>
      <c r="H893" s="11" t="s">
        <v>125</v>
      </c>
      <c r="I893" s="11" t="s">
        <v>667</v>
      </c>
      <c r="J893" s="11" t="s">
        <v>674</v>
      </c>
    </row>
    <row r="894" customFormat="false" ht="15" hidden="false" customHeight="false" outlineLevel="0" collapsed="false">
      <c r="A894" s="11" t="s">
        <v>261</v>
      </c>
      <c r="B894" s="11" t="s">
        <v>262</v>
      </c>
      <c r="C894" s="11" t="n">
        <v>2013</v>
      </c>
      <c r="D894" s="11" t="s">
        <v>38</v>
      </c>
      <c r="E894" s="17" t="n">
        <v>23945</v>
      </c>
      <c r="F894" s="11" t="s">
        <v>123</v>
      </c>
      <c r="G894" s="11" t="s">
        <v>124</v>
      </c>
      <c r="H894" s="11" t="s">
        <v>125</v>
      </c>
      <c r="I894" s="11" t="s">
        <v>667</v>
      </c>
      <c r="J894" s="11" t="s">
        <v>674</v>
      </c>
    </row>
    <row r="895" customFormat="false" ht="15" hidden="false" customHeight="false" outlineLevel="0" collapsed="false">
      <c r="A895" s="11" t="s">
        <v>261</v>
      </c>
      <c r="B895" s="11" t="s">
        <v>262</v>
      </c>
      <c r="C895" s="11" t="n">
        <v>2014</v>
      </c>
      <c r="D895" s="11" t="s">
        <v>38</v>
      </c>
      <c r="E895" s="17" t="n">
        <v>25300</v>
      </c>
      <c r="F895" s="11" t="s">
        <v>123</v>
      </c>
      <c r="G895" s="11" t="s">
        <v>124</v>
      </c>
      <c r="H895" s="11" t="s">
        <v>125</v>
      </c>
      <c r="I895" s="11" t="s">
        <v>667</v>
      </c>
      <c r="J895" s="11" t="s">
        <v>674</v>
      </c>
    </row>
    <row r="896" customFormat="false" ht="15" hidden="false" customHeight="false" outlineLevel="0" collapsed="false">
      <c r="A896" s="11" t="s">
        <v>261</v>
      </c>
      <c r="B896" s="11" t="s">
        <v>262</v>
      </c>
      <c r="C896" s="11" t="n">
        <v>2015</v>
      </c>
      <c r="D896" s="11" t="s">
        <v>38</v>
      </c>
      <c r="E896" s="17" t="n">
        <v>27305</v>
      </c>
      <c r="F896" s="11" t="s">
        <v>123</v>
      </c>
      <c r="G896" s="11" t="s">
        <v>124</v>
      </c>
      <c r="H896" s="11" t="s">
        <v>125</v>
      </c>
      <c r="I896" s="11" t="s">
        <v>667</v>
      </c>
      <c r="J896" s="11" t="s">
        <v>674</v>
      </c>
    </row>
    <row r="897" customFormat="false" ht="15" hidden="false" customHeight="false" outlineLevel="0" collapsed="false">
      <c r="A897" s="11" t="s">
        <v>261</v>
      </c>
      <c r="B897" s="11" t="s">
        <v>262</v>
      </c>
      <c r="C897" s="11" t="n">
        <v>2016</v>
      </c>
      <c r="D897" s="11" t="s">
        <v>38</v>
      </c>
      <c r="E897" s="17" t="n">
        <v>32365</v>
      </c>
      <c r="F897" s="11" t="s">
        <v>123</v>
      </c>
      <c r="G897" s="11" t="s">
        <v>124</v>
      </c>
      <c r="H897" s="11" t="s">
        <v>125</v>
      </c>
      <c r="I897" s="11" t="s">
        <v>667</v>
      </c>
      <c r="J897" s="11" t="s">
        <v>674</v>
      </c>
    </row>
    <row r="898" customFormat="false" ht="15" hidden="false" customHeight="false" outlineLevel="0" collapsed="false">
      <c r="A898" s="11" t="s">
        <v>261</v>
      </c>
      <c r="B898" s="11" t="s">
        <v>262</v>
      </c>
      <c r="C898" s="11" t="n">
        <v>2017</v>
      </c>
      <c r="D898" s="11" t="s">
        <v>38</v>
      </c>
      <c r="E898" s="17" t="n">
        <v>36230</v>
      </c>
      <c r="F898" s="11" t="s">
        <v>123</v>
      </c>
      <c r="G898" s="11" t="s">
        <v>124</v>
      </c>
      <c r="H898" s="11" t="s">
        <v>125</v>
      </c>
      <c r="I898" s="11" t="s">
        <v>667</v>
      </c>
      <c r="J898" s="11" t="s">
        <v>674</v>
      </c>
    </row>
    <row r="899" customFormat="false" ht="15" hidden="false" customHeight="false" outlineLevel="0" collapsed="false">
      <c r="A899" s="11" t="s">
        <v>261</v>
      </c>
      <c r="B899" s="11" t="s">
        <v>262</v>
      </c>
      <c r="C899" s="11" t="n">
        <v>2018</v>
      </c>
      <c r="D899" s="11" t="s">
        <v>38</v>
      </c>
      <c r="E899" s="17" t="n">
        <v>26780</v>
      </c>
      <c r="F899" s="11" t="s">
        <v>123</v>
      </c>
      <c r="G899" s="11" t="s">
        <v>124</v>
      </c>
      <c r="H899" s="11" t="s">
        <v>125</v>
      </c>
      <c r="I899" s="11" t="s">
        <v>667</v>
      </c>
      <c r="J899" s="11" t="s">
        <v>674</v>
      </c>
    </row>
    <row r="900" customFormat="false" ht="15" hidden="false" customHeight="false" outlineLevel="0" collapsed="false">
      <c r="A900" s="11" t="s">
        <v>261</v>
      </c>
      <c r="B900" s="11" t="s">
        <v>262</v>
      </c>
      <c r="C900" s="11" t="n">
        <v>2019</v>
      </c>
      <c r="D900" s="11" t="s">
        <v>38</v>
      </c>
      <c r="E900" s="17" t="n">
        <v>26885</v>
      </c>
      <c r="F900" s="11" t="s">
        <v>123</v>
      </c>
      <c r="G900" s="11" t="s">
        <v>124</v>
      </c>
      <c r="H900" s="11" t="s">
        <v>125</v>
      </c>
      <c r="I900" s="11" t="s">
        <v>667</v>
      </c>
      <c r="J900" s="11" t="s">
        <v>674</v>
      </c>
    </row>
    <row r="901" customFormat="false" ht="15" hidden="false" customHeight="false" outlineLevel="0" collapsed="false">
      <c r="A901" s="11" t="s">
        <v>261</v>
      </c>
      <c r="B901" s="11" t="s">
        <v>262</v>
      </c>
      <c r="C901" s="11" t="n">
        <v>2020</v>
      </c>
      <c r="D901" s="11" t="s">
        <v>38</v>
      </c>
      <c r="E901" s="17" t="n">
        <v>22785</v>
      </c>
      <c r="F901" s="11" t="s">
        <v>123</v>
      </c>
      <c r="G901" s="11" t="s">
        <v>124</v>
      </c>
      <c r="H901" s="11" t="s">
        <v>125</v>
      </c>
      <c r="I901" s="11" t="s">
        <v>667</v>
      </c>
      <c r="J901" s="11" t="s">
        <v>674</v>
      </c>
    </row>
    <row r="902" customFormat="false" ht="15" hidden="false" customHeight="false" outlineLevel="0" collapsed="false">
      <c r="A902" s="11" t="s">
        <v>261</v>
      </c>
      <c r="B902" s="11" t="s">
        <v>262</v>
      </c>
      <c r="C902" s="11" t="n">
        <v>2021</v>
      </c>
      <c r="D902" s="11" t="s">
        <v>38</v>
      </c>
      <c r="E902" s="17" t="n">
        <v>92070</v>
      </c>
      <c r="F902" s="11" t="s">
        <v>123</v>
      </c>
      <c r="G902" s="11" t="s">
        <v>124</v>
      </c>
      <c r="H902" s="11" t="s">
        <v>125</v>
      </c>
      <c r="I902" s="11" t="s">
        <v>667</v>
      </c>
      <c r="J902" s="11" t="s">
        <v>674</v>
      </c>
    </row>
    <row r="903" customFormat="false" ht="15" hidden="false" customHeight="false" outlineLevel="0" collapsed="false">
      <c r="A903" s="11" t="s">
        <v>261</v>
      </c>
      <c r="B903" s="11" t="s">
        <v>262</v>
      </c>
      <c r="C903" s="11" t="n">
        <v>2022</v>
      </c>
      <c r="D903" s="11" t="s">
        <v>38</v>
      </c>
      <c r="E903" s="17" t="n">
        <v>138420</v>
      </c>
      <c r="F903" s="11" t="s">
        <v>123</v>
      </c>
      <c r="G903" s="11" t="s">
        <v>124</v>
      </c>
      <c r="H903" s="11" t="s">
        <v>125</v>
      </c>
      <c r="I903" s="11" t="s">
        <v>667</v>
      </c>
      <c r="J903" s="11" t="s">
        <v>674</v>
      </c>
    </row>
    <row r="904" customFormat="false" ht="15" hidden="false" customHeight="false" outlineLevel="0" collapsed="false">
      <c r="A904" s="11" t="s">
        <v>261</v>
      </c>
      <c r="B904" s="11" t="s">
        <v>262</v>
      </c>
      <c r="C904" s="11" t="n">
        <v>2014</v>
      </c>
      <c r="D904" s="11" t="s">
        <v>30</v>
      </c>
      <c r="E904" s="17" t="n">
        <v>400000</v>
      </c>
      <c r="F904" s="11" t="s">
        <v>127</v>
      </c>
      <c r="G904" s="11" t="s">
        <v>128</v>
      </c>
      <c r="H904" s="11" t="s">
        <v>267</v>
      </c>
      <c r="I904" s="11" t="s">
        <v>667</v>
      </c>
      <c r="J904" s="11" t="s">
        <v>674</v>
      </c>
    </row>
    <row r="905" customFormat="false" ht="15" hidden="false" customHeight="false" outlineLevel="0" collapsed="false">
      <c r="A905" s="11" t="s">
        <v>261</v>
      </c>
      <c r="B905" s="11" t="s">
        <v>262</v>
      </c>
      <c r="C905" s="11" t="n">
        <v>2015</v>
      </c>
      <c r="D905" s="11" t="s">
        <v>30</v>
      </c>
      <c r="E905" s="17" t="n">
        <v>450000</v>
      </c>
      <c r="F905" s="11" t="s">
        <v>127</v>
      </c>
      <c r="G905" s="11" t="s">
        <v>128</v>
      </c>
      <c r="H905" s="11" t="s">
        <v>613</v>
      </c>
      <c r="I905" s="11" t="s">
        <v>675</v>
      </c>
      <c r="J905" s="11" t="s">
        <v>674</v>
      </c>
    </row>
    <row r="906" customFormat="false" ht="15" hidden="false" customHeight="false" outlineLevel="0" collapsed="false">
      <c r="A906" s="11" t="s">
        <v>261</v>
      </c>
      <c r="B906" s="11" t="s">
        <v>262</v>
      </c>
      <c r="C906" s="11" t="n">
        <v>2015</v>
      </c>
      <c r="D906" s="11" t="s">
        <v>30</v>
      </c>
      <c r="E906" s="17" t="n">
        <v>404000</v>
      </c>
      <c r="F906" s="11" t="s">
        <v>268</v>
      </c>
      <c r="G906" s="11" t="s">
        <v>269</v>
      </c>
      <c r="H906" s="11" t="s">
        <v>270</v>
      </c>
      <c r="I906" s="11" t="s">
        <v>667</v>
      </c>
      <c r="J906" s="11" t="s">
        <v>674</v>
      </c>
    </row>
    <row r="907" customFormat="false" ht="15" hidden="false" customHeight="false" outlineLevel="0" collapsed="false">
      <c r="A907" s="11" t="s">
        <v>261</v>
      </c>
      <c r="B907" s="11" t="s">
        <v>262</v>
      </c>
      <c r="C907" s="11" t="n">
        <v>2016</v>
      </c>
      <c r="D907" s="11" t="s">
        <v>30</v>
      </c>
      <c r="E907" s="17" t="n">
        <v>500000</v>
      </c>
      <c r="F907" s="11" t="s">
        <v>127</v>
      </c>
      <c r="G907" s="11" t="s">
        <v>128</v>
      </c>
      <c r="H907" s="11" t="s">
        <v>614</v>
      </c>
      <c r="I907" s="11" t="s">
        <v>675</v>
      </c>
      <c r="J907" s="11" t="s">
        <v>674</v>
      </c>
    </row>
    <row r="908" customFormat="false" ht="15" hidden="false" customHeight="false" outlineLevel="0" collapsed="false">
      <c r="A908" s="11" t="s">
        <v>261</v>
      </c>
      <c r="B908" s="11" t="s">
        <v>262</v>
      </c>
      <c r="C908" s="11" t="n">
        <v>2016</v>
      </c>
      <c r="D908" s="11" t="s">
        <v>30</v>
      </c>
      <c r="E908" s="17" t="n">
        <v>435000</v>
      </c>
      <c r="F908" s="11" t="s">
        <v>268</v>
      </c>
      <c r="G908" s="11" t="s">
        <v>269</v>
      </c>
      <c r="H908" s="11" t="s">
        <v>270</v>
      </c>
      <c r="I908" s="11" t="s">
        <v>667</v>
      </c>
      <c r="J908" s="11" t="s">
        <v>674</v>
      </c>
    </row>
    <row r="909" customFormat="false" ht="15" hidden="false" customHeight="false" outlineLevel="0" collapsed="false">
      <c r="A909" s="11" t="s">
        <v>261</v>
      </c>
      <c r="B909" s="11" t="s">
        <v>262</v>
      </c>
      <c r="C909" s="11" t="n">
        <v>2017</v>
      </c>
      <c r="D909" s="11" t="s">
        <v>30</v>
      </c>
      <c r="E909" s="17" t="n">
        <v>600000</v>
      </c>
      <c r="F909" s="11" t="s">
        <v>127</v>
      </c>
      <c r="G909" s="11" t="s">
        <v>128</v>
      </c>
      <c r="H909" s="11" t="s">
        <v>615</v>
      </c>
      <c r="I909" s="11" t="s">
        <v>675</v>
      </c>
      <c r="J909" s="11" t="s">
        <v>674</v>
      </c>
    </row>
    <row r="910" customFormat="false" ht="15" hidden="false" customHeight="false" outlineLevel="0" collapsed="false">
      <c r="A910" s="11" t="s">
        <v>261</v>
      </c>
      <c r="B910" s="11" t="s">
        <v>262</v>
      </c>
      <c r="C910" s="11" t="n">
        <v>2017</v>
      </c>
      <c r="D910" s="11" t="s">
        <v>30</v>
      </c>
      <c r="E910" s="17" t="n">
        <v>491000</v>
      </c>
      <c r="F910" s="11" t="s">
        <v>271</v>
      </c>
      <c r="G910" s="11" t="s">
        <v>272</v>
      </c>
      <c r="H910" s="11" t="s">
        <v>270</v>
      </c>
      <c r="I910" s="11" t="s">
        <v>667</v>
      </c>
      <c r="J910" s="11" t="s">
        <v>674</v>
      </c>
    </row>
    <row r="911" customFormat="false" ht="15" hidden="false" customHeight="false" outlineLevel="0" collapsed="false">
      <c r="A911" s="11" t="s">
        <v>261</v>
      </c>
      <c r="B911" s="11" t="s">
        <v>262</v>
      </c>
      <c r="C911" s="11" t="n">
        <v>2018</v>
      </c>
      <c r="D911" s="11" t="s">
        <v>30</v>
      </c>
      <c r="E911" s="17" t="n">
        <v>533000</v>
      </c>
      <c r="F911" s="11" t="s">
        <v>273</v>
      </c>
      <c r="G911" s="11" t="s">
        <v>274</v>
      </c>
      <c r="H911" s="11" t="s">
        <v>270</v>
      </c>
      <c r="I911" s="11" t="s">
        <v>667</v>
      </c>
      <c r="J911" s="11" t="s">
        <v>674</v>
      </c>
    </row>
    <row r="912" customFormat="false" ht="15" hidden="false" customHeight="false" outlineLevel="0" collapsed="false">
      <c r="A912" s="11" t="s">
        <v>261</v>
      </c>
      <c r="B912" s="11" t="s">
        <v>262</v>
      </c>
      <c r="C912" s="11" t="n">
        <v>2019</v>
      </c>
      <c r="D912" s="11" t="s">
        <v>30</v>
      </c>
      <c r="E912" s="17" t="n">
        <v>562000</v>
      </c>
      <c r="F912" s="11" t="s">
        <v>275</v>
      </c>
      <c r="G912" s="11" t="s">
        <v>276</v>
      </c>
      <c r="H912" s="11" t="s">
        <v>270</v>
      </c>
      <c r="I912" s="11" t="s">
        <v>667</v>
      </c>
      <c r="J912" s="11" t="s">
        <v>674</v>
      </c>
    </row>
    <row r="913" customFormat="false" ht="15" hidden="false" customHeight="false" outlineLevel="0" collapsed="false">
      <c r="A913" s="11" t="s">
        <v>261</v>
      </c>
      <c r="B913" s="11" t="s">
        <v>262</v>
      </c>
      <c r="C913" s="11" t="n">
        <v>2020</v>
      </c>
      <c r="D913" s="11" t="s">
        <v>30</v>
      </c>
      <c r="E913" s="17" t="n">
        <v>517000</v>
      </c>
      <c r="F913" s="11" t="s">
        <v>277</v>
      </c>
      <c r="G913" s="11" t="s">
        <v>278</v>
      </c>
      <c r="H913" s="11" t="s">
        <v>270</v>
      </c>
      <c r="I913" s="11" t="s">
        <v>667</v>
      </c>
      <c r="J913" s="11" t="s">
        <v>674</v>
      </c>
    </row>
    <row r="914" customFormat="false" ht="15" hidden="false" customHeight="false" outlineLevel="0" collapsed="false">
      <c r="A914" s="11" t="s">
        <v>261</v>
      </c>
      <c r="B914" s="11" t="s">
        <v>262</v>
      </c>
      <c r="C914" s="11" t="n">
        <v>2021</v>
      </c>
      <c r="D914" s="11" t="s">
        <v>30</v>
      </c>
      <c r="E914" s="17" t="n">
        <v>519000</v>
      </c>
      <c r="F914" s="11" t="s">
        <v>279</v>
      </c>
      <c r="G914" s="11" t="s">
        <v>280</v>
      </c>
      <c r="H914" s="11" t="s">
        <v>270</v>
      </c>
      <c r="I914" s="11" t="s">
        <v>667</v>
      </c>
      <c r="J914" s="11" t="s">
        <v>674</v>
      </c>
    </row>
    <row r="915" customFormat="false" ht="15" hidden="false" customHeight="false" outlineLevel="0" collapsed="false">
      <c r="A915" s="11" t="s">
        <v>261</v>
      </c>
      <c r="B915" s="11" t="s">
        <v>262</v>
      </c>
      <c r="C915" s="11" t="n">
        <v>2022</v>
      </c>
      <c r="D915" s="11" t="s">
        <v>30</v>
      </c>
      <c r="E915" s="17" t="n">
        <v>506000</v>
      </c>
      <c r="F915" s="11" t="s">
        <v>279</v>
      </c>
      <c r="G915" s="11" t="s">
        <v>280</v>
      </c>
      <c r="H915" s="11" t="s">
        <v>281</v>
      </c>
      <c r="I915" s="11" t="s">
        <v>667</v>
      </c>
      <c r="J915" s="11" t="s">
        <v>674</v>
      </c>
    </row>
    <row r="916" customFormat="false" ht="15" hidden="false" customHeight="false" outlineLevel="0" collapsed="false">
      <c r="A916" s="11" t="s">
        <v>261</v>
      </c>
      <c r="B916" s="11" t="s">
        <v>262</v>
      </c>
      <c r="C916" s="11" t="n">
        <v>2010</v>
      </c>
      <c r="D916" s="11" t="s">
        <v>18</v>
      </c>
      <c r="E916" s="17" t="n">
        <v>59819407</v>
      </c>
      <c r="F916" s="11" t="s">
        <v>98</v>
      </c>
      <c r="G916" s="11" t="s">
        <v>99</v>
      </c>
      <c r="H916" s="11" t="s">
        <v>671</v>
      </c>
      <c r="I916" s="11" t="s">
        <v>667</v>
      </c>
      <c r="J916" s="11" t="s">
        <v>672</v>
      </c>
    </row>
    <row r="917" customFormat="false" ht="15" hidden="false" customHeight="false" outlineLevel="0" collapsed="false">
      <c r="A917" s="11" t="s">
        <v>261</v>
      </c>
      <c r="B917" s="11" t="s">
        <v>262</v>
      </c>
      <c r="C917" s="11" t="n">
        <v>2011</v>
      </c>
      <c r="D917" s="11" t="s">
        <v>18</v>
      </c>
      <c r="E917" s="17" t="n">
        <v>60026841</v>
      </c>
      <c r="F917" s="11" t="s">
        <v>98</v>
      </c>
      <c r="G917" s="11" t="s">
        <v>99</v>
      </c>
      <c r="H917" s="11" t="s">
        <v>671</v>
      </c>
      <c r="I917" s="11" t="s">
        <v>667</v>
      </c>
      <c r="J917" s="11" t="s">
        <v>672</v>
      </c>
    </row>
    <row r="918" customFormat="false" ht="15" hidden="false" customHeight="false" outlineLevel="0" collapsed="false">
      <c r="A918" s="11" t="s">
        <v>261</v>
      </c>
      <c r="B918" s="11" t="s">
        <v>262</v>
      </c>
      <c r="C918" s="11" t="n">
        <v>2012</v>
      </c>
      <c r="D918" s="11" t="s">
        <v>18</v>
      </c>
      <c r="E918" s="17" t="n">
        <v>60191247</v>
      </c>
      <c r="F918" s="11" t="s">
        <v>98</v>
      </c>
      <c r="G918" s="11" t="s">
        <v>99</v>
      </c>
      <c r="H918" s="11" t="s">
        <v>671</v>
      </c>
      <c r="I918" s="11" t="s">
        <v>667</v>
      </c>
      <c r="J918" s="11" t="s">
        <v>672</v>
      </c>
    </row>
    <row r="919" customFormat="false" ht="15" hidden="false" customHeight="false" outlineLevel="0" collapsed="false">
      <c r="A919" s="11" t="s">
        <v>261</v>
      </c>
      <c r="B919" s="11" t="s">
        <v>262</v>
      </c>
      <c r="C919" s="11" t="n">
        <v>2013</v>
      </c>
      <c r="D919" s="11" t="s">
        <v>18</v>
      </c>
      <c r="E919" s="17" t="n">
        <v>60311613</v>
      </c>
      <c r="F919" s="11" t="s">
        <v>98</v>
      </c>
      <c r="G919" s="11" t="s">
        <v>99</v>
      </c>
      <c r="H919" s="11" t="s">
        <v>671</v>
      </c>
      <c r="I919" s="11" t="s">
        <v>667</v>
      </c>
      <c r="J919" s="11" t="s">
        <v>672</v>
      </c>
    </row>
    <row r="920" customFormat="false" ht="15" hidden="false" customHeight="false" outlineLevel="0" collapsed="false">
      <c r="A920" s="11" t="s">
        <v>261</v>
      </c>
      <c r="B920" s="11" t="s">
        <v>262</v>
      </c>
      <c r="C920" s="11" t="n">
        <v>2014</v>
      </c>
      <c r="D920" s="11" t="s">
        <v>18</v>
      </c>
      <c r="E920" s="17" t="n">
        <v>60320707</v>
      </c>
      <c r="F920" s="11" t="s">
        <v>98</v>
      </c>
      <c r="G920" s="11" t="s">
        <v>99</v>
      </c>
      <c r="H920" s="11" t="s">
        <v>671</v>
      </c>
      <c r="I920" s="11" t="s">
        <v>667</v>
      </c>
      <c r="J920" s="11" t="s">
        <v>672</v>
      </c>
    </row>
    <row r="921" customFormat="false" ht="15" hidden="false" customHeight="false" outlineLevel="0" collapsed="false">
      <c r="A921" s="11" t="s">
        <v>261</v>
      </c>
      <c r="B921" s="11" t="s">
        <v>262</v>
      </c>
      <c r="C921" s="11" t="n">
        <v>2015</v>
      </c>
      <c r="D921" s="11" t="s">
        <v>18</v>
      </c>
      <c r="E921" s="17" t="n">
        <v>60229605</v>
      </c>
      <c r="F921" s="11" t="s">
        <v>98</v>
      </c>
      <c r="G921" s="11" t="s">
        <v>99</v>
      </c>
      <c r="H921" s="11" t="s">
        <v>671</v>
      </c>
      <c r="I921" s="11" t="s">
        <v>667</v>
      </c>
      <c r="J921" s="11" t="s">
        <v>672</v>
      </c>
    </row>
    <row r="922" customFormat="false" ht="15" hidden="false" customHeight="false" outlineLevel="0" collapsed="false">
      <c r="A922" s="11" t="s">
        <v>261</v>
      </c>
      <c r="B922" s="11" t="s">
        <v>262</v>
      </c>
      <c r="C922" s="11" t="n">
        <v>2016</v>
      </c>
      <c r="D922" s="11" t="s">
        <v>18</v>
      </c>
      <c r="E922" s="17" t="n">
        <v>60115223</v>
      </c>
      <c r="F922" s="11" t="s">
        <v>98</v>
      </c>
      <c r="G922" s="11" t="s">
        <v>99</v>
      </c>
      <c r="H922" s="11" t="s">
        <v>671</v>
      </c>
      <c r="I922" s="11" t="s">
        <v>667</v>
      </c>
      <c r="J922" s="11" t="s">
        <v>672</v>
      </c>
    </row>
    <row r="923" customFormat="false" ht="15" hidden="false" customHeight="false" outlineLevel="0" collapsed="false">
      <c r="A923" s="11" t="s">
        <v>261</v>
      </c>
      <c r="B923" s="11" t="s">
        <v>262</v>
      </c>
      <c r="C923" s="11" t="n">
        <v>2017</v>
      </c>
      <c r="D923" s="11" t="s">
        <v>18</v>
      </c>
      <c r="E923" s="17" t="n">
        <v>60002252</v>
      </c>
      <c r="F923" s="11" t="s">
        <v>98</v>
      </c>
      <c r="G923" s="11" t="s">
        <v>99</v>
      </c>
      <c r="H923" s="11" t="s">
        <v>671</v>
      </c>
      <c r="I923" s="11" t="s">
        <v>667</v>
      </c>
      <c r="J923" s="11" t="s">
        <v>672</v>
      </c>
    </row>
    <row r="924" customFormat="false" ht="15" hidden="false" customHeight="false" outlineLevel="0" collapsed="false">
      <c r="A924" s="11" t="s">
        <v>261</v>
      </c>
      <c r="B924" s="11" t="s">
        <v>262</v>
      </c>
      <c r="C924" s="11" t="n">
        <v>2018</v>
      </c>
      <c r="D924" s="11" t="s">
        <v>18</v>
      </c>
      <c r="E924" s="17" t="n">
        <v>59877221</v>
      </c>
      <c r="F924" s="11" t="s">
        <v>98</v>
      </c>
      <c r="G924" s="11" t="s">
        <v>99</v>
      </c>
      <c r="H924" s="11" t="s">
        <v>671</v>
      </c>
      <c r="I924" s="11" t="s">
        <v>667</v>
      </c>
      <c r="J924" s="11" t="s">
        <v>672</v>
      </c>
    </row>
    <row r="925" customFormat="false" ht="15" hidden="false" customHeight="false" outlineLevel="0" collapsed="false">
      <c r="A925" s="11" t="s">
        <v>261</v>
      </c>
      <c r="B925" s="11" t="s">
        <v>262</v>
      </c>
      <c r="C925" s="11" t="n">
        <v>2019</v>
      </c>
      <c r="D925" s="11" t="s">
        <v>18</v>
      </c>
      <c r="E925" s="17" t="n">
        <v>59729081</v>
      </c>
      <c r="F925" s="11" t="s">
        <v>98</v>
      </c>
      <c r="G925" s="11" t="s">
        <v>99</v>
      </c>
      <c r="H925" s="11" t="s">
        <v>671</v>
      </c>
      <c r="I925" s="11" t="s">
        <v>667</v>
      </c>
      <c r="J925" s="11" t="s">
        <v>672</v>
      </c>
    </row>
    <row r="926" customFormat="false" ht="15" hidden="false" customHeight="false" outlineLevel="0" collapsed="false">
      <c r="A926" s="11" t="s">
        <v>261</v>
      </c>
      <c r="B926" s="11" t="s">
        <v>262</v>
      </c>
      <c r="C926" s="11" t="n">
        <v>2020</v>
      </c>
      <c r="D926" s="11" t="s">
        <v>18</v>
      </c>
      <c r="E926" s="17" t="n">
        <v>59438851</v>
      </c>
      <c r="F926" s="11" t="s">
        <v>98</v>
      </c>
      <c r="G926" s="11" t="s">
        <v>99</v>
      </c>
      <c r="H926" s="11" t="s">
        <v>671</v>
      </c>
      <c r="I926" s="11" t="s">
        <v>667</v>
      </c>
      <c r="J926" s="11" t="s">
        <v>672</v>
      </c>
    </row>
    <row r="927" customFormat="false" ht="15" hidden="false" customHeight="false" outlineLevel="0" collapsed="false">
      <c r="A927" s="11" t="s">
        <v>261</v>
      </c>
      <c r="B927" s="11" t="s">
        <v>262</v>
      </c>
      <c r="C927" s="11" t="n">
        <v>2021</v>
      </c>
      <c r="D927" s="11" t="s">
        <v>18</v>
      </c>
      <c r="E927" s="17" t="n">
        <v>59133173</v>
      </c>
      <c r="F927" s="11" t="s">
        <v>98</v>
      </c>
      <c r="G927" s="11" t="s">
        <v>99</v>
      </c>
      <c r="H927" s="11" t="s">
        <v>671</v>
      </c>
      <c r="I927" s="11" t="s">
        <v>667</v>
      </c>
      <c r="J927" s="11" t="s">
        <v>672</v>
      </c>
    </row>
    <row r="928" customFormat="false" ht="15" hidden="false" customHeight="false" outlineLevel="0" collapsed="false">
      <c r="A928" s="11" t="s">
        <v>261</v>
      </c>
      <c r="B928" s="11" t="s">
        <v>262</v>
      </c>
      <c r="C928" s="11" t="n">
        <v>2022</v>
      </c>
      <c r="D928" s="11" t="s">
        <v>18</v>
      </c>
      <c r="E928" s="17" t="n">
        <v>59013667</v>
      </c>
      <c r="F928" s="11" t="s">
        <v>98</v>
      </c>
      <c r="G928" s="11" t="s">
        <v>99</v>
      </c>
      <c r="H928" s="11" t="s">
        <v>671</v>
      </c>
      <c r="I928" s="11" t="s">
        <v>667</v>
      </c>
      <c r="J928" s="11" t="s">
        <v>672</v>
      </c>
    </row>
    <row r="929" customFormat="false" ht="15" hidden="false" customHeight="false" outlineLevel="0" collapsed="false">
      <c r="A929" s="11" t="s">
        <v>282</v>
      </c>
      <c r="B929" s="11" t="s">
        <v>283</v>
      </c>
      <c r="C929" s="11" t="n">
        <v>2010</v>
      </c>
      <c r="D929" s="11" t="s">
        <v>26</v>
      </c>
      <c r="E929" s="17" t="n">
        <v>2184724</v>
      </c>
      <c r="F929" s="11" t="s">
        <v>152</v>
      </c>
      <c r="G929" s="11" t="s">
        <v>286</v>
      </c>
      <c r="H929" s="11" t="s">
        <v>287</v>
      </c>
      <c r="I929" s="11" t="s">
        <v>667</v>
      </c>
      <c r="J929" s="11" t="s">
        <v>668</v>
      </c>
    </row>
    <row r="930" customFormat="false" ht="15" hidden="false" customHeight="false" outlineLevel="0" collapsed="false">
      <c r="A930" s="11" t="s">
        <v>282</v>
      </c>
      <c r="B930" s="11" t="s">
        <v>283</v>
      </c>
      <c r="C930" s="11" t="n">
        <v>2011</v>
      </c>
      <c r="D930" s="11" t="s">
        <v>26</v>
      </c>
      <c r="E930" s="17" t="n">
        <v>2132913</v>
      </c>
      <c r="F930" s="11" t="s">
        <v>152</v>
      </c>
      <c r="G930" s="11" t="s">
        <v>286</v>
      </c>
      <c r="H930" s="11" t="s">
        <v>287</v>
      </c>
      <c r="I930" s="11" t="s">
        <v>667</v>
      </c>
      <c r="J930" s="11" t="s">
        <v>668</v>
      </c>
    </row>
    <row r="931" customFormat="false" ht="15" hidden="false" customHeight="false" outlineLevel="0" collapsed="false">
      <c r="A931" s="11" t="s">
        <v>282</v>
      </c>
      <c r="B931" s="11" t="s">
        <v>283</v>
      </c>
      <c r="C931" s="11" t="n">
        <v>2012</v>
      </c>
      <c r="D931" s="11" t="s">
        <v>26</v>
      </c>
      <c r="E931" s="17" t="n">
        <v>2078508</v>
      </c>
      <c r="F931" s="11" t="s">
        <v>152</v>
      </c>
      <c r="G931" s="11" t="s">
        <v>286</v>
      </c>
      <c r="H931" s="11" t="s">
        <v>287</v>
      </c>
      <c r="I931" s="11" t="s">
        <v>667</v>
      </c>
      <c r="J931" s="11" t="s">
        <v>668</v>
      </c>
    </row>
    <row r="932" customFormat="false" ht="15" hidden="false" customHeight="false" outlineLevel="0" collapsed="false">
      <c r="A932" s="11" t="s">
        <v>282</v>
      </c>
      <c r="B932" s="11" t="s">
        <v>283</v>
      </c>
      <c r="C932" s="11" t="n">
        <v>2013</v>
      </c>
      <c r="D932" s="11" t="s">
        <v>26</v>
      </c>
      <c r="E932" s="17" t="n">
        <v>2033656</v>
      </c>
      <c r="F932" s="11" t="s">
        <v>152</v>
      </c>
      <c r="G932" s="11" t="s">
        <v>286</v>
      </c>
      <c r="H932" s="11" t="s">
        <v>287</v>
      </c>
      <c r="I932" s="11" t="s">
        <v>667</v>
      </c>
      <c r="J932" s="11" t="s">
        <v>668</v>
      </c>
    </row>
    <row r="933" customFormat="false" ht="15" hidden="false" customHeight="false" outlineLevel="0" collapsed="false">
      <c r="A933" s="11" t="s">
        <v>282</v>
      </c>
      <c r="B933" s="11" t="s">
        <v>283</v>
      </c>
      <c r="C933" s="11" t="n">
        <v>2014</v>
      </c>
      <c r="D933" s="11" t="s">
        <v>26</v>
      </c>
      <c r="E933" s="17" t="n">
        <v>2066445</v>
      </c>
      <c r="F933" s="11" t="s">
        <v>152</v>
      </c>
      <c r="G933" s="11" t="s">
        <v>286</v>
      </c>
      <c r="H933" s="11" t="s">
        <v>287</v>
      </c>
      <c r="I933" s="11" t="s">
        <v>667</v>
      </c>
      <c r="J933" s="11" t="s">
        <v>668</v>
      </c>
    </row>
    <row r="934" customFormat="false" ht="15" hidden="false" customHeight="false" outlineLevel="0" collapsed="false">
      <c r="A934" s="11" t="s">
        <v>282</v>
      </c>
      <c r="B934" s="11" t="s">
        <v>283</v>
      </c>
      <c r="C934" s="11" t="n">
        <v>2015</v>
      </c>
      <c r="D934" s="11" t="s">
        <v>26</v>
      </c>
      <c r="E934" s="17" t="n">
        <v>2121831</v>
      </c>
      <c r="F934" s="11" t="s">
        <v>152</v>
      </c>
      <c r="G934" s="11" t="s">
        <v>286</v>
      </c>
      <c r="H934" s="11" t="s">
        <v>287</v>
      </c>
      <c r="I934" s="11" t="s">
        <v>667</v>
      </c>
      <c r="J934" s="11" t="s">
        <v>668</v>
      </c>
    </row>
    <row r="935" customFormat="false" ht="15" hidden="false" customHeight="false" outlineLevel="0" collapsed="false">
      <c r="A935" s="11" t="s">
        <v>282</v>
      </c>
      <c r="B935" s="11" t="s">
        <v>283</v>
      </c>
      <c r="C935" s="11" t="n">
        <v>2016</v>
      </c>
      <c r="D935" s="11" t="s">
        <v>26</v>
      </c>
      <c r="E935" s="17" t="n">
        <v>2232189</v>
      </c>
      <c r="F935" s="11" t="s">
        <v>152</v>
      </c>
      <c r="G935" s="11" t="s">
        <v>286</v>
      </c>
      <c r="H935" s="11" t="s">
        <v>287</v>
      </c>
      <c r="I935" s="11" t="s">
        <v>667</v>
      </c>
      <c r="J935" s="11" t="s">
        <v>668</v>
      </c>
    </row>
    <row r="936" customFormat="false" ht="15" hidden="false" customHeight="false" outlineLevel="0" collapsed="false">
      <c r="A936" s="11" t="s">
        <v>282</v>
      </c>
      <c r="B936" s="11" t="s">
        <v>283</v>
      </c>
      <c r="C936" s="11" t="n">
        <v>2017</v>
      </c>
      <c r="D936" s="11" t="s">
        <v>26</v>
      </c>
      <c r="E936" s="17" t="n">
        <v>2382822</v>
      </c>
      <c r="F936" s="11" t="s">
        <v>152</v>
      </c>
      <c r="G936" s="11" t="s">
        <v>286</v>
      </c>
      <c r="H936" s="11" t="s">
        <v>287</v>
      </c>
      <c r="I936" s="11" t="s">
        <v>667</v>
      </c>
      <c r="J936" s="11" t="s">
        <v>668</v>
      </c>
    </row>
    <row r="937" customFormat="false" ht="15" hidden="false" customHeight="false" outlineLevel="0" collapsed="false">
      <c r="A937" s="11" t="s">
        <v>282</v>
      </c>
      <c r="B937" s="11" t="s">
        <v>283</v>
      </c>
      <c r="C937" s="11" t="n">
        <v>2018</v>
      </c>
      <c r="D937" s="11" t="s">
        <v>26</v>
      </c>
      <c r="E937" s="17" t="n">
        <v>2561848</v>
      </c>
      <c r="F937" s="11" t="s">
        <v>152</v>
      </c>
      <c r="G937" s="11" t="s">
        <v>286</v>
      </c>
      <c r="H937" s="11" t="s">
        <v>287</v>
      </c>
      <c r="I937" s="11" t="s">
        <v>667</v>
      </c>
      <c r="J937" s="11" t="s">
        <v>668</v>
      </c>
    </row>
    <row r="938" customFormat="false" ht="15" hidden="false" customHeight="false" outlineLevel="0" collapsed="false">
      <c r="A938" s="11" t="s">
        <v>282</v>
      </c>
      <c r="B938" s="11" t="s">
        <v>283</v>
      </c>
      <c r="C938" s="11" t="n">
        <v>2019</v>
      </c>
      <c r="D938" s="11" t="s">
        <v>26</v>
      </c>
      <c r="E938" s="17" t="n">
        <v>2731093</v>
      </c>
      <c r="F938" s="11" t="s">
        <v>152</v>
      </c>
      <c r="G938" s="11" t="s">
        <v>286</v>
      </c>
      <c r="H938" s="11" t="s">
        <v>287</v>
      </c>
      <c r="I938" s="11" t="s">
        <v>667</v>
      </c>
      <c r="J938" s="11" t="s">
        <v>668</v>
      </c>
    </row>
    <row r="939" customFormat="false" ht="15" hidden="false" customHeight="false" outlineLevel="0" collapsed="false">
      <c r="A939" s="11" t="s">
        <v>282</v>
      </c>
      <c r="B939" s="11" t="s">
        <v>283</v>
      </c>
      <c r="C939" s="11" t="n">
        <v>2020</v>
      </c>
      <c r="D939" s="11" t="s">
        <v>26</v>
      </c>
      <c r="E939" s="17" t="n">
        <v>2933137</v>
      </c>
      <c r="F939" s="11" t="s">
        <v>152</v>
      </c>
      <c r="G939" s="11" t="s">
        <v>286</v>
      </c>
      <c r="H939" s="11" t="s">
        <v>287</v>
      </c>
      <c r="I939" s="11" t="s">
        <v>667</v>
      </c>
      <c r="J939" s="11" t="s">
        <v>668</v>
      </c>
    </row>
    <row r="940" customFormat="false" ht="15" hidden="false" customHeight="false" outlineLevel="0" collapsed="false">
      <c r="A940" s="11" t="s">
        <v>282</v>
      </c>
      <c r="B940" s="11" t="s">
        <v>283</v>
      </c>
      <c r="C940" s="11" t="n">
        <v>2021</v>
      </c>
      <c r="D940" s="11" t="s">
        <v>26</v>
      </c>
      <c r="E940" s="17" t="n">
        <v>2887116</v>
      </c>
      <c r="F940" s="11" t="s">
        <v>152</v>
      </c>
      <c r="G940" s="11" t="s">
        <v>286</v>
      </c>
      <c r="H940" s="11" t="s">
        <v>287</v>
      </c>
      <c r="I940" s="11" t="s">
        <v>667</v>
      </c>
      <c r="J940" s="11" t="s">
        <v>668</v>
      </c>
    </row>
    <row r="941" customFormat="false" ht="15" hidden="false" customHeight="false" outlineLevel="0" collapsed="false">
      <c r="A941" s="11" t="s">
        <v>282</v>
      </c>
      <c r="B941" s="11" t="s">
        <v>283</v>
      </c>
      <c r="C941" s="11" t="n">
        <v>2022</v>
      </c>
      <c r="D941" s="11" t="s">
        <v>26</v>
      </c>
      <c r="E941" s="17" t="n">
        <v>2760635</v>
      </c>
      <c r="F941" s="11" t="s">
        <v>152</v>
      </c>
      <c r="G941" s="11" t="s">
        <v>286</v>
      </c>
      <c r="H941" s="11" t="s">
        <v>287</v>
      </c>
      <c r="I941" s="11" t="s">
        <v>667</v>
      </c>
      <c r="J941" s="11" t="s">
        <v>668</v>
      </c>
    </row>
    <row r="942" customFormat="false" ht="15" hidden="false" customHeight="false" outlineLevel="0" collapsed="false">
      <c r="A942" s="11" t="s">
        <v>282</v>
      </c>
      <c r="B942" s="11" t="s">
        <v>283</v>
      </c>
      <c r="C942" s="11" t="n">
        <v>2011</v>
      </c>
      <c r="D942" s="11" t="s">
        <v>34</v>
      </c>
      <c r="E942" s="17" t="n">
        <v>78488</v>
      </c>
      <c r="F942" s="11" t="s">
        <v>288</v>
      </c>
      <c r="G942" s="11" t="s">
        <v>289</v>
      </c>
      <c r="H942" s="11" t="s">
        <v>290</v>
      </c>
      <c r="I942" s="11" t="s">
        <v>667</v>
      </c>
      <c r="J942" s="11" t="s">
        <v>669</v>
      </c>
    </row>
    <row r="943" customFormat="false" ht="15" hidden="false" customHeight="false" outlineLevel="0" collapsed="false">
      <c r="A943" s="11" t="s">
        <v>282</v>
      </c>
      <c r="B943" s="11" t="s">
        <v>283</v>
      </c>
      <c r="C943" s="11" t="n">
        <v>2014</v>
      </c>
      <c r="D943" s="11" t="s">
        <v>34</v>
      </c>
      <c r="E943" s="17" t="n">
        <v>59061</v>
      </c>
      <c r="F943" s="11" t="s">
        <v>616</v>
      </c>
      <c r="G943" s="11" t="s">
        <v>617</v>
      </c>
      <c r="H943" s="11" t="s">
        <v>618</v>
      </c>
      <c r="I943" s="11" t="s">
        <v>675</v>
      </c>
      <c r="J943" s="11" t="s">
        <v>669</v>
      </c>
    </row>
    <row r="944" customFormat="false" ht="15" hidden="false" customHeight="false" outlineLevel="0" collapsed="false">
      <c r="A944" s="11" t="s">
        <v>282</v>
      </c>
      <c r="B944" s="11" t="s">
        <v>283</v>
      </c>
      <c r="C944" s="11" t="n">
        <v>2014</v>
      </c>
      <c r="D944" s="11" t="s">
        <v>34</v>
      </c>
      <c r="E944" s="17" t="n">
        <v>59061</v>
      </c>
      <c r="F944" s="13" t="s">
        <v>291</v>
      </c>
      <c r="G944" s="11" t="s">
        <v>292</v>
      </c>
      <c r="H944" s="11" t="s">
        <v>293</v>
      </c>
      <c r="I944" s="11" t="s">
        <v>667</v>
      </c>
      <c r="J944" s="11" t="s">
        <v>678</v>
      </c>
    </row>
    <row r="945" customFormat="false" ht="15" hidden="false" customHeight="false" outlineLevel="0" collapsed="false">
      <c r="A945" s="11" t="s">
        <v>282</v>
      </c>
      <c r="B945" s="11" t="s">
        <v>283</v>
      </c>
      <c r="C945" s="11" t="n">
        <v>2017</v>
      </c>
      <c r="D945" s="11" t="s">
        <v>34</v>
      </c>
      <c r="E945" s="17" t="n">
        <v>65270</v>
      </c>
      <c r="F945" s="11" t="s">
        <v>619</v>
      </c>
      <c r="G945" s="11" t="s">
        <v>294</v>
      </c>
      <c r="H945" s="11" t="s">
        <v>620</v>
      </c>
      <c r="I945" s="11" t="s">
        <v>675</v>
      </c>
      <c r="J945" s="11" t="s">
        <v>669</v>
      </c>
    </row>
    <row r="946" customFormat="false" ht="15" hidden="false" customHeight="false" outlineLevel="0" collapsed="false">
      <c r="A946" s="11" t="s">
        <v>282</v>
      </c>
      <c r="B946" s="11" t="s">
        <v>283</v>
      </c>
      <c r="C946" s="11" t="n">
        <v>2017</v>
      </c>
      <c r="D946" s="11" t="s">
        <v>34</v>
      </c>
      <c r="E946" s="17" t="n">
        <v>65270</v>
      </c>
      <c r="F946" s="13" t="s">
        <v>291</v>
      </c>
      <c r="G946" s="11" t="s">
        <v>294</v>
      </c>
      <c r="H946" s="11" t="s">
        <v>295</v>
      </c>
      <c r="I946" s="11" t="s">
        <v>667</v>
      </c>
      <c r="J946" s="11" t="s">
        <v>678</v>
      </c>
    </row>
    <row r="947" customFormat="false" ht="15" hidden="false" customHeight="false" outlineLevel="0" collapsed="false">
      <c r="A947" s="11" t="s">
        <v>282</v>
      </c>
      <c r="B947" s="11" t="s">
        <v>283</v>
      </c>
      <c r="C947" s="11" t="n">
        <v>2018</v>
      </c>
      <c r="D947" s="11" t="s">
        <v>34</v>
      </c>
      <c r="E947" s="17" t="n">
        <v>66498</v>
      </c>
      <c r="F947" s="11" t="s">
        <v>619</v>
      </c>
      <c r="G947" s="11" t="s">
        <v>294</v>
      </c>
      <c r="H947" s="11" t="s">
        <v>621</v>
      </c>
      <c r="I947" s="11" t="s">
        <v>675</v>
      </c>
      <c r="J947" s="11" t="s">
        <v>669</v>
      </c>
    </row>
    <row r="948" customFormat="false" ht="15" hidden="false" customHeight="false" outlineLevel="0" collapsed="false">
      <c r="A948" s="11" t="s">
        <v>282</v>
      </c>
      <c r="B948" s="11" t="s">
        <v>283</v>
      </c>
      <c r="C948" s="11" t="n">
        <v>2018</v>
      </c>
      <c r="D948" s="11" t="s">
        <v>34</v>
      </c>
      <c r="E948" s="17" t="n">
        <v>66498</v>
      </c>
      <c r="F948" s="13" t="s">
        <v>291</v>
      </c>
      <c r="G948" s="11" t="s">
        <v>296</v>
      </c>
      <c r="H948" s="11" t="s">
        <v>297</v>
      </c>
      <c r="I948" s="11" t="s">
        <v>667</v>
      </c>
      <c r="J948" s="11" t="s">
        <v>678</v>
      </c>
    </row>
    <row r="949" customFormat="false" ht="15" hidden="false" customHeight="false" outlineLevel="0" collapsed="false">
      <c r="A949" s="11" t="s">
        <v>282</v>
      </c>
      <c r="B949" s="11" t="s">
        <v>283</v>
      </c>
      <c r="C949" s="11" t="n">
        <v>2019</v>
      </c>
      <c r="D949" s="11" t="s">
        <v>34</v>
      </c>
      <c r="E949" s="17" t="n">
        <v>74167</v>
      </c>
      <c r="F949" s="11" t="s">
        <v>619</v>
      </c>
      <c r="G949" s="11" t="s">
        <v>294</v>
      </c>
      <c r="H949" s="11" t="s">
        <v>622</v>
      </c>
      <c r="I949" s="11" t="s">
        <v>675</v>
      </c>
      <c r="J949" s="11" t="s">
        <v>669</v>
      </c>
    </row>
    <row r="950" customFormat="false" ht="15" hidden="false" customHeight="false" outlineLevel="0" collapsed="false">
      <c r="A950" s="11" t="s">
        <v>282</v>
      </c>
      <c r="B950" s="11" t="s">
        <v>283</v>
      </c>
      <c r="C950" s="11" t="n">
        <v>2019</v>
      </c>
      <c r="D950" s="11" t="s">
        <v>34</v>
      </c>
      <c r="E950" s="17" t="n">
        <v>74167</v>
      </c>
      <c r="F950" s="13" t="s">
        <v>291</v>
      </c>
      <c r="G950" s="11" t="s">
        <v>296</v>
      </c>
      <c r="H950" s="11" t="s">
        <v>298</v>
      </c>
      <c r="I950" s="11" t="s">
        <v>667</v>
      </c>
      <c r="J950" s="11" t="s">
        <v>678</v>
      </c>
    </row>
    <row r="951" customFormat="false" ht="15" hidden="false" customHeight="false" outlineLevel="0" collapsed="false">
      <c r="A951" s="11" t="s">
        <v>282</v>
      </c>
      <c r="B951" s="11" t="s">
        <v>283</v>
      </c>
      <c r="C951" s="11" t="n">
        <v>2020</v>
      </c>
      <c r="D951" s="11" t="s">
        <v>34</v>
      </c>
      <c r="E951" s="17" t="n">
        <v>82892</v>
      </c>
      <c r="F951" s="11" t="s">
        <v>623</v>
      </c>
      <c r="G951" s="11" t="s">
        <v>624</v>
      </c>
      <c r="H951" s="11" t="s">
        <v>625</v>
      </c>
      <c r="I951" s="11" t="s">
        <v>675</v>
      </c>
      <c r="J951" s="11" t="s">
        <v>670</v>
      </c>
    </row>
    <row r="952" customFormat="false" ht="15" hidden="false" customHeight="false" outlineLevel="0" collapsed="false">
      <c r="A952" s="11" t="s">
        <v>282</v>
      </c>
      <c r="B952" s="11" t="s">
        <v>283</v>
      </c>
      <c r="C952" s="11" t="n">
        <v>2020</v>
      </c>
      <c r="D952" s="11" t="s">
        <v>34</v>
      </c>
      <c r="E952" s="17" t="n">
        <v>82892</v>
      </c>
      <c r="F952" s="13" t="s">
        <v>291</v>
      </c>
      <c r="G952" s="11" t="s">
        <v>296</v>
      </c>
      <c r="H952" s="11" t="s">
        <v>299</v>
      </c>
      <c r="I952" s="11" t="s">
        <v>667</v>
      </c>
      <c r="J952" s="11" t="s">
        <v>678</v>
      </c>
    </row>
    <row r="953" customFormat="false" ht="15" hidden="false" customHeight="false" outlineLevel="0" collapsed="false">
      <c r="A953" s="11" t="s">
        <v>282</v>
      </c>
      <c r="B953" s="11" t="s">
        <v>283</v>
      </c>
      <c r="C953" s="11" t="n">
        <v>2021</v>
      </c>
      <c r="D953" s="11" t="s">
        <v>34</v>
      </c>
      <c r="E953" s="17" t="n">
        <v>82868</v>
      </c>
      <c r="F953" s="11" t="s">
        <v>623</v>
      </c>
      <c r="G953" s="11" t="s">
        <v>624</v>
      </c>
      <c r="H953" s="11" t="s">
        <v>626</v>
      </c>
      <c r="I953" s="11" t="s">
        <v>675</v>
      </c>
      <c r="J953" s="11" t="s">
        <v>670</v>
      </c>
    </row>
    <row r="954" customFormat="false" ht="15" hidden="false" customHeight="false" outlineLevel="0" collapsed="false">
      <c r="A954" s="11" t="s">
        <v>282</v>
      </c>
      <c r="B954" s="11" t="s">
        <v>283</v>
      </c>
      <c r="C954" s="11" t="n">
        <v>2021</v>
      </c>
      <c r="D954" s="11" t="s">
        <v>34</v>
      </c>
      <c r="E954" s="17" t="n">
        <v>82868</v>
      </c>
      <c r="F954" s="13" t="s">
        <v>291</v>
      </c>
      <c r="G954" s="11" t="s">
        <v>296</v>
      </c>
      <c r="H954" s="11" t="s">
        <v>300</v>
      </c>
      <c r="I954" s="11" t="s">
        <v>667</v>
      </c>
      <c r="J954" s="11" t="s">
        <v>678</v>
      </c>
    </row>
    <row r="955" customFormat="false" ht="15" hidden="false" customHeight="false" outlineLevel="0" collapsed="false">
      <c r="A955" s="11" t="s">
        <v>282</v>
      </c>
      <c r="B955" s="11" t="s">
        <v>283</v>
      </c>
      <c r="C955" s="11" t="n">
        <v>2022</v>
      </c>
      <c r="D955" s="11" t="s">
        <v>34</v>
      </c>
      <c r="E955" s="17" t="n">
        <v>66759</v>
      </c>
      <c r="F955" s="11" t="s">
        <v>623</v>
      </c>
      <c r="G955" s="11" t="s">
        <v>627</v>
      </c>
      <c r="H955" s="11" t="s">
        <v>628</v>
      </c>
      <c r="I955" s="11" t="s">
        <v>675</v>
      </c>
      <c r="J955" s="11" t="s">
        <v>670</v>
      </c>
    </row>
    <row r="956" customFormat="false" ht="15" hidden="false" customHeight="false" outlineLevel="0" collapsed="false">
      <c r="A956" s="11" t="s">
        <v>282</v>
      </c>
      <c r="B956" s="11" t="s">
        <v>283</v>
      </c>
      <c r="C956" s="11" t="n">
        <v>2022</v>
      </c>
      <c r="D956" s="11" t="s">
        <v>34</v>
      </c>
      <c r="E956" s="17" t="n">
        <v>66759</v>
      </c>
      <c r="F956" s="13" t="s">
        <v>291</v>
      </c>
      <c r="G956" s="11" t="s">
        <v>296</v>
      </c>
      <c r="H956" s="11" t="s">
        <v>301</v>
      </c>
      <c r="I956" s="11" t="s">
        <v>667</v>
      </c>
      <c r="J956" s="11" t="s">
        <v>678</v>
      </c>
    </row>
    <row r="957" customFormat="false" ht="15" hidden="false" customHeight="false" outlineLevel="0" collapsed="false">
      <c r="A957" s="11" t="s">
        <v>282</v>
      </c>
      <c r="B957" s="11" t="s">
        <v>283</v>
      </c>
      <c r="C957" s="11" t="n">
        <v>2010</v>
      </c>
      <c r="D957" s="11" t="s">
        <v>18</v>
      </c>
      <c r="E957" s="17" t="n">
        <v>128070000</v>
      </c>
      <c r="F957" s="11" t="s">
        <v>98</v>
      </c>
      <c r="G957" s="11" t="s">
        <v>99</v>
      </c>
      <c r="H957" s="11" t="s">
        <v>671</v>
      </c>
      <c r="I957" s="11" t="s">
        <v>667</v>
      </c>
      <c r="J957" s="11" t="s">
        <v>672</v>
      </c>
    </row>
    <row r="958" customFormat="false" ht="15" hidden="false" customHeight="false" outlineLevel="0" collapsed="false">
      <c r="A958" s="11" t="s">
        <v>282</v>
      </c>
      <c r="B958" s="11" t="s">
        <v>283</v>
      </c>
      <c r="C958" s="11" t="n">
        <v>2011</v>
      </c>
      <c r="D958" s="11" t="s">
        <v>18</v>
      </c>
      <c r="E958" s="17" t="n">
        <v>127833000</v>
      </c>
      <c r="F958" s="11" t="s">
        <v>98</v>
      </c>
      <c r="G958" s="11" t="s">
        <v>99</v>
      </c>
      <c r="H958" s="11" t="s">
        <v>671</v>
      </c>
      <c r="I958" s="11" t="s">
        <v>667</v>
      </c>
      <c r="J958" s="11" t="s">
        <v>672</v>
      </c>
    </row>
    <row r="959" customFormat="false" ht="15" hidden="false" customHeight="false" outlineLevel="0" collapsed="false">
      <c r="A959" s="11" t="s">
        <v>282</v>
      </c>
      <c r="B959" s="11" t="s">
        <v>283</v>
      </c>
      <c r="C959" s="11" t="n">
        <v>2012</v>
      </c>
      <c r="D959" s="11" t="s">
        <v>18</v>
      </c>
      <c r="E959" s="17" t="n">
        <v>127629000</v>
      </c>
      <c r="F959" s="11" t="s">
        <v>98</v>
      </c>
      <c r="G959" s="11" t="s">
        <v>99</v>
      </c>
      <c r="H959" s="11" t="s">
        <v>671</v>
      </c>
      <c r="I959" s="11" t="s">
        <v>667</v>
      </c>
      <c r="J959" s="11" t="s">
        <v>672</v>
      </c>
    </row>
    <row r="960" customFormat="false" ht="15" hidden="false" customHeight="false" outlineLevel="0" collapsed="false">
      <c r="A960" s="11" t="s">
        <v>282</v>
      </c>
      <c r="B960" s="11" t="s">
        <v>283</v>
      </c>
      <c r="C960" s="11" t="n">
        <v>2013</v>
      </c>
      <c r="D960" s="11" t="s">
        <v>18</v>
      </c>
      <c r="E960" s="17" t="n">
        <v>127445000</v>
      </c>
      <c r="F960" s="11" t="s">
        <v>98</v>
      </c>
      <c r="G960" s="11" t="s">
        <v>99</v>
      </c>
      <c r="H960" s="11" t="s">
        <v>671</v>
      </c>
      <c r="I960" s="11" t="s">
        <v>667</v>
      </c>
      <c r="J960" s="11" t="s">
        <v>672</v>
      </c>
    </row>
    <row r="961" customFormat="false" ht="15" hidden="false" customHeight="false" outlineLevel="0" collapsed="false">
      <c r="A961" s="11" t="s">
        <v>282</v>
      </c>
      <c r="B961" s="11" t="s">
        <v>283</v>
      </c>
      <c r="C961" s="11" t="n">
        <v>2014</v>
      </c>
      <c r="D961" s="11" t="s">
        <v>18</v>
      </c>
      <c r="E961" s="17" t="n">
        <v>127276000</v>
      </c>
      <c r="F961" s="11" t="s">
        <v>98</v>
      </c>
      <c r="G961" s="11" t="s">
        <v>99</v>
      </c>
      <c r="H961" s="11" t="s">
        <v>671</v>
      </c>
      <c r="I961" s="11" t="s">
        <v>667</v>
      </c>
      <c r="J961" s="11" t="s">
        <v>672</v>
      </c>
    </row>
    <row r="962" customFormat="false" ht="15" hidden="false" customHeight="false" outlineLevel="0" collapsed="false">
      <c r="A962" s="11" t="s">
        <v>282</v>
      </c>
      <c r="B962" s="11" t="s">
        <v>283</v>
      </c>
      <c r="C962" s="11" t="n">
        <v>2015</v>
      </c>
      <c r="D962" s="11" t="s">
        <v>18</v>
      </c>
      <c r="E962" s="17" t="n">
        <v>127141000</v>
      </c>
      <c r="F962" s="11" t="s">
        <v>98</v>
      </c>
      <c r="G962" s="11" t="s">
        <v>99</v>
      </c>
      <c r="H962" s="11" t="s">
        <v>671</v>
      </c>
      <c r="I962" s="11" t="s">
        <v>667</v>
      </c>
      <c r="J962" s="11" t="s">
        <v>672</v>
      </c>
    </row>
    <row r="963" customFormat="false" ht="15" hidden="false" customHeight="false" outlineLevel="0" collapsed="false">
      <c r="A963" s="11" t="s">
        <v>282</v>
      </c>
      <c r="B963" s="11" t="s">
        <v>283</v>
      </c>
      <c r="C963" s="11" t="n">
        <v>2016</v>
      </c>
      <c r="D963" s="11" t="s">
        <v>18</v>
      </c>
      <c r="E963" s="17" t="n">
        <v>127076000</v>
      </c>
      <c r="F963" s="11" t="s">
        <v>98</v>
      </c>
      <c r="G963" s="11" t="s">
        <v>99</v>
      </c>
      <c r="H963" s="11" t="s">
        <v>671</v>
      </c>
      <c r="I963" s="11" t="s">
        <v>667</v>
      </c>
      <c r="J963" s="11" t="s">
        <v>672</v>
      </c>
    </row>
    <row r="964" customFormat="false" ht="15" hidden="false" customHeight="false" outlineLevel="0" collapsed="false">
      <c r="A964" s="11" t="s">
        <v>282</v>
      </c>
      <c r="B964" s="11" t="s">
        <v>283</v>
      </c>
      <c r="C964" s="11" t="n">
        <v>2017</v>
      </c>
      <c r="D964" s="11" t="s">
        <v>18</v>
      </c>
      <c r="E964" s="17" t="n">
        <v>126972000</v>
      </c>
      <c r="F964" s="11" t="s">
        <v>98</v>
      </c>
      <c r="G964" s="11" t="s">
        <v>99</v>
      </c>
      <c r="H964" s="11" t="s">
        <v>671</v>
      </c>
      <c r="I964" s="11" t="s">
        <v>667</v>
      </c>
      <c r="J964" s="11" t="s">
        <v>672</v>
      </c>
    </row>
    <row r="965" customFormat="false" ht="15" hidden="false" customHeight="false" outlineLevel="0" collapsed="false">
      <c r="A965" s="11" t="s">
        <v>282</v>
      </c>
      <c r="B965" s="11" t="s">
        <v>283</v>
      </c>
      <c r="C965" s="11" t="n">
        <v>2018</v>
      </c>
      <c r="D965" s="11" t="s">
        <v>18</v>
      </c>
      <c r="E965" s="17" t="n">
        <v>126811000</v>
      </c>
      <c r="F965" s="11" t="s">
        <v>98</v>
      </c>
      <c r="G965" s="11" t="s">
        <v>99</v>
      </c>
      <c r="H965" s="11" t="s">
        <v>671</v>
      </c>
      <c r="I965" s="11" t="s">
        <v>667</v>
      </c>
      <c r="J965" s="11" t="s">
        <v>672</v>
      </c>
    </row>
    <row r="966" customFormat="false" ht="15" hidden="false" customHeight="false" outlineLevel="0" collapsed="false">
      <c r="A966" s="11" t="s">
        <v>282</v>
      </c>
      <c r="B966" s="11" t="s">
        <v>283</v>
      </c>
      <c r="C966" s="11" t="n">
        <v>2019</v>
      </c>
      <c r="D966" s="11" t="s">
        <v>18</v>
      </c>
      <c r="E966" s="17" t="n">
        <v>126633000</v>
      </c>
      <c r="F966" s="11" t="s">
        <v>98</v>
      </c>
      <c r="G966" s="11" t="s">
        <v>99</v>
      </c>
      <c r="H966" s="11" t="s">
        <v>671</v>
      </c>
      <c r="I966" s="11" t="s">
        <v>667</v>
      </c>
      <c r="J966" s="11" t="s">
        <v>672</v>
      </c>
    </row>
    <row r="967" customFormat="false" ht="15" hidden="false" customHeight="false" outlineLevel="0" collapsed="false">
      <c r="A967" s="11" t="s">
        <v>282</v>
      </c>
      <c r="B967" s="11" t="s">
        <v>283</v>
      </c>
      <c r="C967" s="11" t="n">
        <v>2020</v>
      </c>
      <c r="D967" s="11" t="s">
        <v>18</v>
      </c>
      <c r="E967" s="17" t="n">
        <v>126261000</v>
      </c>
      <c r="F967" s="11" t="s">
        <v>98</v>
      </c>
      <c r="G967" s="11" t="s">
        <v>99</v>
      </c>
      <c r="H967" s="11" t="s">
        <v>671</v>
      </c>
      <c r="I967" s="11" t="s">
        <v>667</v>
      </c>
      <c r="J967" s="11" t="s">
        <v>672</v>
      </c>
    </row>
    <row r="968" customFormat="false" ht="15" hidden="false" customHeight="false" outlineLevel="0" collapsed="false">
      <c r="A968" s="11" t="s">
        <v>282</v>
      </c>
      <c r="B968" s="11" t="s">
        <v>283</v>
      </c>
      <c r="C968" s="11" t="n">
        <v>2021</v>
      </c>
      <c r="D968" s="11" t="s">
        <v>18</v>
      </c>
      <c r="E968" s="17" t="n">
        <v>125681593</v>
      </c>
      <c r="F968" s="11" t="s">
        <v>98</v>
      </c>
      <c r="G968" s="11" t="s">
        <v>99</v>
      </c>
      <c r="H968" s="11" t="s">
        <v>671</v>
      </c>
      <c r="I968" s="11" t="s">
        <v>667</v>
      </c>
      <c r="J968" s="11" t="s">
        <v>672</v>
      </c>
    </row>
    <row r="969" customFormat="false" ht="15" hidden="false" customHeight="false" outlineLevel="0" collapsed="false">
      <c r="A969" s="11" t="s">
        <v>282</v>
      </c>
      <c r="B969" s="11" t="s">
        <v>283</v>
      </c>
      <c r="C969" s="11" t="n">
        <v>2022</v>
      </c>
      <c r="D969" s="11" t="s">
        <v>18</v>
      </c>
      <c r="E969" s="17" t="n">
        <v>125124989</v>
      </c>
      <c r="F969" s="11" t="s">
        <v>98</v>
      </c>
      <c r="G969" s="11" t="s">
        <v>99</v>
      </c>
      <c r="H969" s="11" t="s">
        <v>671</v>
      </c>
      <c r="I969" s="11" t="s">
        <v>667</v>
      </c>
      <c r="J969" s="11" t="s">
        <v>672</v>
      </c>
    </row>
    <row r="970" customFormat="false" ht="15" hidden="false" customHeight="false" outlineLevel="0" collapsed="false">
      <c r="A970" s="11" t="s">
        <v>302</v>
      </c>
      <c r="B970" s="11" t="s">
        <v>303</v>
      </c>
      <c r="C970" s="11" t="n">
        <v>2010</v>
      </c>
      <c r="D970" s="11" t="s">
        <v>22</v>
      </c>
      <c r="E970" s="17" t="n">
        <v>566098</v>
      </c>
      <c r="F970" s="11" t="s">
        <v>306</v>
      </c>
      <c r="G970" s="11" t="s">
        <v>307</v>
      </c>
      <c r="H970" s="11" t="s">
        <v>308</v>
      </c>
      <c r="I970" s="11" t="s">
        <v>667</v>
      </c>
      <c r="J970" s="11" t="s">
        <v>668</v>
      </c>
    </row>
    <row r="971" customFormat="false" ht="15" hidden="false" customHeight="false" outlineLevel="0" collapsed="false">
      <c r="A971" s="11" t="s">
        <v>302</v>
      </c>
      <c r="B971" s="11" t="s">
        <v>303</v>
      </c>
      <c r="C971" s="11" t="n">
        <v>2015</v>
      </c>
      <c r="D971" s="11" t="s">
        <v>22</v>
      </c>
      <c r="E971" s="17" t="n">
        <v>1312172</v>
      </c>
      <c r="F971" s="11" t="s">
        <v>306</v>
      </c>
      <c r="G971" s="11" t="s">
        <v>307</v>
      </c>
      <c r="H971" s="11" t="s">
        <v>308</v>
      </c>
      <c r="I971" s="11" t="s">
        <v>667</v>
      </c>
      <c r="J971" s="11" t="s">
        <v>668</v>
      </c>
    </row>
    <row r="972" customFormat="false" ht="15" hidden="false" customHeight="false" outlineLevel="0" collapsed="false">
      <c r="A972" s="11" t="s">
        <v>302</v>
      </c>
      <c r="B972" s="11" t="s">
        <v>303</v>
      </c>
      <c r="C972" s="11" t="n">
        <v>2020</v>
      </c>
      <c r="D972" s="11" t="s">
        <v>22</v>
      </c>
      <c r="E972" s="17" t="n">
        <v>1723389</v>
      </c>
      <c r="F972" s="11" t="s">
        <v>306</v>
      </c>
      <c r="G972" s="11" t="s">
        <v>307</v>
      </c>
      <c r="H972" s="11" t="s">
        <v>308</v>
      </c>
      <c r="I972" s="11" t="s">
        <v>667</v>
      </c>
      <c r="J972" s="11" t="s">
        <v>668</v>
      </c>
    </row>
    <row r="973" customFormat="false" ht="15" hidden="false" customHeight="false" outlineLevel="0" collapsed="false">
      <c r="A973" s="11" t="s">
        <v>302</v>
      </c>
      <c r="B973" s="11" t="s">
        <v>303</v>
      </c>
      <c r="C973" s="11" t="n">
        <v>2010</v>
      </c>
      <c r="D973" s="11" t="s">
        <v>26</v>
      </c>
      <c r="E973" s="17" t="n">
        <v>1010020</v>
      </c>
      <c r="F973" s="11" t="s">
        <v>152</v>
      </c>
      <c r="G973" s="11" t="s">
        <v>309</v>
      </c>
      <c r="H973" s="11" t="s">
        <v>310</v>
      </c>
      <c r="I973" s="11" t="s">
        <v>667</v>
      </c>
      <c r="J973" s="11" t="s">
        <v>668</v>
      </c>
    </row>
    <row r="974" customFormat="false" ht="15" hidden="false" customHeight="false" outlineLevel="0" collapsed="false">
      <c r="A974" s="11" t="s">
        <v>302</v>
      </c>
      <c r="B974" s="11" t="s">
        <v>303</v>
      </c>
      <c r="C974" s="11" t="n">
        <v>2011</v>
      </c>
      <c r="D974" s="11" t="s">
        <v>26</v>
      </c>
      <c r="E974" s="17" t="n">
        <v>1088638</v>
      </c>
      <c r="F974" s="11" t="s">
        <v>152</v>
      </c>
      <c r="G974" s="11" t="s">
        <v>309</v>
      </c>
      <c r="H974" s="11" t="s">
        <v>310</v>
      </c>
      <c r="I974" s="11" t="s">
        <v>667</v>
      </c>
      <c r="J974" s="11" t="s">
        <v>668</v>
      </c>
    </row>
    <row r="975" customFormat="false" ht="15" hidden="false" customHeight="false" outlineLevel="0" collapsed="false">
      <c r="A975" s="11" t="s">
        <v>302</v>
      </c>
      <c r="B975" s="11" t="s">
        <v>303</v>
      </c>
      <c r="C975" s="11" t="n">
        <v>2012</v>
      </c>
      <c r="D975" s="11" t="s">
        <v>26</v>
      </c>
      <c r="E975" s="17" t="n">
        <v>1200079</v>
      </c>
      <c r="F975" s="11" t="s">
        <v>152</v>
      </c>
      <c r="G975" s="11" t="s">
        <v>309</v>
      </c>
      <c r="H975" s="11" t="s">
        <v>310</v>
      </c>
      <c r="I975" s="11" t="s">
        <v>667</v>
      </c>
      <c r="J975" s="11" t="s">
        <v>668</v>
      </c>
    </row>
    <row r="976" customFormat="false" ht="15" hidden="false" customHeight="false" outlineLevel="0" collapsed="false">
      <c r="A976" s="11" t="s">
        <v>302</v>
      </c>
      <c r="B976" s="11" t="s">
        <v>303</v>
      </c>
      <c r="C976" s="11" t="n">
        <v>2013</v>
      </c>
      <c r="D976" s="11" t="s">
        <v>26</v>
      </c>
      <c r="E976" s="17" t="n">
        <v>1202270</v>
      </c>
      <c r="F976" s="11" t="s">
        <v>152</v>
      </c>
      <c r="G976" s="11" t="s">
        <v>309</v>
      </c>
      <c r="H976" s="11" t="s">
        <v>310</v>
      </c>
      <c r="I976" s="11" t="s">
        <v>667</v>
      </c>
      <c r="J976" s="11" t="s">
        <v>668</v>
      </c>
    </row>
    <row r="977" customFormat="false" ht="15" hidden="false" customHeight="false" outlineLevel="0" collapsed="false">
      <c r="A977" s="11" t="s">
        <v>302</v>
      </c>
      <c r="B977" s="11" t="s">
        <v>303</v>
      </c>
      <c r="C977" s="11" t="n">
        <v>2014</v>
      </c>
      <c r="D977" s="11" t="s">
        <v>26</v>
      </c>
      <c r="E977" s="17" t="n">
        <v>1303777</v>
      </c>
      <c r="F977" s="11" t="s">
        <v>152</v>
      </c>
      <c r="G977" s="11" t="s">
        <v>309</v>
      </c>
      <c r="H977" s="11" t="s">
        <v>310</v>
      </c>
      <c r="I977" s="11" t="s">
        <v>667</v>
      </c>
      <c r="J977" s="11" t="s">
        <v>668</v>
      </c>
    </row>
    <row r="978" customFormat="false" ht="15" hidden="false" customHeight="false" outlineLevel="0" collapsed="false">
      <c r="A978" s="11" t="s">
        <v>302</v>
      </c>
      <c r="B978" s="11" t="s">
        <v>303</v>
      </c>
      <c r="C978" s="11" t="n">
        <v>2015</v>
      </c>
      <c r="D978" s="11" t="s">
        <v>26</v>
      </c>
      <c r="E978" s="17" t="n">
        <v>1488882</v>
      </c>
      <c r="F978" s="11" t="s">
        <v>152</v>
      </c>
      <c r="G978" s="11" t="s">
        <v>309</v>
      </c>
      <c r="H978" s="11" t="s">
        <v>310</v>
      </c>
      <c r="I978" s="11" t="s">
        <v>667</v>
      </c>
      <c r="J978" s="11" t="s">
        <v>668</v>
      </c>
    </row>
    <row r="979" customFormat="false" ht="15" hidden="false" customHeight="false" outlineLevel="0" collapsed="false">
      <c r="A979" s="11" t="s">
        <v>302</v>
      </c>
      <c r="B979" s="11" t="s">
        <v>303</v>
      </c>
      <c r="C979" s="11" t="n">
        <v>2016</v>
      </c>
      <c r="D979" s="11" t="s">
        <v>26</v>
      </c>
      <c r="E979" s="17" t="n">
        <v>1594768</v>
      </c>
      <c r="F979" s="11" t="s">
        <v>152</v>
      </c>
      <c r="G979" s="11" t="s">
        <v>309</v>
      </c>
      <c r="H979" s="11" t="s">
        <v>310</v>
      </c>
      <c r="I979" s="11" t="s">
        <v>667</v>
      </c>
      <c r="J979" s="11" t="s">
        <v>668</v>
      </c>
    </row>
    <row r="980" customFormat="false" ht="15" hidden="false" customHeight="false" outlineLevel="0" collapsed="false">
      <c r="A980" s="11" t="s">
        <v>302</v>
      </c>
      <c r="B980" s="11" t="s">
        <v>303</v>
      </c>
      <c r="C980" s="11" t="n">
        <v>2017</v>
      </c>
      <c r="D980" s="11" t="s">
        <v>26</v>
      </c>
      <c r="E980" s="17" t="n">
        <v>1662759</v>
      </c>
      <c r="F980" s="11" t="s">
        <v>152</v>
      </c>
      <c r="G980" s="11" t="s">
        <v>309</v>
      </c>
      <c r="H980" s="11" t="s">
        <v>310</v>
      </c>
      <c r="I980" s="11" t="s">
        <v>667</v>
      </c>
      <c r="J980" s="11" t="s">
        <v>668</v>
      </c>
    </row>
    <row r="981" customFormat="false" ht="15" hidden="false" customHeight="false" outlineLevel="0" collapsed="false">
      <c r="A981" s="11" t="s">
        <v>302</v>
      </c>
      <c r="B981" s="11" t="s">
        <v>303</v>
      </c>
      <c r="C981" s="11" t="n">
        <v>2018</v>
      </c>
      <c r="D981" s="11" t="s">
        <v>26</v>
      </c>
      <c r="E981" s="17" t="n">
        <v>1749563</v>
      </c>
      <c r="F981" s="11" t="s">
        <v>152</v>
      </c>
      <c r="G981" s="11" t="s">
        <v>309</v>
      </c>
      <c r="H981" s="11" t="s">
        <v>310</v>
      </c>
      <c r="I981" s="11" t="s">
        <v>667</v>
      </c>
      <c r="J981" s="11" t="s">
        <v>668</v>
      </c>
    </row>
    <row r="982" customFormat="false" ht="15" hidden="false" customHeight="false" outlineLevel="0" collapsed="false">
      <c r="A982" s="11" t="s">
        <v>302</v>
      </c>
      <c r="B982" s="11" t="s">
        <v>303</v>
      </c>
      <c r="C982" s="11" t="n">
        <v>2019</v>
      </c>
      <c r="D982" s="11" t="s">
        <v>26</v>
      </c>
      <c r="E982" s="17" t="n">
        <v>1951097</v>
      </c>
      <c r="F982" s="11" t="s">
        <v>152</v>
      </c>
      <c r="G982" s="11" t="s">
        <v>309</v>
      </c>
      <c r="H982" s="11" t="s">
        <v>310</v>
      </c>
      <c r="I982" s="11" t="s">
        <v>667</v>
      </c>
      <c r="J982" s="11" t="s">
        <v>668</v>
      </c>
    </row>
    <row r="983" customFormat="false" ht="15" hidden="false" customHeight="false" outlineLevel="0" collapsed="false">
      <c r="A983" s="11" t="s">
        <v>302</v>
      </c>
      <c r="B983" s="11" t="s">
        <v>303</v>
      </c>
      <c r="C983" s="11" t="n">
        <v>2020</v>
      </c>
      <c r="D983" s="11" t="s">
        <v>26</v>
      </c>
      <c r="E983" s="17" t="n">
        <v>2024578</v>
      </c>
      <c r="F983" s="11" t="s">
        <v>152</v>
      </c>
      <c r="G983" s="11" t="s">
        <v>309</v>
      </c>
      <c r="H983" s="11" t="s">
        <v>310</v>
      </c>
      <c r="I983" s="11" t="s">
        <v>667</v>
      </c>
      <c r="J983" s="11" t="s">
        <v>668</v>
      </c>
    </row>
    <row r="984" customFormat="false" ht="15" hidden="false" customHeight="false" outlineLevel="0" collapsed="false">
      <c r="A984" s="11" t="s">
        <v>302</v>
      </c>
      <c r="B984" s="11" t="s">
        <v>303</v>
      </c>
      <c r="C984" s="11" t="n">
        <v>2021</v>
      </c>
      <c r="D984" s="11" t="s">
        <v>26</v>
      </c>
      <c r="E984" s="17" t="n">
        <v>1889454</v>
      </c>
      <c r="F984" s="11" t="s">
        <v>152</v>
      </c>
      <c r="G984" s="11" t="s">
        <v>309</v>
      </c>
      <c r="H984" s="11" t="s">
        <v>310</v>
      </c>
      <c r="I984" s="11" t="s">
        <v>667</v>
      </c>
      <c r="J984" s="11" t="s">
        <v>668</v>
      </c>
    </row>
    <row r="985" customFormat="false" ht="15" hidden="false" customHeight="false" outlineLevel="0" collapsed="false">
      <c r="A985" s="11" t="s">
        <v>302</v>
      </c>
      <c r="B985" s="11" t="s">
        <v>303</v>
      </c>
      <c r="C985" s="11" t="n">
        <v>2022</v>
      </c>
      <c r="D985" s="11" t="s">
        <v>26</v>
      </c>
      <c r="E985" s="17" t="n">
        <v>1829774</v>
      </c>
      <c r="F985" s="11" t="s">
        <v>152</v>
      </c>
      <c r="G985" s="11" t="s">
        <v>309</v>
      </c>
      <c r="H985" s="11" t="s">
        <v>310</v>
      </c>
      <c r="I985" s="11" t="s">
        <v>667</v>
      </c>
      <c r="J985" s="11" t="s">
        <v>668</v>
      </c>
    </row>
    <row r="986" customFormat="false" ht="15" hidden="false" customHeight="false" outlineLevel="0" collapsed="false">
      <c r="A986" s="11" t="s">
        <v>302</v>
      </c>
      <c r="B986" s="11" t="s">
        <v>303</v>
      </c>
      <c r="C986" s="11" t="n">
        <v>2010</v>
      </c>
      <c r="D986" s="11" t="s">
        <v>34</v>
      </c>
      <c r="E986" s="17" t="n">
        <v>168515</v>
      </c>
      <c r="F986" s="11" t="s">
        <v>311</v>
      </c>
      <c r="G986" s="11" t="s">
        <v>312</v>
      </c>
      <c r="H986" s="11" t="s">
        <v>313</v>
      </c>
      <c r="I986" s="11" t="s">
        <v>667</v>
      </c>
      <c r="J986" s="11" t="s">
        <v>669</v>
      </c>
    </row>
    <row r="987" customFormat="false" ht="15" hidden="false" customHeight="false" outlineLevel="0" collapsed="false">
      <c r="A987" s="11" t="s">
        <v>302</v>
      </c>
      <c r="B987" s="11" t="s">
        <v>303</v>
      </c>
      <c r="C987" s="11" t="n">
        <v>2011</v>
      </c>
      <c r="D987" s="11" t="s">
        <v>34</v>
      </c>
      <c r="E987" s="17" t="n">
        <v>167780</v>
      </c>
      <c r="F987" s="11" t="s">
        <v>311</v>
      </c>
      <c r="G987" s="11" t="s">
        <v>312</v>
      </c>
      <c r="H987" s="11" t="s">
        <v>313</v>
      </c>
      <c r="I987" s="11" t="s">
        <v>667</v>
      </c>
      <c r="J987" s="11" t="s">
        <v>669</v>
      </c>
    </row>
    <row r="988" customFormat="false" ht="15" hidden="false" customHeight="false" outlineLevel="0" collapsed="false">
      <c r="A988" s="11" t="s">
        <v>302</v>
      </c>
      <c r="B988" s="11" t="s">
        <v>303</v>
      </c>
      <c r="C988" s="11" t="n">
        <v>2012</v>
      </c>
      <c r="D988" s="11" t="s">
        <v>34</v>
      </c>
      <c r="E988" s="17" t="n">
        <v>177854</v>
      </c>
      <c r="F988" s="11" t="s">
        <v>311</v>
      </c>
      <c r="G988" s="11" t="s">
        <v>312</v>
      </c>
      <c r="H988" s="11" t="s">
        <v>313</v>
      </c>
      <c r="I988" s="11" t="s">
        <v>667</v>
      </c>
      <c r="J988" s="11" t="s">
        <v>669</v>
      </c>
    </row>
    <row r="989" customFormat="false" ht="15" hidden="false" customHeight="false" outlineLevel="0" collapsed="false">
      <c r="A989" s="11" t="s">
        <v>302</v>
      </c>
      <c r="B989" s="11" t="s">
        <v>303</v>
      </c>
      <c r="C989" s="11" t="n">
        <v>2013</v>
      </c>
      <c r="D989" s="11" t="s">
        <v>34</v>
      </c>
      <c r="E989" s="17" t="n">
        <v>183106</v>
      </c>
      <c r="F989" s="11" t="s">
        <v>311</v>
      </c>
      <c r="G989" s="11" t="s">
        <v>312</v>
      </c>
      <c r="H989" s="11" t="s">
        <v>313</v>
      </c>
      <c r="I989" s="11" t="s">
        <v>667</v>
      </c>
      <c r="J989" s="11" t="s">
        <v>669</v>
      </c>
    </row>
    <row r="990" customFormat="false" ht="15" hidden="false" customHeight="false" outlineLevel="0" collapsed="false">
      <c r="A990" s="11" t="s">
        <v>302</v>
      </c>
      <c r="B990" s="11" t="s">
        <v>303</v>
      </c>
      <c r="C990" s="11" t="n">
        <v>2014</v>
      </c>
      <c r="D990" s="11" t="s">
        <v>34</v>
      </c>
      <c r="E990" s="17" t="n">
        <v>208778</v>
      </c>
      <c r="F990" s="11" t="s">
        <v>311</v>
      </c>
      <c r="G990" s="11" t="s">
        <v>312</v>
      </c>
      <c r="H990" s="11" t="s">
        <v>313</v>
      </c>
      <c r="I990" s="11" t="s">
        <v>667</v>
      </c>
      <c r="J990" s="11" t="s">
        <v>669</v>
      </c>
    </row>
    <row r="991" customFormat="false" ht="15" hidden="false" customHeight="false" outlineLevel="0" collapsed="false">
      <c r="A991" s="11" t="s">
        <v>302</v>
      </c>
      <c r="B991" s="11" t="s">
        <v>303</v>
      </c>
      <c r="C991" s="11" t="n">
        <v>2015</v>
      </c>
      <c r="D991" s="11" t="s">
        <v>34</v>
      </c>
      <c r="E991" s="17" t="n">
        <v>212596</v>
      </c>
      <c r="F991" s="11" t="s">
        <v>311</v>
      </c>
      <c r="G991" s="11" t="s">
        <v>312</v>
      </c>
      <c r="H991" s="11" t="s">
        <v>314</v>
      </c>
      <c r="I991" s="11" t="s">
        <v>667</v>
      </c>
      <c r="J991" s="11" t="s">
        <v>669</v>
      </c>
    </row>
    <row r="992" customFormat="false" ht="15" hidden="false" customHeight="false" outlineLevel="0" collapsed="false">
      <c r="A992" s="11" t="s">
        <v>302</v>
      </c>
      <c r="B992" s="11" t="s">
        <v>303</v>
      </c>
      <c r="C992" s="11" t="n">
        <v>2018</v>
      </c>
      <c r="D992" s="11" t="s">
        <v>34</v>
      </c>
      <c r="E992" s="17" t="n">
        <v>355126</v>
      </c>
      <c r="F992" s="11" t="s">
        <v>315</v>
      </c>
      <c r="G992" s="11" t="s">
        <v>316</v>
      </c>
      <c r="H992" s="11" t="s">
        <v>317</v>
      </c>
      <c r="I992" s="11" t="s">
        <v>667</v>
      </c>
      <c r="J992" s="11" t="s">
        <v>670</v>
      </c>
    </row>
    <row r="993" customFormat="false" ht="15" hidden="false" customHeight="false" outlineLevel="0" collapsed="false">
      <c r="A993" s="11" t="s">
        <v>302</v>
      </c>
      <c r="B993" s="11" t="s">
        <v>303</v>
      </c>
      <c r="C993" s="11" t="n">
        <v>2020</v>
      </c>
      <c r="D993" s="11" t="s">
        <v>34</v>
      </c>
      <c r="E993" s="17" t="n">
        <v>392196</v>
      </c>
      <c r="F993" s="11" t="s">
        <v>315</v>
      </c>
      <c r="G993" s="11" t="s">
        <v>316</v>
      </c>
      <c r="H993" s="11" t="s">
        <v>318</v>
      </c>
      <c r="I993" s="11" t="s">
        <v>667</v>
      </c>
      <c r="J993" s="11" t="s">
        <v>670</v>
      </c>
    </row>
    <row r="994" customFormat="false" ht="15" hidden="false" customHeight="false" outlineLevel="0" collapsed="false">
      <c r="A994" s="11" t="s">
        <v>302</v>
      </c>
      <c r="B994" s="11" t="s">
        <v>303</v>
      </c>
      <c r="C994" s="11" t="n">
        <v>2021</v>
      </c>
      <c r="D994" s="11" t="s">
        <v>34</v>
      </c>
      <c r="E994" s="17" t="n">
        <v>388700</v>
      </c>
      <c r="F994" s="11" t="s">
        <v>315</v>
      </c>
      <c r="G994" s="11" t="s">
        <v>316</v>
      </c>
      <c r="H994" s="11" t="s">
        <v>319</v>
      </c>
      <c r="I994" s="11" t="s">
        <v>667</v>
      </c>
      <c r="J994" s="11" t="s">
        <v>670</v>
      </c>
    </row>
    <row r="995" customFormat="false" ht="15" hidden="false" customHeight="false" outlineLevel="0" collapsed="false">
      <c r="A995" s="11" t="s">
        <v>302</v>
      </c>
      <c r="B995" s="11" t="s">
        <v>303</v>
      </c>
      <c r="C995" s="11" t="n">
        <v>2022</v>
      </c>
      <c r="D995" s="11" t="s">
        <v>34</v>
      </c>
      <c r="E995" s="17" t="n">
        <v>411270</v>
      </c>
      <c r="F995" s="11" t="s">
        <v>315</v>
      </c>
      <c r="G995" s="11" t="s">
        <v>316</v>
      </c>
      <c r="H995" s="11" t="s">
        <v>320</v>
      </c>
      <c r="I995" s="11" t="s">
        <v>667</v>
      </c>
      <c r="J995" s="11" t="s">
        <v>670</v>
      </c>
    </row>
    <row r="996" customFormat="false" ht="15" hidden="false" customHeight="false" outlineLevel="0" collapsed="false">
      <c r="A996" s="11" t="s">
        <v>302</v>
      </c>
      <c r="B996" s="11" t="s">
        <v>303</v>
      </c>
      <c r="C996" s="11" t="n">
        <v>2010</v>
      </c>
      <c r="D996" s="11" t="s">
        <v>18</v>
      </c>
      <c r="E996" s="17" t="n">
        <v>49554112</v>
      </c>
      <c r="F996" s="11" t="s">
        <v>98</v>
      </c>
      <c r="G996" s="11" t="s">
        <v>99</v>
      </c>
      <c r="H996" s="11" t="s">
        <v>671</v>
      </c>
      <c r="I996" s="11" t="s">
        <v>667</v>
      </c>
      <c r="J996" s="11" t="s">
        <v>672</v>
      </c>
    </row>
    <row r="997" customFormat="false" ht="15" hidden="false" customHeight="false" outlineLevel="0" collapsed="false">
      <c r="A997" s="11" t="s">
        <v>302</v>
      </c>
      <c r="B997" s="11" t="s">
        <v>303</v>
      </c>
      <c r="C997" s="11" t="n">
        <v>2011</v>
      </c>
      <c r="D997" s="11" t="s">
        <v>18</v>
      </c>
      <c r="E997" s="17" t="n">
        <v>49936638</v>
      </c>
      <c r="F997" s="11" t="s">
        <v>98</v>
      </c>
      <c r="G997" s="11" t="s">
        <v>99</v>
      </c>
      <c r="H997" s="11" t="s">
        <v>671</v>
      </c>
      <c r="I997" s="11" t="s">
        <v>667</v>
      </c>
      <c r="J997" s="11" t="s">
        <v>672</v>
      </c>
    </row>
    <row r="998" customFormat="false" ht="15" hidden="false" customHeight="false" outlineLevel="0" collapsed="false">
      <c r="A998" s="11" t="s">
        <v>302</v>
      </c>
      <c r="B998" s="11" t="s">
        <v>303</v>
      </c>
      <c r="C998" s="11" t="n">
        <v>2012</v>
      </c>
      <c r="D998" s="11" t="s">
        <v>18</v>
      </c>
      <c r="E998" s="17" t="n">
        <v>50199853</v>
      </c>
      <c r="F998" s="11" t="s">
        <v>98</v>
      </c>
      <c r="G998" s="11" t="s">
        <v>99</v>
      </c>
      <c r="H998" s="11" t="s">
        <v>671</v>
      </c>
      <c r="I998" s="11" t="s">
        <v>667</v>
      </c>
      <c r="J998" s="11" t="s">
        <v>672</v>
      </c>
    </row>
    <row r="999" customFormat="false" ht="15" hidden="false" customHeight="false" outlineLevel="0" collapsed="false">
      <c r="A999" s="11" t="s">
        <v>302</v>
      </c>
      <c r="B999" s="11" t="s">
        <v>303</v>
      </c>
      <c r="C999" s="11" t="n">
        <v>2013</v>
      </c>
      <c r="D999" s="11" t="s">
        <v>18</v>
      </c>
      <c r="E999" s="17" t="n">
        <v>50428893</v>
      </c>
      <c r="F999" s="11" t="s">
        <v>98</v>
      </c>
      <c r="G999" s="11" t="s">
        <v>99</v>
      </c>
      <c r="H999" s="11" t="s">
        <v>671</v>
      </c>
      <c r="I999" s="11" t="s">
        <v>667</v>
      </c>
      <c r="J999" s="11" t="s">
        <v>672</v>
      </c>
    </row>
    <row r="1000" customFormat="false" ht="15" hidden="false" customHeight="false" outlineLevel="0" collapsed="false">
      <c r="A1000" s="11" t="s">
        <v>302</v>
      </c>
      <c r="B1000" s="11" t="s">
        <v>303</v>
      </c>
      <c r="C1000" s="11" t="n">
        <v>2014</v>
      </c>
      <c r="D1000" s="11" t="s">
        <v>18</v>
      </c>
      <c r="E1000" s="17" t="n">
        <v>50746659</v>
      </c>
      <c r="F1000" s="11" t="s">
        <v>98</v>
      </c>
      <c r="G1000" s="11" t="s">
        <v>99</v>
      </c>
      <c r="H1000" s="11" t="s">
        <v>671</v>
      </c>
      <c r="I1000" s="11" t="s">
        <v>667</v>
      </c>
      <c r="J1000" s="11" t="s">
        <v>672</v>
      </c>
    </row>
    <row r="1001" customFormat="false" ht="15" hidden="false" customHeight="false" outlineLevel="0" collapsed="false">
      <c r="A1001" s="11" t="s">
        <v>302</v>
      </c>
      <c r="B1001" s="11" t="s">
        <v>303</v>
      </c>
      <c r="C1001" s="11" t="n">
        <v>2015</v>
      </c>
      <c r="D1001" s="11" t="s">
        <v>18</v>
      </c>
      <c r="E1001" s="17" t="n">
        <v>51014947</v>
      </c>
      <c r="F1001" s="11" t="s">
        <v>98</v>
      </c>
      <c r="G1001" s="11" t="s">
        <v>99</v>
      </c>
      <c r="H1001" s="11" t="s">
        <v>671</v>
      </c>
      <c r="I1001" s="11" t="s">
        <v>667</v>
      </c>
      <c r="J1001" s="11" t="s">
        <v>672</v>
      </c>
    </row>
    <row r="1002" customFormat="false" ht="15" hidden="false" customHeight="false" outlineLevel="0" collapsed="false">
      <c r="A1002" s="11" t="s">
        <v>302</v>
      </c>
      <c r="B1002" s="11" t="s">
        <v>303</v>
      </c>
      <c r="C1002" s="11" t="n">
        <v>2016</v>
      </c>
      <c r="D1002" s="11" t="s">
        <v>18</v>
      </c>
      <c r="E1002" s="17" t="n">
        <v>51217803</v>
      </c>
      <c r="F1002" s="11" t="s">
        <v>98</v>
      </c>
      <c r="G1002" s="11" t="s">
        <v>99</v>
      </c>
      <c r="H1002" s="11" t="s">
        <v>671</v>
      </c>
      <c r="I1002" s="11" t="s">
        <v>667</v>
      </c>
      <c r="J1002" s="11" t="s">
        <v>672</v>
      </c>
    </row>
    <row r="1003" customFormat="false" ht="15" hidden="false" customHeight="false" outlineLevel="0" collapsed="false">
      <c r="A1003" s="11" t="s">
        <v>302</v>
      </c>
      <c r="B1003" s="11" t="s">
        <v>303</v>
      </c>
      <c r="C1003" s="11" t="n">
        <v>2017</v>
      </c>
      <c r="D1003" s="11" t="s">
        <v>18</v>
      </c>
      <c r="E1003" s="17" t="n">
        <v>51361911</v>
      </c>
      <c r="F1003" s="11" t="s">
        <v>98</v>
      </c>
      <c r="G1003" s="11" t="s">
        <v>99</v>
      </c>
      <c r="H1003" s="11" t="s">
        <v>671</v>
      </c>
      <c r="I1003" s="11" t="s">
        <v>667</v>
      </c>
      <c r="J1003" s="11" t="s">
        <v>672</v>
      </c>
    </row>
    <row r="1004" customFormat="false" ht="15" hidden="false" customHeight="false" outlineLevel="0" collapsed="false">
      <c r="A1004" s="11" t="s">
        <v>302</v>
      </c>
      <c r="B1004" s="11" t="s">
        <v>303</v>
      </c>
      <c r="C1004" s="11" t="n">
        <v>2018</v>
      </c>
      <c r="D1004" s="11" t="s">
        <v>18</v>
      </c>
      <c r="E1004" s="17" t="n">
        <v>51585058</v>
      </c>
      <c r="F1004" s="11" t="s">
        <v>98</v>
      </c>
      <c r="G1004" s="11" t="s">
        <v>99</v>
      </c>
      <c r="H1004" s="11" t="s">
        <v>671</v>
      </c>
      <c r="I1004" s="11" t="s">
        <v>667</v>
      </c>
      <c r="J1004" s="11" t="s">
        <v>672</v>
      </c>
    </row>
    <row r="1005" customFormat="false" ht="15" hidden="false" customHeight="false" outlineLevel="0" collapsed="false">
      <c r="A1005" s="11" t="s">
        <v>302</v>
      </c>
      <c r="B1005" s="11" t="s">
        <v>303</v>
      </c>
      <c r="C1005" s="11" t="n">
        <v>2019</v>
      </c>
      <c r="D1005" s="11" t="s">
        <v>18</v>
      </c>
      <c r="E1005" s="17" t="n">
        <v>51764822</v>
      </c>
      <c r="F1005" s="11" t="s">
        <v>98</v>
      </c>
      <c r="G1005" s="11" t="s">
        <v>99</v>
      </c>
      <c r="H1005" s="11" t="s">
        <v>671</v>
      </c>
      <c r="I1005" s="11" t="s">
        <v>667</v>
      </c>
      <c r="J1005" s="11" t="s">
        <v>672</v>
      </c>
    </row>
    <row r="1006" customFormat="false" ht="15" hidden="false" customHeight="false" outlineLevel="0" collapsed="false">
      <c r="A1006" s="11" t="s">
        <v>302</v>
      </c>
      <c r="B1006" s="11" t="s">
        <v>303</v>
      </c>
      <c r="C1006" s="11" t="n">
        <v>2020</v>
      </c>
      <c r="D1006" s="11" t="s">
        <v>18</v>
      </c>
      <c r="E1006" s="17" t="n">
        <v>51836239</v>
      </c>
      <c r="F1006" s="11" t="s">
        <v>98</v>
      </c>
      <c r="G1006" s="11" t="s">
        <v>99</v>
      </c>
      <c r="H1006" s="11" t="s">
        <v>671</v>
      </c>
      <c r="I1006" s="11" t="s">
        <v>667</v>
      </c>
      <c r="J1006" s="11" t="s">
        <v>672</v>
      </c>
    </row>
    <row r="1007" customFormat="false" ht="15" hidden="false" customHeight="false" outlineLevel="0" collapsed="false">
      <c r="A1007" s="11" t="s">
        <v>302</v>
      </c>
      <c r="B1007" s="11" t="s">
        <v>303</v>
      </c>
      <c r="C1007" s="11" t="n">
        <v>2021</v>
      </c>
      <c r="D1007" s="11" t="s">
        <v>18</v>
      </c>
      <c r="E1007" s="17" t="n">
        <v>51769539</v>
      </c>
      <c r="F1007" s="11" t="s">
        <v>98</v>
      </c>
      <c r="G1007" s="11" t="s">
        <v>99</v>
      </c>
      <c r="H1007" s="11" t="s">
        <v>671</v>
      </c>
      <c r="I1007" s="11" t="s">
        <v>667</v>
      </c>
      <c r="J1007" s="11" t="s">
        <v>672</v>
      </c>
    </row>
    <row r="1008" customFormat="false" ht="15" hidden="false" customHeight="false" outlineLevel="0" collapsed="false">
      <c r="A1008" s="11" t="s">
        <v>302</v>
      </c>
      <c r="B1008" s="11" t="s">
        <v>303</v>
      </c>
      <c r="C1008" s="11" t="n">
        <v>2022</v>
      </c>
      <c r="D1008" s="11" t="s">
        <v>18</v>
      </c>
      <c r="E1008" s="17" t="n">
        <v>51672569</v>
      </c>
      <c r="F1008" s="11" t="s">
        <v>98</v>
      </c>
      <c r="G1008" s="11" t="s">
        <v>99</v>
      </c>
      <c r="H1008" s="11" t="s">
        <v>671</v>
      </c>
      <c r="I1008" s="11" t="s">
        <v>667</v>
      </c>
      <c r="J1008" s="11" t="s">
        <v>672</v>
      </c>
    </row>
    <row r="1009" customFormat="false" ht="15" hidden="false" customHeight="false" outlineLevel="0" collapsed="false">
      <c r="A1009" s="11" t="s">
        <v>321</v>
      </c>
      <c r="B1009" s="11" t="s">
        <v>322</v>
      </c>
      <c r="C1009" s="11" t="n">
        <v>2010</v>
      </c>
      <c r="D1009" s="11" t="s">
        <v>22</v>
      </c>
      <c r="E1009" s="17" t="n">
        <v>160772</v>
      </c>
      <c r="F1009" s="11" t="s">
        <v>116</v>
      </c>
      <c r="G1009" s="11" t="s">
        <v>325</v>
      </c>
      <c r="H1009" s="11" t="s">
        <v>118</v>
      </c>
      <c r="I1009" s="11" t="s">
        <v>667</v>
      </c>
      <c r="J1009" s="11" t="s">
        <v>673</v>
      </c>
    </row>
    <row r="1010" customFormat="false" ht="15" hidden="false" customHeight="false" outlineLevel="0" collapsed="false">
      <c r="A1010" s="11" t="s">
        <v>321</v>
      </c>
      <c r="B1010" s="11" t="s">
        <v>322</v>
      </c>
      <c r="C1010" s="11" t="n">
        <v>2011</v>
      </c>
      <c r="D1010" s="11" t="s">
        <v>22</v>
      </c>
      <c r="E1010" s="17" t="n">
        <v>149544</v>
      </c>
      <c r="F1010" s="11" t="s">
        <v>116</v>
      </c>
      <c r="G1010" s="11" t="s">
        <v>325</v>
      </c>
      <c r="H1010" s="11" t="s">
        <v>118</v>
      </c>
      <c r="I1010" s="11" t="s">
        <v>667</v>
      </c>
      <c r="J1010" s="11" t="s">
        <v>673</v>
      </c>
    </row>
    <row r="1011" customFormat="false" ht="15" hidden="false" customHeight="false" outlineLevel="0" collapsed="false">
      <c r="A1011" s="11" t="s">
        <v>321</v>
      </c>
      <c r="B1011" s="11" t="s">
        <v>322</v>
      </c>
      <c r="C1011" s="11" t="n">
        <v>2012</v>
      </c>
      <c r="D1011" s="11" t="s">
        <v>22</v>
      </c>
      <c r="E1011" s="17" t="n">
        <v>143675</v>
      </c>
      <c r="F1011" s="11" t="s">
        <v>116</v>
      </c>
      <c r="G1011" s="11" t="s">
        <v>325</v>
      </c>
      <c r="H1011" s="11" t="s">
        <v>118</v>
      </c>
      <c r="I1011" s="11" t="s">
        <v>667</v>
      </c>
      <c r="J1011" s="11" t="s">
        <v>673</v>
      </c>
    </row>
    <row r="1012" customFormat="false" ht="15" hidden="false" customHeight="false" outlineLevel="0" collapsed="false">
      <c r="A1012" s="11" t="s">
        <v>321</v>
      </c>
      <c r="B1012" s="11" t="s">
        <v>322</v>
      </c>
      <c r="C1012" s="11" t="n">
        <v>2013</v>
      </c>
      <c r="D1012" s="11" t="s">
        <v>22</v>
      </c>
      <c r="E1012" s="17" t="n">
        <v>138297</v>
      </c>
      <c r="F1012" s="11" t="s">
        <v>116</v>
      </c>
      <c r="G1012" s="11" t="s">
        <v>325</v>
      </c>
      <c r="H1012" s="11" t="s">
        <v>118</v>
      </c>
      <c r="I1012" s="11" t="s">
        <v>667</v>
      </c>
      <c r="J1012" s="11" t="s">
        <v>673</v>
      </c>
    </row>
    <row r="1013" customFormat="false" ht="15" hidden="false" customHeight="false" outlineLevel="0" collapsed="false">
      <c r="A1013" s="11" t="s">
        <v>321</v>
      </c>
      <c r="B1013" s="11" t="s">
        <v>322</v>
      </c>
      <c r="C1013" s="11" t="n">
        <v>2014</v>
      </c>
      <c r="D1013" s="11" t="s">
        <v>22</v>
      </c>
      <c r="E1013" s="17" t="n">
        <v>133746</v>
      </c>
      <c r="F1013" s="11" t="s">
        <v>116</v>
      </c>
      <c r="G1013" s="11" t="s">
        <v>325</v>
      </c>
      <c r="H1013" s="11" t="s">
        <v>118</v>
      </c>
      <c r="I1013" s="11" t="s">
        <v>667</v>
      </c>
      <c r="J1013" s="11" t="s">
        <v>673</v>
      </c>
    </row>
    <row r="1014" customFormat="false" ht="15" hidden="false" customHeight="false" outlineLevel="0" collapsed="false">
      <c r="A1014" s="11" t="s">
        <v>321</v>
      </c>
      <c r="B1014" s="11" t="s">
        <v>322</v>
      </c>
      <c r="C1014" s="11" t="n">
        <v>2015</v>
      </c>
      <c r="D1014" s="11" t="s">
        <v>22</v>
      </c>
      <c r="E1014" s="17" t="n">
        <v>131929</v>
      </c>
      <c r="F1014" s="11" t="s">
        <v>116</v>
      </c>
      <c r="G1014" s="11" t="s">
        <v>325</v>
      </c>
      <c r="H1014" s="11" t="s">
        <v>118</v>
      </c>
      <c r="I1014" s="11" t="s">
        <v>667</v>
      </c>
      <c r="J1014" s="11" t="s">
        <v>673</v>
      </c>
    </row>
    <row r="1015" customFormat="false" ht="15" hidden="false" customHeight="false" outlineLevel="0" collapsed="false">
      <c r="A1015" s="11" t="s">
        <v>321</v>
      </c>
      <c r="B1015" s="11" t="s">
        <v>322</v>
      </c>
      <c r="C1015" s="11" t="n">
        <v>2016</v>
      </c>
      <c r="D1015" s="11" t="s">
        <v>22</v>
      </c>
      <c r="E1015" s="17" t="n">
        <v>126264</v>
      </c>
      <c r="F1015" s="11" t="s">
        <v>116</v>
      </c>
      <c r="G1015" s="11" t="s">
        <v>325</v>
      </c>
      <c r="H1015" s="11" t="s">
        <v>118</v>
      </c>
      <c r="I1015" s="11" t="s">
        <v>667</v>
      </c>
      <c r="J1015" s="11" t="s">
        <v>673</v>
      </c>
    </row>
    <row r="1016" customFormat="false" ht="15" hidden="false" customHeight="false" outlineLevel="0" collapsed="false">
      <c r="A1016" s="11" t="s">
        <v>321</v>
      </c>
      <c r="B1016" s="11" t="s">
        <v>322</v>
      </c>
      <c r="C1016" s="11" t="n">
        <v>2017</v>
      </c>
      <c r="D1016" s="11" t="s">
        <v>22</v>
      </c>
      <c r="E1016" s="17" t="n">
        <v>124964</v>
      </c>
      <c r="F1016" s="11" t="s">
        <v>116</v>
      </c>
      <c r="G1016" s="11" t="s">
        <v>325</v>
      </c>
      <c r="H1016" s="11" t="s">
        <v>118</v>
      </c>
      <c r="I1016" s="11" t="s">
        <v>667</v>
      </c>
      <c r="J1016" s="11" t="s">
        <v>673</v>
      </c>
    </row>
    <row r="1017" customFormat="false" ht="15" hidden="false" customHeight="false" outlineLevel="0" collapsed="false">
      <c r="A1017" s="11" t="s">
        <v>321</v>
      </c>
      <c r="B1017" s="11" t="s">
        <v>322</v>
      </c>
      <c r="C1017" s="11" t="n">
        <v>2018</v>
      </c>
      <c r="D1017" s="11" t="s">
        <v>22</v>
      </c>
      <c r="E1017" s="17" t="n">
        <v>132127</v>
      </c>
      <c r="F1017" s="11" t="s">
        <v>116</v>
      </c>
      <c r="G1017" s="11" t="s">
        <v>325</v>
      </c>
      <c r="H1017" s="11" t="s">
        <v>118</v>
      </c>
      <c r="I1017" s="11" t="s">
        <v>667</v>
      </c>
      <c r="J1017" s="11" t="s">
        <v>673</v>
      </c>
    </row>
    <row r="1018" customFormat="false" ht="15" hidden="false" customHeight="false" outlineLevel="0" collapsed="false">
      <c r="A1018" s="11" t="s">
        <v>321</v>
      </c>
      <c r="B1018" s="11" t="s">
        <v>322</v>
      </c>
      <c r="C1018" s="11" t="n">
        <v>2019</v>
      </c>
      <c r="D1018" s="11" t="s">
        <v>22</v>
      </c>
      <c r="E1018" s="17" t="n">
        <v>148679</v>
      </c>
      <c r="F1018" s="11" t="s">
        <v>116</v>
      </c>
      <c r="G1018" s="11" t="s">
        <v>325</v>
      </c>
      <c r="H1018" s="11" t="s">
        <v>118</v>
      </c>
      <c r="I1018" s="11" t="s">
        <v>667</v>
      </c>
      <c r="J1018" s="11" t="s">
        <v>673</v>
      </c>
    </row>
    <row r="1019" customFormat="false" ht="15" hidden="false" customHeight="false" outlineLevel="0" collapsed="false">
      <c r="A1019" s="11" t="s">
        <v>321</v>
      </c>
      <c r="B1019" s="11" t="s">
        <v>322</v>
      </c>
      <c r="C1019" s="11" t="n">
        <v>2020</v>
      </c>
      <c r="D1019" s="11" t="s">
        <v>22</v>
      </c>
      <c r="E1019" s="17" t="n">
        <v>153697</v>
      </c>
      <c r="F1019" s="11" t="s">
        <v>116</v>
      </c>
      <c r="G1019" s="11" t="s">
        <v>325</v>
      </c>
      <c r="H1019" s="11" t="s">
        <v>118</v>
      </c>
      <c r="I1019" s="11" t="s">
        <v>667</v>
      </c>
      <c r="J1019" s="11" t="s">
        <v>673</v>
      </c>
    </row>
    <row r="1020" customFormat="false" ht="15" hidden="false" customHeight="false" outlineLevel="0" collapsed="false">
      <c r="A1020" s="11" t="s">
        <v>321</v>
      </c>
      <c r="B1020" s="11" t="s">
        <v>322</v>
      </c>
      <c r="C1020" s="11" t="n">
        <v>2021</v>
      </c>
      <c r="D1020" s="11" t="s">
        <v>22</v>
      </c>
      <c r="E1020" s="17" t="n">
        <v>155586</v>
      </c>
      <c r="F1020" s="11" t="s">
        <v>116</v>
      </c>
      <c r="G1020" s="11" t="s">
        <v>325</v>
      </c>
      <c r="H1020" s="11" t="s">
        <v>118</v>
      </c>
      <c r="I1020" s="11" t="s">
        <v>667</v>
      </c>
      <c r="J1020" s="11" t="s">
        <v>673</v>
      </c>
    </row>
    <row r="1021" customFormat="false" ht="15" hidden="false" customHeight="false" outlineLevel="0" collapsed="false">
      <c r="A1021" s="11" t="s">
        <v>321</v>
      </c>
      <c r="B1021" s="11" t="s">
        <v>322</v>
      </c>
      <c r="C1021" s="11" t="n">
        <v>2022</v>
      </c>
      <c r="D1021" s="11" t="s">
        <v>22</v>
      </c>
      <c r="E1021" s="17" t="n">
        <v>168787</v>
      </c>
      <c r="F1021" s="11" t="s">
        <v>116</v>
      </c>
      <c r="G1021" s="11" t="s">
        <v>325</v>
      </c>
      <c r="H1021" s="11" t="s">
        <v>118</v>
      </c>
      <c r="I1021" s="11" t="s">
        <v>667</v>
      </c>
      <c r="J1021" s="11" t="s">
        <v>673</v>
      </c>
    </row>
    <row r="1022" customFormat="false" ht="15" hidden="false" customHeight="false" outlineLevel="0" collapsed="false">
      <c r="A1022" s="11" t="s">
        <v>321</v>
      </c>
      <c r="B1022" s="11" t="s">
        <v>322</v>
      </c>
      <c r="C1022" s="11" t="n">
        <v>2010</v>
      </c>
      <c r="D1022" s="11" t="s">
        <v>26</v>
      </c>
      <c r="E1022" s="17" t="n">
        <v>27318</v>
      </c>
      <c r="F1022" s="11" t="s">
        <v>119</v>
      </c>
      <c r="G1022" s="11" t="s">
        <v>326</v>
      </c>
      <c r="H1022" s="11" t="s">
        <v>121</v>
      </c>
      <c r="I1022" s="11" t="s">
        <v>667</v>
      </c>
      <c r="J1022" s="11" t="s">
        <v>673</v>
      </c>
    </row>
    <row r="1023" customFormat="false" ht="15" hidden="false" customHeight="false" outlineLevel="0" collapsed="false">
      <c r="A1023" s="11" t="s">
        <v>321</v>
      </c>
      <c r="B1023" s="11" t="s">
        <v>322</v>
      </c>
      <c r="C1023" s="11" t="n">
        <v>2011</v>
      </c>
      <c r="D1023" s="11" t="s">
        <v>26</v>
      </c>
      <c r="E1023" s="17" t="n">
        <v>24031</v>
      </c>
      <c r="F1023" s="11" t="s">
        <v>119</v>
      </c>
      <c r="G1023" s="11" t="s">
        <v>326</v>
      </c>
      <c r="H1023" s="11" t="s">
        <v>121</v>
      </c>
      <c r="I1023" s="11" t="s">
        <v>667</v>
      </c>
      <c r="J1023" s="11" t="s">
        <v>673</v>
      </c>
    </row>
    <row r="1024" customFormat="false" ht="15" hidden="false" customHeight="false" outlineLevel="0" collapsed="false">
      <c r="A1024" s="11" t="s">
        <v>321</v>
      </c>
      <c r="B1024" s="11" t="s">
        <v>322</v>
      </c>
      <c r="C1024" s="11" t="n">
        <v>2012</v>
      </c>
      <c r="D1024" s="11" t="s">
        <v>26</v>
      </c>
      <c r="E1024" s="17" t="n">
        <v>22865</v>
      </c>
      <c r="F1024" s="11" t="s">
        <v>119</v>
      </c>
      <c r="G1024" s="11" t="s">
        <v>326</v>
      </c>
      <c r="H1024" s="11" t="s">
        <v>121</v>
      </c>
      <c r="I1024" s="11" t="s">
        <v>667</v>
      </c>
      <c r="J1024" s="11" t="s">
        <v>673</v>
      </c>
    </row>
    <row r="1025" customFormat="false" ht="15" hidden="false" customHeight="false" outlineLevel="0" collapsed="false">
      <c r="A1025" s="11" t="s">
        <v>321</v>
      </c>
      <c r="B1025" s="11" t="s">
        <v>322</v>
      </c>
      <c r="C1025" s="11" t="n">
        <v>2013</v>
      </c>
      <c r="D1025" s="11" t="s">
        <v>26</v>
      </c>
      <c r="E1025" s="17" t="n">
        <v>21498</v>
      </c>
      <c r="F1025" s="11" t="s">
        <v>119</v>
      </c>
      <c r="G1025" s="11" t="s">
        <v>326</v>
      </c>
      <c r="H1025" s="11" t="s">
        <v>121</v>
      </c>
      <c r="I1025" s="11" t="s">
        <v>667</v>
      </c>
      <c r="J1025" s="11" t="s">
        <v>673</v>
      </c>
    </row>
    <row r="1026" customFormat="false" ht="15" hidden="false" customHeight="false" outlineLevel="0" collapsed="false">
      <c r="A1026" s="11" t="s">
        <v>321</v>
      </c>
      <c r="B1026" s="11" t="s">
        <v>322</v>
      </c>
      <c r="C1026" s="11" t="n">
        <v>2014</v>
      </c>
      <c r="D1026" s="11" t="s">
        <v>26</v>
      </c>
      <c r="E1026" s="17" t="n">
        <v>20410</v>
      </c>
      <c r="F1026" s="11" t="s">
        <v>119</v>
      </c>
      <c r="G1026" s="11" t="s">
        <v>326</v>
      </c>
      <c r="H1026" s="11" t="s">
        <v>121</v>
      </c>
      <c r="I1026" s="11" t="s">
        <v>667</v>
      </c>
      <c r="J1026" s="11" t="s">
        <v>673</v>
      </c>
    </row>
    <row r="1027" customFormat="false" ht="15" hidden="false" customHeight="false" outlineLevel="0" collapsed="false">
      <c r="A1027" s="11" t="s">
        <v>321</v>
      </c>
      <c r="B1027" s="11" t="s">
        <v>322</v>
      </c>
      <c r="C1027" s="11" t="n">
        <v>2015</v>
      </c>
      <c r="D1027" s="11" t="s">
        <v>26</v>
      </c>
      <c r="E1027" s="17" t="n">
        <v>20254</v>
      </c>
      <c r="F1027" s="11" t="s">
        <v>119</v>
      </c>
      <c r="G1027" s="11" t="s">
        <v>326</v>
      </c>
      <c r="H1027" s="11" t="s">
        <v>121</v>
      </c>
      <c r="I1027" s="11" t="s">
        <v>667</v>
      </c>
      <c r="J1027" s="11" t="s">
        <v>673</v>
      </c>
    </row>
    <row r="1028" customFormat="false" ht="15" hidden="false" customHeight="false" outlineLevel="0" collapsed="false">
      <c r="A1028" s="11" t="s">
        <v>321</v>
      </c>
      <c r="B1028" s="11" t="s">
        <v>322</v>
      </c>
      <c r="C1028" s="11" t="n">
        <v>2016</v>
      </c>
      <c r="D1028" s="11" t="s">
        <v>26</v>
      </c>
      <c r="E1028" s="17" t="n">
        <v>19123</v>
      </c>
      <c r="F1028" s="11" t="s">
        <v>119</v>
      </c>
      <c r="G1028" s="11" t="s">
        <v>326</v>
      </c>
      <c r="H1028" s="11" t="s">
        <v>121</v>
      </c>
      <c r="I1028" s="11" t="s">
        <v>667</v>
      </c>
      <c r="J1028" s="11" t="s">
        <v>673</v>
      </c>
    </row>
    <row r="1029" customFormat="false" ht="15" hidden="false" customHeight="false" outlineLevel="0" collapsed="false">
      <c r="A1029" s="11" t="s">
        <v>321</v>
      </c>
      <c r="B1029" s="11" t="s">
        <v>322</v>
      </c>
      <c r="C1029" s="11" t="n">
        <v>2017</v>
      </c>
      <c r="D1029" s="11" t="s">
        <v>26</v>
      </c>
      <c r="E1029" s="17" t="n">
        <v>18665</v>
      </c>
      <c r="F1029" s="11" t="s">
        <v>119</v>
      </c>
      <c r="G1029" s="11" t="s">
        <v>326</v>
      </c>
      <c r="H1029" s="11" t="s">
        <v>121</v>
      </c>
      <c r="I1029" s="11" t="s">
        <v>667</v>
      </c>
      <c r="J1029" s="11" t="s">
        <v>673</v>
      </c>
    </row>
    <row r="1030" customFormat="false" ht="15" hidden="false" customHeight="false" outlineLevel="0" collapsed="false">
      <c r="A1030" s="11" t="s">
        <v>321</v>
      </c>
      <c r="B1030" s="11" t="s">
        <v>322</v>
      </c>
      <c r="C1030" s="11" t="n">
        <v>2018</v>
      </c>
      <c r="D1030" s="11" t="s">
        <v>26</v>
      </c>
      <c r="E1030" s="17" t="n">
        <v>18923</v>
      </c>
      <c r="F1030" s="11" t="s">
        <v>119</v>
      </c>
      <c r="G1030" s="11" t="s">
        <v>326</v>
      </c>
      <c r="H1030" s="11" t="s">
        <v>121</v>
      </c>
      <c r="I1030" s="11" t="s">
        <v>667</v>
      </c>
      <c r="J1030" s="11" t="s">
        <v>673</v>
      </c>
    </row>
    <row r="1031" customFormat="false" ht="15" hidden="false" customHeight="false" outlineLevel="0" collapsed="false">
      <c r="A1031" s="11" t="s">
        <v>321</v>
      </c>
      <c r="B1031" s="11" t="s">
        <v>322</v>
      </c>
      <c r="C1031" s="11" t="n">
        <v>2019</v>
      </c>
      <c r="D1031" s="11" t="s">
        <v>26</v>
      </c>
      <c r="E1031" s="17" t="n">
        <v>20202</v>
      </c>
      <c r="F1031" s="11" t="s">
        <v>119</v>
      </c>
      <c r="G1031" s="11" t="s">
        <v>326</v>
      </c>
      <c r="H1031" s="11" t="s">
        <v>121</v>
      </c>
      <c r="I1031" s="11" t="s">
        <v>667</v>
      </c>
      <c r="J1031" s="11" t="s">
        <v>673</v>
      </c>
    </row>
    <row r="1032" customFormat="false" ht="15" hidden="false" customHeight="false" outlineLevel="0" collapsed="false">
      <c r="A1032" s="11" t="s">
        <v>321</v>
      </c>
      <c r="B1032" s="11" t="s">
        <v>322</v>
      </c>
      <c r="C1032" s="11" t="n">
        <v>2020</v>
      </c>
      <c r="D1032" s="11" t="s">
        <v>26</v>
      </c>
      <c r="E1032" s="17" t="n">
        <v>20680</v>
      </c>
      <c r="F1032" s="11" t="s">
        <v>119</v>
      </c>
      <c r="G1032" s="11" t="s">
        <v>326</v>
      </c>
      <c r="H1032" s="11" t="s">
        <v>121</v>
      </c>
      <c r="I1032" s="11" t="s">
        <v>667</v>
      </c>
      <c r="J1032" s="11" t="s">
        <v>673</v>
      </c>
    </row>
    <row r="1033" customFormat="false" ht="15" hidden="false" customHeight="false" outlineLevel="0" collapsed="false">
      <c r="A1033" s="11" t="s">
        <v>321</v>
      </c>
      <c r="B1033" s="11" t="s">
        <v>322</v>
      </c>
      <c r="C1033" s="11" t="n">
        <v>2021</v>
      </c>
      <c r="D1033" s="11" t="s">
        <v>26</v>
      </c>
      <c r="E1033" s="17" t="n">
        <v>20001</v>
      </c>
      <c r="F1033" s="11" t="s">
        <v>119</v>
      </c>
      <c r="G1033" s="11" t="s">
        <v>326</v>
      </c>
      <c r="H1033" s="11" t="s">
        <v>121</v>
      </c>
      <c r="I1033" s="11" t="s">
        <v>667</v>
      </c>
      <c r="J1033" s="11" t="s">
        <v>673</v>
      </c>
    </row>
    <row r="1034" customFormat="false" ht="15" hidden="false" customHeight="false" outlineLevel="0" collapsed="false">
      <c r="A1034" s="11" t="s">
        <v>321</v>
      </c>
      <c r="B1034" s="11" t="s">
        <v>322</v>
      </c>
      <c r="C1034" s="11" t="n">
        <v>2022</v>
      </c>
      <c r="D1034" s="11" t="s">
        <v>26</v>
      </c>
      <c r="E1034" s="17" t="n">
        <v>34310</v>
      </c>
      <c r="F1034" s="11" t="s">
        <v>119</v>
      </c>
      <c r="G1034" s="11" t="s">
        <v>326</v>
      </c>
      <c r="H1034" s="11" t="s">
        <v>144</v>
      </c>
      <c r="I1034" s="11" t="s">
        <v>667</v>
      </c>
      <c r="J1034" s="11" t="s">
        <v>673</v>
      </c>
    </row>
    <row r="1035" customFormat="false" ht="15" hidden="false" customHeight="false" outlineLevel="0" collapsed="false">
      <c r="A1035" s="11" t="s">
        <v>321</v>
      </c>
      <c r="B1035" s="11" t="s">
        <v>322</v>
      </c>
      <c r="C1035" s="11" t="n">
        <v>2010</v>
      </c>
      <c r="D1035" s="11" t="s">
        <v>38</v>
      </c>
      <c r="E1035" s="17" t="n">
        <v>1345</v>
      </c>
      <c r="F1035" s="11" t="s">
        <v>123</v>
      </c>
      <c r="G1035" s="11" t="s">
        <v>124</v>
      </c>
      <c r="H1035" s="11" t="s">
        <v>125</v>
      </c>
      <c r="I1035" s="11" t="s">
        <v>667</v>
      </c>
      <c r="J1035" s="11" t="s">
        <v>674</v>
      </c>
    </row>
    <row r="1036" customFormat="false" ht="15" hidden="false" customHeight="false" outlineLevel="0" collapsed="false">
      <c r="A1036" s="11" t="s">
        <v>321</v>
      </c>
      <c r="B1036" s="11" t="s">
        <v>322</v>
      </c>
      <c r="C1036" s="11" t="n">
        <v>2011</v>
      </c>
      <c r="D1036" s="11" t="s">
        <v>38</v>
      </c>
      <c r="E1036" s="17" t="n">
        <v>1895</v>
      </c>
      <c r="F1036" s="11" t="s">
        <v>123</v>
      </c>
      <c r="G1036" s="11" t="s">
        <v>124</v>
      </c>
      <c r="H1036" s="11" t="s">
        <v>125</v>
      </c>
      <c r="I1036" s="11" t="s">
        <v>667</v>
      </c>
      <c r="J1036" s="11" t="s">
        <v>674</v>
      </c>
    </row>
    <row r="1037" customFormat="false" ht="15" hidden="false" customHeight="false" outlineLevel="0" collapsed="false">
      <c r="A1037" s="11" t="s">
        <v>321</v>
      </c>
      <c r="B1037" s="11" t="s">
        <v>322</v>
      </c>
      <c r="C1037" s="11" t="n">
        <v>2012</v>
      </c>
      <c r="D1037" s="11" t="s">
        <v>38</v>
      </c>
      <c r="E1037" s="17" t="n">
        <v>2080</v>
      </c>
      <c r="F1037" s="11" t="s">
        <v>123</v>
      </c>
      <c r="G1037" s="11" t="s">
        <v>124</v>
      </c>
      <c r="H1037" s="11" t="s">
        <v>125</v>
      </c>
      <c r="I1037" s="11" t="s">
        <v>667</v>
      </c>
      <c r="J1037" s="11" t="s">
        <v>674</v>
      </c>
    </row>
    <row r="1038" customFormat="false" ht="15" hidden="false" customHeight="false" outlineLevel="0" collapsed="false">
      <c r="A1038" s="11" t="s">
        <v>321</v>
      </c>
      <c r="B1038" s="11" t="s">
        <v>322</v>
      </c>
      <c r="C1038" s="11" t="n">
        <v>2013</v>
      </c>
      <c r="D1038" s="11" t="s">
        <v>38</v>
      </c>
      <c r="E1038" s="17" t="n">
        <v>1910</v>
      </c>
      <c r="F1038" s="11" t="s">
        <v>123</v>
      </c>
      <c r="G1038" s="11" t="s">
        <v>124</v>
      </c>
      <c r="H1038" s="11" t="s">
        <v>125</v>
      </c>
      <c r="I1038" s="11" t="s">
        <v>667</v>
      </c>
      <c r="J1038" s="11" t="s">
        <v>674</v>
      </c>
    </row>
    <row r="1039" customFormat="false" ht="15" hidden="false" customHeight="false" outlineLevel="0" collapsed="false">
      <c r="A1039" s="11" t="s">
        <v>321</v>
      </c>
      <c r="B1039" s="11" t="s">
        <v>322</v>
      </c>
      <c r="C1039" s="11" t="n">
        <v>2014</v>
      </c>
      <c r="D1039" s="11" t="s">
        <v>38</v>
      </c>
      <c r="E1039" s="17" t="n">
        <v>2465</v>
      </c>
      <c r="F1039" s="11" t="s">
        <v>123</v>
      </c>
      <c r="G1039" s="11" t="s">
        <v>124</v>
      </c>
      <c r="H1039" s="11" t="s">
        <v>125</v>
      </c>
      <c r="I1039" s="11" t="s">
        <v>667</v>
      </c>
      <c r="J1039" s="11" t="s">
        <v>674</v>
      </c>
    </row>
    <row r="1040" customFormat="false" ht="15" hidden="false" customHeight="false" outlineLevel="0" collapsed="false">
      <c r="A1040" s="11" t="s">
        <v>321</v>
      </c>
      <c r="B1040" s="11" t="s">
        <v>322</v>
      </c>
      <c r="C1040" s="11" t="n">
        <v>2015</v>
      </c>
      <c r="D1040" s="11" t="s">
        <v>38</v>
      </c>
      <c r="E1040" s="17" t="n">
        <v>2040</v>
      </c>
      <c r="F1040" s="11" t="s">
        <v>123</v>
      </c>
      <c r="G1040" s="11" t="s">
        <v>124</v>
      </c>
      <c r="H1040" s="11" t="s">
        <v>125</v>
      </c>
      <c r="I1040" s="11" t="s">
        <v>667</v>
      </c>
      <c r="J1040" s="11" t="s">
        <v>674</v>
      </c>
    </row>
    <row r="1041" customFormat="false" ht="15" hidden="false" customHeight="false" outlineLevel="0" collapsed="false">
      <c r="A1041" s="11" t="s">
        <v>321</v>
      </c>
      <c r="B1041" s="11" t="s">
        <v>322</v>
      </c>
      <c r="C1041" s="11" t="n">
        <v>2016</v>
      </c>
      <c r="D1041" s="11" t="s">
        <v>38</v>
      </c>
      <c r="E1041" s="17" t="n">
        <v>1920</v>
      </c>
      <c r="F1041" s="11" t="s">
        <v>123</v>
      </c>
      <c r="G1041" s="11" t="s">
        <v>124</v>
      </c>
      <c r="H1041" s="11" t="s">
        <v>125</v>
      </c>
      <c r="I1041" s="11" t="s">
        <v>667</v>
      </c>
      <c r="J1041" s="11" t="s">
        <v>674</v>
      </c>
    </row>
    <row r="1042" customFormat="false" ht="15" hidden="false" customHeight="false" outlineLevel="0" collapsed="false">
      <c r="A1042" s="11" t="s">
        <v>321</v>
      </c>
      <c r="B1042" s="11" t="s">
        <v>322</v>
      </c>
      <c r="C1042" s="11" t="n">
        <v>2017</v>
      </c>
      <c r="D1042" s="11" t="s">
        <v>38</v>
      </c>
      <c r="E1042" s="17" t="n">
        <v>2210</v>
      </c>
      <c r="F1042" s="11" t="s">
        <v>123</v>
      </c>
      <c r="G1042" s="11" t="s">
        <v>124</v>
      </c>
      <c r="H1042" s="11" t="s">
        <v>125</v>
      </c>
      <c r="I1042" s="11" t="s">
        <v>667</v>
      </c>
      <c r="J1042" s="11" t="s">
        <v>674</v>
      </c>
    </row>
    <row r="1043" customFormat="false" ht="15" hidden="false" customHeight="false" outlineLevel="0" collapsed="false">
      <c r="A1043" s="11" t="s">
        <v>321</v>
      </c>
      <c r="B1043" s="11" t="s">
        <v>322</v>
      </c>
      <c r="C1043" s="11" t="n">
        <v>2018</v>
      </c>
      <c r="D1043" s="11" t="s">
        <v>38</v>
      </c>
      <c r="E1043" s="17" t="n">
        <v>2660</v>
      </c>
      <c r="F1043" s="11" t="s">
        <v>123</v>
      </c>
      <c r="G1043" s="11" t="s">
        <v>124</v>
      </c>
      <c r="H1043" s="11" t="s">
        <v>125</v>
      </c>
      <c r="I1043" s="11" t="s">
        <v>667</v>
      </c>
      <c r="J1043" s="11" t="s">
        <v>674</v>
      </c>
    </row>
    <row r="1044" customFormat="false" ht="15" hidden="false" customHeight="false" outlineLevel="0" collapsed="false">
      <c r="A1044" s="11" t="s">
        <v>321</v>
      </c>
      <c r="B1044" s="11" t="s">
        <v>322</v>
      </c>
      <c r="C1044" s="11" t="n">
        <v>2019</v>
      </c>
      <c r="D1044" s="11" t="s">
        <v>38</v>
      </c>
      <c r="E1044" s="17" t="n">
        <v>2440</v>
      </c>
      <c r="F1044" s="11" t="s">
        <v>123</v>
      </c>
      <c r="G1044" s="11" t="s">
        <v>124</v>
      </c>
      <c r="H1044" s="11" t="s">
        <v>125</v>
      </c>
      <c r="I1044" s="11" t="s">
        <v>667</v>
      </c>
      <c r="J1044" s="11" t="s">
        <v>674</v>
      </c>
    </row>
    <row r="1045" customFormat="false" ht="15" hidden="false" customHeight="false" outlineLevel="0" collapsed="false">
      <c r="A1045" s="11" t="s">
        <v>321</v>
      </c>
      <c r="B1045" s="11" t="s">
        <v>322</v>
      </c>
      <c r="C1045" s="11" t="n">
        <v>2020</v>
      </c>
      <c r="D1045" s="11" t="s">
        <v>38</v>
      </c>
      <c r="E1045" s="17" t="n">
        <v>1960</v>
      </c>
      <c r="F1045" s="11" t="s">
        <v>123</v>
      </c>
      <c r="G1045" s="11" t="s">
        <v>124</v>
      </c>
      <c r="H1045" s="11" t="s">
        <v>125</v>
      </c>
      <c r="I1045" s="11" t="s">
        <v>667</v>
      </c>
      <c r="J1045" s="11" t="s">
        <v>674</v>
      </c>
    </row>
    <row r="1046" customFormat="false" ht="15" hidden="false" customHeight="false" outlineLevel="0" collapsed="false">
      <c r="A1046" s="11" t="s">
        <v>321</v>
      </c>
      <c r="B1046" s="11" t="s">
        <v>322</v>
      </c>
      <c r="C1046" s="11" t="n">
        <v>2021</v>
      </c>
      <c r="D1046" s="11" t="s">
        <v>38</v>
      </c>
      <c r="E1046" s="17" t="n">
        <v>5025</v>
      </c>
      <c r="F1046" s="11" t="s">
        <v>123</v>
      </c>
      <c r="G1046" s="11" t="s">
        <v>124</v>
      </c>
      <c r="H1046" s="11" t="s">
        <v>125</v>
      </c>
      <c r="I1046" s="11" t="s">
        <v>667</v>
      </c>
      <c r="J1046" s="11" t="s">
        <v>674</v>
      </c>
    </row>
    <row r="1047" customFormat="false" ht="15" hidden="false" customHeight="false" outlineLevel="0" collapsed="false">
      <c r="A1047" s="11" t="s">
        <v>321</v>
      </c>
      <c r="B1047" s="11" t="s">
        <v>322</v>
      </c>
      <c r="C1047" s="11" t="n">
        <v>2022</v>
      </c>
      <c r="D1047" s="11" t="s">
        <v>38</v>
      </c>
      <c r="E1047" s="17" t="n">
        <v>3450</v>
      </c>
      <c r="F1047" s="11" t="s">
        <v>123</v>
      </c>
      <c r="G1047" s="11" t="s">
        <v>124</v>
      </c>
      <c r="H1047" s="11" t="s">
        <v>125</v>
      </c>
      <c r="I1047" s="11" t="s">
        <v>667</v>
      </c>
      <c r="J1047" s="11" t="s">
        <v>674</v>
      </c>
    </row>
    <row r="1048" customFormat="false" ht="15" hidden="false" customHeight="false" outlineLevel="0" collapsed="false">
      <c r="A1048" s="11" t="s">
        <v>321</v>
      </c>
      <c r="B1048" s="11" t="s">
        <v>322</v>
      </c>
      <c r="C1048" s="11" t="n">
        <v>2010</v>
      </c>
      <c r="D1048" s="11" t="s">
        <v>18</v>
      </c>
      <c r="E1048" s="17" t="n">
        <v>3097282</v>
      </c>
      <c r="F1048" s="11" t="s">
        <v>98</v>
      </c>
      <c r="G1048" s="11" t="s">
        <v>99</v>
      </c>
      <c r="H1048" s="11" t="s">
        <v>671</v>
      </c>
      <c r="I1048" s="11" t="s">
        <v>667</v>
      </c>
      <c r="J1048" s="11" t="s">
        <v>672</v>
      </c>
    </row>
    <row r="1049" customFormat="false" ht="15" hidden="false" customHeight="false" outlineLevel="0" collapsed="false">
      <c r="A1049" s="11" t="s">
        <v>321</v>
      </c>
      <c r="B1049" s="11" t="s">
        <v>322</v>
      </c>
      <c r="C1049" s="11" t="n">
        <v>2011</v>
      </c>
      <c r="D1049" s="11" t="s">
        <v>18</v>
      </c>
      <c r="E1049" s="17" t="n">
        <v>3028115</v>
      </c>
      <c r="F1049" s="11" t="s">
        <v>98</v>
      </c>
      <c r="G1049" s="11" t="s">
        <v>99</v>
      </c>
      <c r="H1049" s="11" t="s">
        <v>671</v>
      </c>
      <c r="I1049" s="11" t="s">
        <v>667</v>
      </c>
      <c r="J1049" s="11" t="s">
        <v>672</v>
      </c>
    </row>
    <row r="1050" customFormat="false" ht="15" hidden="false" customHeight="false" outlineLevel="0" collapsed="false">
      <c r="A1050" s="11" t="s">
        <v>321</v>
      </c>
      <c r="B1050" s="11" t="s">
        <v>322</v>
      </c>
      <c r="C1050" s="11" t="n">
        <v>2012</v>
      </c>
      <c r="D1050" s="11" t="s">
        <v>18</v>
      </c>
      <c r="E1050" s="17" t="n">
        <v>2989139</v>
      </c>
      <c r="F1050" s="11" t="s">
        <v>98</v>
      </c>
      <c r="G1050" s="11" t="s">
        <v>99</v>
      </c>
      <c r="H1050" s="11" t="s">
        <v>671</v>
      </c>
      <c r="I1050" s="11" t="s">
        <v>667</v>
      </c>
      <c r="J1050" s="11" t="s">
        <v>672</v>
      </c>
    </row>
    <row r="1051" customFormat="false" ht="15" hidden="false" customHeight="false" outlineLevel="0" collapsed="false">
      <c r="A1051" s="11" t="s">
        <v>321</v>
      </c>
      <c r="B1051" s="11" t="s">
        <v>322</v>
      </c>
      <c r="C1051" s="11" t="n">
        <v>2013</v>
      </c>
      <c r="D1051" s="11" t="s">
        <v>18</v>
      </c>
      <c r="E1051" s="17" t="n">
        <v>2961250</v>
      </c>
      <c r="F1051" s="11" t="s">
        <v>98</v>
      </c>
      <c r="G1051" s="11" t="s">
        <v>99</v>
      </c>
      <c r="H1051" s="11" t="s">
        <v>671</v>
      </c>
      <c r="I1051" s="11" t="s">
        <v>667</v>
      </c>
      <c r="J1051" s="11" t="s">
        <v>672</v>
      </c>
    </row>
    <row r="1052" customFormat="false" ht="15" hidden="false" customHeight="false" outlineLevel="0" collapsed="false">
      <c r="A1052" s="11" t="s">
        <v>321</v>
      </c>
      <c r="B1052" s="11" t="s">
        <v>322</v>
      </c>
      <c r="C1052" s="11" t="n">
        <v>2014</v>
      </c>
      <c r="D1052" s="11" t="s">
        <v>18</v>
      </c>
      <c r="E1052" s="17" t="n">
        <v>2937253</v>
      </c>
      <c r="F1052" s="11" t="s">
        <v>98</v>
      </c>
      <c r="G1052" s="11" t="s">
        <v>99</v>
      </c>
      <c r="H1052" s="11" t="s">
        <v>671</v>
      </c>
      <c r="I1052" s="11" t="s">
        <v>667</v>
      </c>
      <c r="J1052" s="11" t="s">
        <v>672</v>
      </c>
    </row>
    <row r="1053" customFormat="false" ht="15" hidden="false" customHeight="false" outlineLevel="0" collapsed="false">
      <c r="A1053" s="11" t="s">
        <v>321</v>
      </c>
      <c r="B1053" s="11" t="s">
        <v>322</v>
      </c>
      <c r="C1053" s="11" t="n">
        <v>2015</v>
      </c>
      <c r="D1053" s="11" t="s">
        <v>18</v>
      </c>
      <c r="E1053" s="17" t="n">
        <v>2911109</v>
      </c>
      <c r="F1053" s="11" t="s">
        <v>98</v>
      </c>
      <c r="G1053" s="11" t="s">
        <v>99</v>
      </c>
      <c r="H1053" s="11" t="s">
        <v>671</v>
      </c>
      <c r="I1053" s="11" t="s">
        <v>667</v>
      </c>
      <c r="J1053" s="11" t="s">
        <v>672</v>
      </c>
    </row>
    <row r="1054" customFormat="false" ht="15" hidden="false" customHeight="false" outlineLevel="0" collapsed="false">
      <c r="A1054" s="11" t="s">
        <v>321</v>
      </c>
      <c r="B1054" s="11" t="s">
        <v>322</v>
      </c>
      <c r="C1054" s="11" t="n">
        <v>2016</v>
      </c>
      <c r="D1054" s="11" t="s">
        <v>18</v>
      </c>
      <c r="E1054" s="17" t="n">
        <v>2877325</v>
      </c>
      <c r="F1054" s="11" t="s">
        <v>98</v>
      </c>
      <c r="G1054" s="11" t="s">
        <v>99</v>
      </c>
      <c r="H1054" s="11" t="s">
        <v>671</v>
      </c>
      <c r="I1054" s="11" t="s">
        <v>667</v>
      </c>
      <c r="J1054" s="11" t="s">
        <v>672</v>
      </c>
    </row>
    <row r="1055" customFormat="false" ht="15" hidden="false" customHeight="false" outlineLevel="0" collapsed="false">
      <c r="A1055" s="11" t="s">
        <v>321</v>
      </c>
      <c r="B1055" s="11" t="s">
        <v>322</v>
      </c>
      <c r="C1055" s="11" t="n">
        <v>2017</v>
      </c>
      <c r="D1055" s="11" t="s">
        <v>18</v>
      </c>
      <c r="E1055" s="17" t="n">
        <v>2842639</v>
      </c>
      <c r="F1055" s="11" t="s">
        <v>98</v>
      </c>
      <c r="G1055" s="11" t="s">
        <v>99</v>
      </c>
      <c r="H1055" s="11" t="s">
        <v>671</v>
      </c>
      <c r="I1055" s="11" t="s">
        <v>667</v>
      </c>
      <c r="J1055" s="11" t="s">
        <v>672</v>
      </c>
    </row>
    <row r="1056" customFormat="false" ht="15" hidden="false" customHeight="false" outlineLevel="0" collapsed="false">
      <c r="A1056" s="11" t="s">
        <v>321</v>
      </c>
      <c r="B1056" s="11" t="s">
        <v>322</v>
      </c>
      <c r="C1056" s="11" t="n">
        <v>2018</v>
      </c>
      <c r="D1056" s="11" t="s">
        <v>18</v>
      </c>
      <c r="E1056" s="17" t="n">
        <v>2819200</v>
      </c>
      <c r="F1056" s="11" t="s">
        <v>98</v>
      </c>
      <c r="G1056" s="11" t="s">
        <v>99</v>
      </c>
      <c r="H1056" s="11" t="s">
        <v>671</v>
      </c>
      <c r="I1056" s="11" t="s">
        <v>667</v>
      </c>
      <c r="J1056" s="11" t="s">
        <v>672</v>
      </c>
    </row>
    <row r="1057" customFormat="false" ht="15" hidden="false" customHeight="false" outlineLevel="0" collapsed="false">
      <c r="A1057" s="11" t="s">
        <v>321</v>
      </c>
      <c r="B1057" s="11" t="s">
        <v>322</v>
      </c>
      <c r="C1057" s="11" t="n">
        <v>2019</v>
      </c>
      <c r="D1057" s="11" t="s">
        <v>18</v>
      </c>
      <c r="E1057" s="17" t="n">
        <v>2811089</v>
      </c>
      <c r="F1057" s="11" t="s">
        <v>98</v>
      </c>
      <c r="G1057" s="11" t="s">
        <v>99</v>
      </c>
      <c r="H1057" s="11" t="s">
        <v>671</v>
      </c>
      <c r="I1057" s="11" t="s">
        <v>667</v>
      </c>
      <c r="J1057" s="11" t="s">
        <v>672</v>
      </c>
    </row>
    <row r="1058" customFormat="false" ht="15" hidden="false" customHeight="false" outlineLevel="0" collapsed="false">
      <c r="A1058" s="11" t="s">
        <v>321</v>
      </c>
      <c r="B1058" s="11" t="s">
        <v>322</v>
      </c>
      <c r="C1058" s="11" t="n">
        <v>2020</v>
      </c>
      <c r="D1058" s="11" t="s">
        <v>18</v>
      </c>
      <c r="E1058" s="17" t="n">
        <v>2810369</v>
      </c>
      <c r="F1058" s="11" t="s">
        <v>98</v>
      </c>
      <c r="G1058" s="11" t="s">
        <v>99</v>
      </c>
      <c r="H1058" s="11" t="s">
        <v>671</v>
      </c>
      <c r="I1058" s="11" t="s">
        <v>667</v>
      </c>
      <c r="J1058" s="11" t="s">
        <v>672</v>
      </c>
    </row>
    <row r="1059" customFormat="false" ht="15" hidden="false" customHeight="false" outlineLevel="0" collapsed="false">
      <c r="A1059" s="11" t="s">
        <v>321</v>
      </c>
      <c r="B1059" s="11" t="s">
        <v>322</v>
      </c>
      <c r="C1059" s="11" t="n">
        <v>2021</v>
      </c>
      <c r="D1059" s="11" t="s">
        <v>18</v>
      </c>
      <c r="E1059" s="17" t="n">
        <v>2808380</v>
      </c>
      <c r="F1059" s="11" t="s">
        <v>98</v>
      </c>
      <c r="G1059" s="11" t="s">
        <v>99</v>
      </c>
      <c r="H1059" s="11" t="s">
        <v>671</v>
      </c>
      <c r="I1059" s="11" t="s">
        <v>667</v>
      </c>
      <c r="J1059" s="11" t="s">
        <v>672</v>
      </c>
    </row>
    <row r="1060" customFormat="false" ht="15" hidden="false" customHeight="false" outlineLevel="0" collapsed="false">
      <c r="A1060" s="11" t="s">
        <v>321</v>
      </c>
      <c r="B1060" s="11" t="s">
        <v>322</v>
      </c>
      <c r="C1060" s="11" t="n">
        <v>2022</v>
      </c>
      <c r="D1060" s="11" t="s">
        <v>18</v>
      </c>
      <c r="E1060" s="17" t="n">
        <v>2831639</v>
      </c>
      <c r="F1060" s="11" t="s">
        <v>98</v>
      </c>
      <c r="G1060" s="11" t="s">
        <v>99</v>
      </c>
      <c r="H1060" s="11" t="s">
        <v>671</v>
      </c>
      <c r="I1060" s="11" t="s">
        <v>667</v>
      </c>
      <c r="J1060" s="11" t="s">
        <v>672</v>
      </c>
    </row>
    <row r="1061" customFormat="false" ht="15" hidden="false" customHeight="false" outlineLevel="0" collapsed="false">
      <c r="A1061" s="11" t="s">
        <v>327</v>
      </c>
      <c r="B1061" s="11" t="s">
        <v>328</v>
      </c>
      <c r="C1061" s="11" t="n">
        <v>2010</v>
      </c>
      <c r="D1061" s="11" t="s">
        <v>22</v>
      </c>
      <c r="E1061" s="17" t="n">
        <v>961121</v>
      </c>
      <c r="F1061" s="11" t="s">
        <v>101</v>
      </c>
      <c r="G1061" s="11" t="s">
        <v>331</v>
      </c>
      <c r="H1061" s="11" t="s">
        <v>332</v>
      </c>
      <c r="I1061" s="11" t="s">
        <v>667</v>
      </c>
      <c r="J1061" s="11" t="s">
        <v>668</v>
      </c>
    </row>
    <row r="1062" customFormat="false" ht="15" hidden="false" customHeight="false" outlineLevel="0" collapsed="false">
      <c r="A1062" s="11" t="s">
        <v>327</v>
      </c>
      <c r="B1062" s="11" t="s">
        <v>328</v>
      </c>
      <c r="C1062" s="11" t="n">
        <v>2011</v>
      </c>
      <c r="D1062" s="11" t="s">
        <v>22</v>
      </c>
      <c r="E1062" s="17" t="n">
        <v>966778</v>
      </c>
      <c r="F1062" s="11" t="s">
        <v>101</v>
      </c>
      <c r="G1062" s="11" t="s">
        <v>331</v>
      </c>
      <c r="H1062" s="11" t="s">
        <v>332</v>
      </c>
      <c r="I1062" s="11" t="s">
        <v>667</v>
      </c>
      <c r="J1062" s="11" t="s">
        <v>668</v>
      </c>
    </row>
    <row r="1063" customFormat="false" ht="15" hidden="false" customHeight="false" outlineLevel="0" collapsed="false">
      <c r="A1063" s="11" t="s">
        <v>327</v>
      </c>
      <c r="B1063" s="11" t="s">
        <v>328</v>
      </c>
      <c r="C1063" s="11" t="n">
        <v>2012</v>
      </c>
      <c r="D1063" s="11" t="s">
        <v>22</v>
      </c>
      <c r="E1063" s="17" t="n">
        <v>973650</v>
      </c>
      <c r="F1063" s="11" t="s">
        <v>101</v>
      </c>
      <c r="G1063" s="11" t="s">
        <v>331</v>
      </c>
      <c r="H1063" s="11" t="s">
        <v>332</v>
      </c>
      <c r="I1063" s="11" t="s">
        <v>667</v>
      </c>
      <c r="J1063" s="11" t="s">
        <v>668</v>
      </c>
    </row>
    <row r="1064" customFormat="false" ht="15" hidden="false" customHeight="false" outlineLevel="0" collapsed="false">
      <c r="A1064" s="11" t="s">
        <v>327</v>
      </c>
      <c r="B1064" s="11" t="s">
        <v>328</v>
      </c>
      <c r="C1064" s="11" t="n">
        <v>2013</v>
      </c>
      <c r="D1064" s="11" t="s">
        <v>22</v>
      </c>
      <c r="E1064" s="17" t="n">
        <v>991160</v>
      </c>
      <c r="F1064" s="11" t="s">
        <v>101</v>
      </c>
      <c r="G1064" s="11" t="s">
        <v>331</v>
      </c>
      <c r="H1064" s="11" t="s">
        <v>332</v>
      </c>
      <c r="I1064" s="11" t="s">
        <v>667</v>
      </c>
      <c r="J1064" s="11" t="s">
        <v>668</v>
      </c>
    </row>
    <row r="1065" customFormat="false" ht="15" hidden="false" customHeight="false" outlineLevel="0" collapsed="false">
      <c r="A1065" s="11" t="s">
        <v>327</v>
      </c>
      <c r="B1065" s="11" t="s">
        <v>328</v>
      </c>
      <c r="C1065" s="11" t="n">
        <v>2014</v>
      </c>
      <c r="D1065" s="11" t="s">
        <v>22</v>
      </c>
      <c r="E1065" s="17" t="n">
        <v>939905</v>
      </c>
      <c r="F1065" s="11" t="s">
        <v>101</v>
      </c>
      <c r="G1065" s="11" t="s">
        <v>331</v>
      </c>
      <c r="H1065" s="11" t="s">
        <v>332</v>
      </c>
      <c r="I1065" s="11" t="s">
        <v>667</v>
      </c>
      <c r="J1065" s="11" t="s">
        <v>668</v>
      </c>
    </row>
    <row r="1066" customFormat="false" ht="15" hidden="false" customHeight="false" outlineLevel="0" collapsed="false">
      <c r="A1066" s="11" t="s">
        <v>327</v>
      </c>
      <c r="B1066" s="11" t="s">
        <v>328</v>
      </c>
      <c r="C1066" s="11" t="n">
        <v>2015</v>
      </c>
      <c r="D1066" s="11" t="s">
        <v>22</v>
      </c>
      <c r="E1066" s="17" t="n">
        <v>1007063</v>
      </c>
      <c r="F1066" s="11" t="s">
        <v>101</v>
      </c>
      <c r="G1066" s="11" t="s">
        <v>331</v>
      </c>
      <c r="H1066" s="11" t="s">
        <v>332</v>
      </c>
      <c r="I1066" s="11" t="s">
        <v>667</v>
      </c>
      <c r="J1066" s="11" t="s">
        <v>668</v>
      </c>
    </row>
    <row r="1067" customFormat="false" ht="15" hidden="false" customHeight="false" outlineLevel="0" collapsed="false">
      <c r="A1067" s="11" t="s">
        <v>327</v>
      </c>
      <c r="B1067" s="11" t="s">
        <v>328</v>
      </c>
      <c r="C1067" s="11" t="n">
        <v>2018</v>
      </c>
      <c r="D1067" s="11" t="s">
        <v>22</v>
      </c>
      <c r="E1067" s="17" t="n">
        <v>1074752</v>
      </c>
      <c r="F1067" s="11" t="s">
        <v>101</v>
      </c>
      <c r="G1067" s="11" t="s">
        <v>331</v>
      </c>
      <c r="H1067" s="11" t="s">
        <v>332</v>
      </c>
      <c r="I1067" s="11" t="s">
        <v>667</v>
      </c>
      <c r="J1067" s="11" t="s">
        <v>668</v>
      </c>
    </row>
    <row r="1068" customFormat="false" ht="15" hidden="false" customHeight="false" outlineLevel="0" collapsed="false">
      <c r="A1068" s="11" t="s">
        <v>327</v>
      </c>
      <c r="B1068" s="11" t="s">
        <v>328</v>
      </c>
      <c r="C1068" s="11" t="n">
        <v>2020</v>
      </c>
      <c r="D1068" s="11" t="s">
        <v>22</v>
      </c>
      <c r="E1068" s="17" t="n">
        <v>1169883</v>
      </c>
      <c r="F1068" s="11" t="s">
        <v>101</v>
      </c>
      <c r="G1068" s="11" t="s">
        <v>331</v>
      </c>
      <c r="H1068" s="11" t="s">
        <v>332</v>
      </c>
      <c r="I1068" s="11" t="s">
        <v>667</v>
      </c>
      <c r="J1068" s="11" t="s">
        <v>668</v>
      </c>
    </row>
    <row r="1069" customFormat="false" ht="15" hidden="false" customHeight="false" outlineLevel="0" collapsed="false">
      <c r="A1069" s="11" t="s">
        <v>327</v>
      </c>
      <c r="B1069" s="11" t="s">
        <v>328</v>
      </c>
      <c r="C1069" s="11" t="n">
        <v>2010</v>
      </c>
      <c r="D1069" s="11" t="s">
        <v>26</v>
      </c>
      <c r="E1069" s="17" t="n">
        <v>262672</v>
      </c>
      <c r="F1069" s="11" t="s">
        <v>152</v>
      </c>
      <c r="G1069" s="11" t="s">
        <v>333</v>
      </c>
      <c r="H1069" s="11" t="s">
        <v>334</v>
      </c>
      <c r="I1069" s="11" t="s">
        <v>667</v>
      </c>
      <c r="J1069" s="11" t="s">
        <v>668</v>
      </c>
    </row>
    <row r="1070" customFormat="false" ht="15" hidden="false" customHeight="false" outlineLevel="0" collapsed="false">
      <c r="A1070" s="11" t="s">
        <v>327</v>
      </c>
      <c r="B1070" s="11" t="s">
        <v>328</v>
      </c>
      <c r="C1070" s="11" t="n">
        <v>2011</v>
      </c>
      <c r="D1070" s="11" t="s">
        <v>26</v>
      </c>
      <c r="E1070" s="17" t="n">
        <v>281053</v>
      </c>
      <c r="F1070" s="11" t="s">
        <v>152</v>
      </c>
      <c r="G1070" s="11" t="s">
        <v>333</v>
      </c>
      <c r="H1070" s="11" t="s">
        <v>334</v>
      </c>
      <c r="I1070" s="11" t="s">
        <v>667</v>
      </c>
      <c r="J1070" s="11" t="s">
        <v>668</v>
      </c>
    </row>
    <row r="1071" customFormat="false" ht="15" hidden="false" customHeight="false" outlineLevel="0" collapsed="false">
      <c r="A1071" s="11" t="s">
        <v>327</v>
      </c>
      <c r="B1071" s="11" t="s">
        <v>328</v>
      </c>
      <c r="C1071" s="11" t="n">
        <v>2012</v>
      </c>
      <c r="D1071" s="11" t="s">
        <v>26</v>
      </c>
      <c r="E1071" s="17" t="n">
        <v>303936</v>
      </c>
      <c r="F1071" s="11" t="s">
        <v>152</v>
      </c>
      <c r="G1071" s="11" t="s">
        <v>333</v>
      </c>
      <c r="H1071" s="11" t="s">
        <v>334</v>
      </c>
      <c r="I1071" s="11" t="s">
        <v>667</v>
      </c>
      <c r="J1071" s="11" t="s">
        <v>668</v>
      </c>
    </row>
    <row r="1072" customFormat="false" ht="15" hidden="false" customHeight="false" outlineLevel="0" collapsed="false">
      <c r="A1072" s="11" t="s">
        <v>327</v>
      </c>
      <c r="B1072" s="11" t="s">
        <v>328</v>
      </c>
      <c r="C1072" s="11" t="n">
        <v>2013</v>
      </c>
      <c r="D1072" s="11" t="s">
        <v>26</v>
      </c>
      <c r="E1072" s="17" t="n">
        <v>296447</v>
      </c>
      <c r="F1072" s="11" t="s">
        <v>152</v>
      </c>
      <c r="G1072" s="11" t="s">
        <v>333</v>
      </c>
      <c r="H1072" s="11" t="s">
        <v>334</v>
      </c>
      <c r="I1072" s="11" t="s">
        <v>667</v>
      </c>
      <c r="J1072" s="11" t="s">
        <v>668</v>
      </c>
    </row>
    <row r="1073" customFormat="false" ht="15" hidden="false" customHeight="false" outlineLevel="0" collapsed="false">
      <c r="A1073" s="11" t="s">
        <v>327</v>
      </c>
      <c r="B1073" s="11" t="s">
        <v>328</v>
      </c>
      <c r="C1073" s="11" t="n">
        <v>2015</v>
      </c>
      <c r="D1073" s="11" t="s">
        <v>26</v>
      </c>
      <c r="E1073" s="17" t="n">
        <v>325979</v>
      </c>
      <c r="F1073" s="11" t="s">
        <v>152</v>
      </c>
      <c r="G1073" s="11" t="s">
        <v>333</v>
      </c>
      <c r="H1073" s="11" t="s">
        <v>334</v>
      </c>
      <c r="I1073" s="11" t="s">
        <v>667</v>
      </c>
      <c r="J1073" s="11" t="s">
        <v>668</v>
      </c>
    </row>
    <row r="1074" customFormat="false" ht="15" hidden="false" customHeight="false" outlineLevel="0" collapsed="false">
      <c r="A1074" s="11" t="s">
        <v>327</v>
      </c>
      <c r="B1074" s="11" t="s">
        <v>328</v>
      </c>
      <c r="C1074" s="11" t="n">
        <v>2016</v>
      </c>
      <c r="D1074" s="11" t="s">
        <v>26</v>
      </c>
      <c r="E1074" s="17" t="n">
        <v>355206</v>
      </c>
      <c r="F1074" s="11" t="s">
        <v>152</v>
      </c>
      <c r="G1074" s="11" t="s">
        <v>333</v>
      </c>
      <c r="H1074" s="11" t="s">
        <v>334</v>
      </c>
      <c r="I1074" s="11" t="s">
        <v>667</v>
      </c>
      <c r="J1074" s="11" t="s">
        <v>668</v>
      </c>
    </row>
    <row r="1075" customFormat="false" ht="15" hidden="false" customHeight="false" outlineLevel="0" collapsed="false">
      <c r="A1075" s="11" t="s">
        <v>327</v>
      </c>
      <c r="B1075" s="11" t="s">
        <v>328</v>
      </c>
      <c r="C1075" s="11" t="n">
        <v>2017</v>
      </c>
      <c r="D1075" s="11" t="s">
        <v>26</v>
      </c>
      <c r="E1075" s="17" t="n">
        <v>381770</v>
      </c>
      <c r="F1075" s="11" t="s">
        <v>152</v>
      </c>
      <c r="G1075" s="11" t="s">
        <v>333</v>
      </c>
      <c r="H1075" s="11" t="s">
        <v>334</v>
      </c>
      <c r="I1075" s="11" t="s">
        <v>667</v>
      </c>
      <c r="J1075" s="11" t="s">
        <v>668</v>
      </c>
    </row>
    <row r="1076" customFormat="false" ht="15" hidden="false" customHeight="false" outlineLevel="0" collapsed="false">
      <c r="A1076" s="11" t="s">
        <v>327</v>
      </c>
      <c r="B1076" s="11" t="s">
        <v>328</v>
      </c>
      <c r="C1076" s="11" t="n">
        <v>2018</v>
      </c>
      <c r="D1076" s="11" t="s">
        <v>26</v>
      </c>
      <c r="E1076" s="17" t="n">
        <v>423864</v>
      </c>
      <c r="F1076" s="11" t="s">
        <v>152</v>
      </c>
      <c r="G1076" s="11" t="s">
        <v>333</v>
      </c>
      <c r="H1076" s="11" t="s">
        <v>334</v>
      </c>
      <c r="I1076" s="11" t="s">
        <v>667</v>
      </c>
      <c r="J1076" s="11" t="s">
        <v>668</v>
      </c>
    </row>
    <row r="1077" customFormat="false" ht="15" hidden="false" customHeight="false" outlineLevel="0" collapsed="false">
      <c r="A1077" s="11" t="s">
        <v>327</v>
      </c>
      <c r="B1077" s="11" t="s">
        <v>328</v>
      </c>
      <c r="C1077" s="11" t="n">
        <v>2019</v>
      </c>
      <c r="D1077" s="11" t="s">
        <v>26</v>
      </c>
      <c r="E1077" s="17" t="n">
        <v>461988</v>
      </c>
      <c r="F1077" s="11" t="s">
        <v>152</v>
      </c>
      <c r="G1077" s="11" t="s">
        <v>333</v>
      </c>
      <c r="H1077" s="11" t="s">
        <v>334</v>
      </c>
      <c r="I1077" s="11" t="s">
        <v>667</v>
      </c>
      <c r="J1077" s="11" t="s">
        <v>668</v>
      </c>
    </row>
    <row r="1078" customFormat="false" ht="15" hidden="false" customHeight="false" outlineLevel="0" collapsed="false">
      <c r="A1078" s="11" t="s">
        <v>327</v>
      </c>
      <c r="B1078" s="11" t="s">
        <v>328</v>
      </c>
      <c r="C1078" s="11" t="n">
        <v>2020</v>
      </c>
      <c r="D1078" s="11" t="s">
        <v>26</v>
      </c>
      <c r="E1078" s="17" t="n">
        <v>480328</v>
      </c>
      <c r="F1078" s="11" t="s">
        <v>152</v>
      </c>
      <c r="G1078" s="11" t="s">
        <v>333</v>
      </c>
      <c r="H1078" s="11" t="s">
        <v>334</v>
      </c>
      <c r="I1078" s="11" t="s">
        <v>667</v>
      </c>
      <c r="J1078" s="11" t="s">
        <v>668</v>
      </c>
    </row>
    <row r="1079" customFormat="false" ht="15" hidden="false" customHeight="false" outlineLevel="0" collapsed="false">
      <c r="A1079" s="11" t="s">
        <v>327</v>
      </c>
      <c r="B1079" s="11" t="s">
        <v>328</v>
      </c>
      <c r="C1079" s="11" t="n">
        <v>2021</v>
      </c>
      <c r="D1079" s="11" t="s">
        <v>26</v>
      </c>
      <c r="E1079" s="17" t="n">
        <v>579843</v>
      </c>
      <c r="F1079" s="11" t="s">
        <v>152</v>
      </c>
      <c r="G1079" s="11" t="s">
        <v>333</v>
      </c>
      <c r="H1079" s="11" t="s">
        <v>334</v>
      </c>
      <c r="I1079" s="11" t="s">
        <v>667</v>
      </c>
      <c r="J1079" s="11" t="s">
        <v>668</v>
      </c>
    </row>
    <row r="1080" customFormat="false" ht="15" hidden="false" customHeight="false" outlineLevel="0" collapsed="false">
      <c r="A1080" s="11" t="s">
        <v>327</v>
      </c>
      <c r="B1080" s="11" t="s">
        <v>328</v>
      </c>
      <c r="C1080" s="11" t="n">
        <v>2022</v>
      </c>
      <c r="D1080" s="11" t="s">
        <v>26</v>
      </c>
      <c r="E1080" s="17" t="n">
        <v>720371</v>
      </c>
      <c r="F1080" s="11" t="s">
        <v>152</v>
      </c>
      <c r="G1080" s="11" t="s">
        <v>333</v>
      </c>
      <c r="H1080" s="11" t="s">
        <v>334</v>
      </c>
      <c r="I1080" s="11" t="s">
        <v>667</v>
      </c>
      <c r="J1080" s="11" t="s">
        <v>668</v>
      </c>
    </row>
    <row r="1081" customFormat="false" ht="15" hidden="false" customHeight="false" outlineLevel="0" collapsed="false">
      <c r="A1081" s="11" t="s">
        <v>327</v>
      </c>
      <c r="B1081" s="11" t="s">
        <v>328</v>
      </c>
      <c r="C1081" s="11" t="n">
        <v>2017</v>
      </c>
      <c r="D1081" s="11" t="s">
        <v>38</v>
      </c>
      <c r="E1081" s="17" t="n">
        <v>93846</v>
      </c>
      <c r="F1081" s="11" t="s">
        <v>335</v>
      </c>
      <c r="G1081" s="11" t="s">
        <v>336</v>
      </c>
      <c r="H1081" s="11" t="s">
        <v>337</v>
      </c>
      <c r="I1081" s="11" t="s">
        <v>667</v>
      </c>
      <c r="J1081" s="11" t="s">
        <v>677</v>
      </c>
    </row>
    <row r="1082" customFormat="false" ht="15" hidden="false" customHeight="false" outlineLevel="0" collapsed="false">
      <c r="A1082" s="11" t="s">
        <v>327</v>
      </c>
      <c r="B1082" s="11" t="s">
        <v>328</v>
      </c>
      <c r="C1082" s="11" t="n">
        <v>2018</v>
      </c>
      <c r="D1082" s="11" t="s">
        <v>38</v>
      </c>
      <c r="E1082" s="17" t="n">
        <v>131445</v>
      </c>
      <c r="F1082" s="11" t="s">
        <v>335</v>
      </c>
      <c r="G1082" s="11" t="s">
        <v>336</v>
      </c>
      <c r="H1082" s="11" t="s">
        <v>338</v>
      </c>
      <c r="I1082" s="11" t="s">
        <v>667</v>
      </c>
      <c r="J1082" s="11" t="s">
        <v>677</v>
      </c>
    </row>
    <row r="1083" customFormat="false" ht="15" hidden="false" customHeight="false" outlineLevel="0" collapsed="false">
      <c r="A1083" s="11" t="s">
        <v>327</v>
      </c>
      <c r="B1083" s="11" t="s">
        <v>328</v>
      </c>
      <c r="C1083" s="11" t="n">
        <v>2019</v>
      </c>
      <c r="D1083" s="11" t="s">
        <v>38</v>
      </c>
      <c r="E1083" s="17" t="n">
        <v>182940</v>
      </c>
      <c r="F1083" s="11" t="s">
        <v>335</v>
      </c>
      <c r="G1083" s="11" t="s">
        <v>336</v>
      </c>
      <c r="H1083" s="11" t="s">
        <v>339</v>
      </c>
      <c r="I1083" s="11" t="s">
        <v>667</v>
      </c>
      <c r="J1083" s="11" t="s">
        <v>677</v>
      </c>
    </row>
    <row r="1084" customFormat="false" ht="15" hidden="false" customHeight="false" outlineLevel="0" collapsed="false">
      <c r="A1084" s="11" t="s">
        <v>327</v>
      </c>
      <c r="B1084" s="11" t="s">
        <v>328</v>
      </c>
      <c r="C1084" s="11" t="n">
        <v>2020</v>
      </c>
      <c r="D1084" s="11" t="s">
        <v>38</v>
      </c>
      <c r="E1084" s="17" t="n">
        <v>82379</v>
      </c>
      <c r="F1084" s="11" t="s">
        <v>335</v>
      </c>
      <c r="G1084" s="11" t="s">
        <v>336</v>
      </c>
      <c r="H1084" s="11" t="s">
        <v>340</v>
      </c>
      <c r="I1084" s="11" t="s">
        <v>667</v>
      </c>
      <c r="J1084" s="11" t="s">
        <v>677</v>
      </c>
    </row>
    <row r="1085" customFormat="false" ht="15" hidden="false" customHeight="false" outlineLevel="0" collapsed="false">
      <c r="A1085" s="11" t="s">
        <v>327</v>
      </c>
      <c r="B1085" s="11" t="s">
        <v>328</v>
      </c>
      <c r="C1085" s="11" t="n">
        <v>2021</v>
      </c>
      <c r="D1085" s="11" t="s">
        <v>38</v>
      </c>
      <c r="E1085" s="17" t="n">
        <v>309692</v>
      </c>
      <c r="F1085" s="11" t="s">
        <v>335</v>
      </c>
      <c r="G1085" s="11" t="s">
        <v>336</v>
      </c>
      <c r="H1085" s="11" t="s">
        <v>341</v>
      </c>
      <c r="I1085" s="11" t="s">
        <v>667</v>
      </c>
      <c r="J1085" s="11" t="s">
        <v>677</v>
      </c>
    </row>
    <row r="1086" customFormat="false" ht="15" hidden="false" customHeight="false" outlineLevel="0" collapsed="false">
      <c r="A1086" s="11" t="s">
        <v>327</v>
      </c>
      <c r="B1086" s="11" t="s">
        <v>328</v>
      </c>
      <c r="C1086" s="11" t="n">
        <v>2022</v>
      </c>
      <c r="D1086" s="11" t="s">
        <v>38</v>
      </c>
      <c r="E1086" s="17" t="n">
        <v>441409</v>
      </c>
      <c r="F1086" s="11" t="s">
        <v>335</v>
      </c>
      <c r="G1086" s="11" t="s">
        <v>336</v>
      </c>
      <c r="H1086" s="11" t="s">
        <v>342</v>
      </c>
      <c r="I1086" s="11" t="s">
        <v>667</v>
      </c>
      <c r="J1086" s="11" t="s">
        <v>677</v>
      </c>
    </row>
    <row r="1087" customFormat="false" ht="15" hidden="false" customHeight="false" outlineLevel="0" collapsed="false">
      <c r="A1087" s="11" t="s">
        <v>327</v>
      </c>
      <c r="B1087" s="11" t="s">
        <v>328</v>
      </c>
      <c r="C1087" s="11" t="n">
        <v>2010</v>
      </c>
      <c r="D1087" s="11" t="s">
        <v>18</v>
      </c>
      <c r="E1087" s="17" t="n">
        <v>113623895</v>
      </c>
      <c r="F1087" s="11" t="s">
        <v>98</v>
      </c>
      <c r="G1087" s="11" t="s">
        <v>99</v>
      </c>
      <c r="H1087" s="11" t="s">
        <v>671</v>
      </c>
      <c r="I1087" s="11" t="s">
        <v>667</v>
      </c>
      <c r="J1087" s="11" t="s">
        <v>672</v>
      </c>
    </row>
    <row r="1088" customFormat="false" ht="15" hidden="false" customHeight="false" outlineLevel="0" collapsed="false">
      <c r="A1088" s="11" t="s">
        <v>327</v>
      </c>
      <c r="B1088" s="11" t="s">
        <v>328</v>
      </c>
      <c r="C1088" s="11" t="n">
        <v>2011</v>
      </c>
      <c r="D1088" s="11" t="s">
        <v>18</v>
      </c>
      <c r="E1088" s="17" t="n">
        <v>115243504</v>
      </c>
      <c r="F1088" s="11" t="s">
        <v>98</v>
      </c>
      <c r="G1088" s="11" t="s">
        <v>99</v>
      </c>
      <c r="H1088" s="11" t="s">
        <v>671</v>
      </c>
      <c r="I1088" s="11" t="s">
        <v>667</v>
      </c>
      <c r="J1088" s="11" t="s">
        <v>672</v>
      </c>
    </row>
    <row r="1089" customFormat="false" ht="15" hidden="false" customHeight="false" outlineLevel="0" collapsed="false">
      <c r="A1089" s="11" t="s">
        <v>327</v>
      </c>
      <c r="B1089" s="11" t="s">
        <v>328</v>
      </c>
      <c r="C1089" s="11" t="n">
        <v>2012</v>
      </c>
      <c r="D1089" s="11" t="s">
        <v>18</v>
      </c>
      <c r="E1089" s="17" t="n">
        <v>116818208</v>
      </c>
      <c r="F1089" s="11" t="s">
        <v>98</v>
      </c>
      <c r="G1089" s="11" t="s">
        <v>99</v>
      </c>
      <c r="H1089" s="11" t="s">
        <v>671</v>
      </c>
      <c r="I1089" s="11" t="s">
        <v>667</v>
      </c>
      <c r="J1089" s="11" t="s">
        <v>672</v>
      </c>
    </row>
    <row r="1090" customFormat="false" ht="15" hidden="false" customHeight="false" outlineLevel="0" collapsed="false">
      <c r="A1090" s="11" t="s">
        <v>327</v>
      </c>
      <c r="B1090" s="11" t="s">
        <v>328</v>
      </c>
      <c r="C1090" s="11" t="n">
        <v>2013</v>
      </c>
      <c r="D1090" s="11" t="s">
        <v>18</v>
      </c>
      <c r="E1090" s="17" t="n">
        <v>118343573</v>
      </c>
      <c r="F1090" s="11" t="s">
        <v>98</v>
      </c>
      <c r="G1090" s="11" t="s">
        <v>99</v>
      </c>
      <c r="H1090" s="11" t="s">
        <v>671</v>
      </c>
      <c r="I1090" s="11" t="s">
        <v>667</v>
      </c>
      <c r="J1090" s="11" t="s">
        <v>672</v>
      </c>
    </row>
    <row r="1091" customFormat="false" ht="15" hidden="false" customHeight="false" outlineLevel="0" collapsed="false">
      <c r="A1091" s="11" t="s">
        <v>327</v>
      </c>
      <c r="B1091" s="11" t="s">
        <v>328</v>
      </c>
      <c r="C1091" s="11" t="n">
        <v>2014</v>
      </c>
      <c r="D1091" s="11" t="s">
        <v>18</v>
      </c>
      <c r="E1091" s="17" t="n">
        <v>119784261</v>
      </c>
      <c r="F1091" s="11" t="s">
        <v>98</v>
      </c>
      <c r="G1091" s="11" t="s">
        <v>99</v>
      </c>
      <c r="H1091" s="11" t="s">
        <v>671</v>
      </c>
      <c r="I1091" s="11" t="s">
        <v>667</v>
      </c>
      <c r="J1091" s="11" t="s">
        <v>672</v>
      </c>
    </row>
    <row r="1092" customFormat="false" ht="15" hidden="false" customHeight="false" outlineLevel="0" collapsed="false">
      <c r="A1092" s="11" t="s">
        <v>327</v>
      </c>
      <c r="B1092" s="11" t="s">
        <v>328</v>
      </c>
      <c r="C1092" s="11" t="n">
        <v>2015</v>
      </c>
      <c r="D1092" s="11" t="s">
        <v>18</v>
      </c>
      <c r="E1092" s="17" t="n">
        <v>121072306</v>
      </c>
      <c r="F1092" s="11" t="s">
        <v>98</v>
      </c>
      <c r="G1092" s="11" t="s">
        <v>99</v>
      </c>
      <c r="H1092" s="11" t="s">
        <v>671</v>
      </c>
      <c r="I1092" s="11" t="s">
        <v>667</v>
      </c>
      <c r="J1092" s="11" t="s">
        <v>672</v>
      </c>
    </row>
    <row r="1093" customFormat="false" ht="15" hidden="false" customHeight="false" outlineLevel="0" collapsed="false">
      <c r="A1093" s="11" t="s">
        <v>327</v>
      </c>
      <c r="B1093" s="11" t="s">
        <v>328</v>
      </c>
      <c r="C1093" s="11" t="n">
        <v>2016</v>
      </c>
      <c r="D1093" s="11" t="s">
        <v>18</v>
      </c>
      <c r="E1093" s="17" t="n">
        <v>122251351</v>
      </c>
      <c r="F1093" s="11" t="s">
        <v>98</v>
      </c>
      <c r="G1093" s="11" t="s">
        <v>99</v>
      </c>
      <c r="H1093" s="11" t="s">
        <v>671</v>
      </c>
      <c r="I1093" s="11" t="s">
        <v>667</v>
      </c>
      <c r="J1093" s="11" t="s">
        <v>672</v>
      </c>
    </row>
    <row r="1094" customFormat="false" ht="15" hidden="false" customHeight="false" outlineLevel="0" collapsed="false">
      <c r="A1094" s="11" t="s">
        <v>327</v>
      </c>
      <c r="B1094" s="11" t="s">
        <v>328</v>
      </c>
      <c r="C1094" s="11" t="n">
        <v>2017</v>
      </c>
      <c r="D1094" s="11" t="s">
        <v>18</v>
      </c>
      <c r="E1094" s="17" t="n">
        <v>123400057</v>
      </c>
      <c r="F1094" s="11" t="s">
        <v>98</v>
      </c>
      <c r="G1094" s="11" t="s">
        <v>99</v>
      </c>
      <c r="H1094" s="11" t="s">
        <v>671</v>
      </c>
      <c r="I1094" s="11" t="s">
        <v>667</v>
      </c>
      <c r="J1094" s="11" t="s">
        <v>672</v>
      </c>
    </row>
    <row r="1095" customFormat="false" ht="15" hidden="false" customHeight="false" outlineLevel="0" collapsed="false">
      <c r="A1095" s="11" t="s">
        <v>327</v>
      </c>
      <c r="B1095" s="11" t="s">
        <v>328</v>
      </c>
      <c r="C1095" s="11" t="n">
        <v>2018</v>
      </c>
      <c r="D1095" s="11" t="s">
        <v>18</v>
      </c>
      <c r="E1095" s="17" t="n">
        <v>124573711</v>
      </c>
      <c r="F1095" s="11" t="s">
        <v>98</v>
      </c>
      <c r="G1095" s="11" t="s">
        <v>99</v>
      </c>
      <c r="H1095" s="11" t="s">
        <v>671</v>
      </c>
      <c r="I1095" s="11" t="s">
        <v>667</v>
      </c>
      <c r="J1095" s="11" t="s">
        <v>672</v>
      </c>
    </row>
    <row r="1096" customFormat="false" ht="15" hidden="false" customHeight="false" outlineLevel="0" collapsed="false">
      <c r="A1096" s="11" t="s">
        <v>327</v>
      </c>
      <c r="B1096" s="11" t="s">
        <v>328</v>
      </c>
      <c r="C1096" s="11" t="n">
        <v>2019</v>
      </c>
      <c r="D1096" s="11" t="s">
        <v>18</v>
      </c>
      <c r="E1096" s="17" t="n">
        <v>125762982</v>
      </c>
      <c r="F1096" s="11" t="s">
        <v>98</v>
      </c>
      <c r="G1096" s="11" t="s">
        <v>99</v>
      </c>
      <c r="H1096" s="11" t="s">
        <v>671</v>
      </c>
      <c r="I1096" s="11" t="s">
        <v>667</v>
      </c>
      <c r="J1096" s="11" t="s">
        <v>672</v>
      </c>
    </row>
    <row r="1097" customFormat="false" ht="15" hidden="false" customHeight="false" outlineLevel="0" collapsed="false">
      <c r="A1097" s="11" t="s">
        <v>327</v>
      </c>
      <c r="B1097" s="11" t="s">
        <v>328</v>
      </c>
      <c r="C1097" s="11" t="n">
        <v>2020</v>
      </c>
      <c r="D1097" s="11" t="s">
        <v>18</v>
      </c>
      <c r="E1097" s="17" t="n">
        <v>126799054</v>
      </c>
      <c r="F1097" s="11" t="s">
        <v>98</v>
      </c>
      <c r="G1097" s="11" t="s">
        <v>99</v>
      </c>
      <c r="H1097" s="11" t="s">
        <v>671</v>
      </c>
      <c r="I1097" s="11" t="s">
        <v>667</v>
      </c>
      <c r="J1097" s="11" t="s">
        <v>672</v>
      </c>
    </row>
    <row r="1098" customFormat="false" ht="15" hidden="false" customHeight="false" outlineLevel="0" collapsed="false">
      <c r="A1098" s="11" t="s">
        <v>327</v>
      </c>
      <c r="B1098" s="11" t="s">
        <v>328</v>
      </c>
      <c r="C1098" s="11" t="n">
        <v>2021</v>
      </c>
      <c r="D1098" s="11" t="s">
        <v>18</v>
      </c>
      <c r="E1098" s="17" t="n">
        <v>127648148</v>
      </c>
      <c r="F1098" s="11" t="s">
        <v>98</v>
      </c>
      <c r="G1098" s="11" t="s">
        <v>99</v>
      </c>
      <c r="H1098" s="11" t="s">
        <v>671</v>
      </c>
      <c r="I1098" s="11" t="s">
        <v>667</v>
      </c>
      <c r="J1098" s="11" t="s">
        <v>672</v>
      </c>
    </row>
    <row r="1099" customFormat="false" ht="15" hidden="false" customHeight="false" outlineLevel="0" collapsed="false">
      <c r="A1099" s="11" t="s">
        <v>327</v>
      </c>
      <c r="B1099" s="11" t="s">
        <v>328</v>
      </c>
      <c r="C1099" s="11" t="n">
        <v>2022</v>
      </c>
      <c r="D1099" s="11" t="s">
        <v>18</v>
      </c>
      <c r="E1099" s="17" t="n">
        <v>128613117</v>
      </c>
      <c r="F1099" s="11" t="s">
        <v>98</v>
      </c>
      <c r="G1099" s="11" t="s">
        <v>99</v>
      </c>
      <c r="H1099" s="11" t="s">
        <v>671</v>
      </c>
      <c r="I1099" s="11" t="s">
        <v>667</v>
      </c>
      <c r="J1099" s="11" t="s">
        <v>672</v>
      </c>
    </row>
    <row r="1100" customFormat="false" ht="15" hidden="false" customHeight="false" outlineLevel="0" collapsed="false">
      <c r="A1100" s="11" t="s">
        <v>343</v>
      </c>
      <c r="B1100" s="11" t="s">
        <v>344</v>
      </c>
      <c r="C1100" s="11" t="n">
        <v>2010</v>
      </c>
      <c r="D1100" s="11" t="s">
        <v>22</v>
      </c>
      <c r="E1100" s="17" t="n">
        <v>1832510</v>
      </c>
      <c r="F1100" s="11" t="s">
        <v>116</v>
      </c>
      <c r="G1100" s="11" t="s">
        <v>347</v>
      </c>
      <c r="H1100" s="11" t="s">
        <v>118</v>
      </c>
      <c r="I1100" s="11" t="s">
        <v>667</v>
      </c>
      <c r="J1100" s="11" t="s">
        <v>673</v>
      </c>
    </row>
    <row r="1101" customFormat="false" ht="15" hidden="false" customHeight="false" outlineLevel="0" collapsed="false">
      <c r="A1101" s="11" t="s">
        <v>343</v>
      </c>
      <c r="B1101" s="11" t="s">
        <v>344</v>
      </c>
      <c r="C1101" s="11" t="n">
        <v>2011</v>
      </c>
      <c r="D1101" s="11" t="s">
        <v>22</v>
      </c>
      <c r="E1101" s="17" t="n">
        <v>1868655</v>
      </c>
      <c r="F1101" s="11" t="s">
        <v>116</v>
      </c>
      <c r="G1101" s="11" t="s">
        <v>347</v>
      </c>
      <c r="H1101" s="11" t="s">
        <v>118</v>
      </c>
      <c r="I1101" s="11" t="s">
        <v>667</v>
      </c>
      <c r="J1101" s="11" t="s">
        <v>673</v>
      </c>
    </row>
    <row r="1102" customFormat="false" ht="15" hidden="false" customHeight="false" outlineLevel="0" collapsed="false">
      <c r="A1102" s="11" t="s">
        <v>343</v>
      </c>
      <c r="B1102" s="11" t="s">
        <v>344</v>
      </c>
      <c r="C1102" s="11" t="n">
        <v>2012</v>
      </c>
      <c r="D1102" s="11" t="s">
        <v>22</v>
      </c>
      <c r="E1102" s="17" t="n">
        <v>1906295</v>
      </c>
      <c r="F1102" s="11" t="s">
        <v>116</v>
      </c>
      <c r="G1102" s="11" t="s">
        <v>347</v>
      </c>
      <c r="H1102" s="11" t="s">
        <v>118</v>
      </c>
      <c r="I1102" s="11" t="s">
        <v>667</v>
      </c>
      <c r="J1102" s="11" t="s">
        <v>673</v>
      </c>
    </row>
    <row r="1103" customFormat="false" ht="15" hidden="false" customHeight="false" outlineLevel="0" collapsed="false">
      <c r="A1103" s="11" t="s">
        <v>343</v>
      </c>
      <c r="B1103" s="11" t="s">
        <v>344</v>
      </c>
      <c r="C1103" s="11" t="n">
        <v>2013</v>
      </c>
      <c r="D1103" s="11" t="s">
        <v>22</v>
      </c>
      <c r="E1103" s="17" t="n">
        <v>1927728</v>
      </c>
      <c r="F1103" s="11" t="s">
        <v>116</v>
      </c>
      <c r="G1103" s="11" t="s">
        <v>347</v>
      </c>
      <c r="H1103" s="11" t="s">
        <v>118</v>
      </c>
      <c r="I1103" s="11" t="s">
        <v>667</v>
      </c>
      <c r="J1103" s="11" t="s">
        <v>673</v>
      </c>
    </row>
    <row r="1104" customFormat="false" ht="15" hidden="false" customHeight="false" outlineLevel="0" collapsed="false">
      <c r="A1104" s="11" t="s">
        <v>343</v>
      </c>
      <c r="B1104" s="11" t="s">
        <v>344</v>
      </c>
      <c r="C1104" s="11" t="n">
        <v>2014</v>
      </c>
      <c r="D1104" s="11" t="s">
        <v>22</v>
      </c>
      <c r="E1104" s="17" t="n">
        <v>1953436</v>
      </c>
      <c r="F1104" s="11" t="s">
        <v>116</v>
      </c>
      <c r="G1104" s="11" t="s">
        <v>347</v>
      </c>
      <c r="H1104" s="11" t="s">
        <v>118</v>
      </c>
      <c r="I1104" s="11" t="s">
        <v>667</v>
      </c>
      <c r="J1104" s="11" t="s">
        <v>673</v>
      </c>
    </row>
    <row r="1105" customFormat="false" ht="15" hidden="false" customHeight="false" outlineLevel="0" collapsed="false">
      <c r="A1105" s="11" t="s">
        <v>343</v>
      </c>
      <c r="B1105" s="11" t="s">
        <v>344</v>
      </c>
      <c r="C1105" s="11" t="n">
        <v>2015</v>
      </c>
      <c r="D1105" s="11" t="s">
        <v>22</v>
      </c>
      <c r="E1105" s="17" t="n">
        <v>1996318</v>
      </c>
      <c r="F1105" s="11" t="s">
        <v>116</v>
      </c>
      <c r="G1105" s="11" t="s">
        <v>347</v>
      </c>
      <c r="H1105" s="11" t="s">
        <v>118</v>
      </c>
      <c r="I1105" s="11" t="s">
        <v>667</v>
      </c>
      <c r="J1105" s="11" t="s">
        <v>673</v>
      </c>
    </row>
    <row r="1106" customFormat="false" ht="15" hidden="false" customHeight="false" outlineLevel="0" collapsed="false">
      <c r="A1106" s="11" t="s">
        <v>343</v>
      </c>
      <c r="B1106" s="11" t="s">
        <v>344</v>
      </c>
      <c r="C1106" s="11" t="n">
        <v>2016</v>
      </c>
      <c r="D1106" s="11" t="s">
        <v>22</v>
      </c>
      <c r="E1106" s="17" t="n">
        <v>2056520</v>
      </c>
      <c r="F1106" s="11" t="s">
        <v>116</v>
      </c>
      <c r="G1106" s="11" t="s">
        <v>347</v>
      </c>
      <c r="H1106" s="11" t="s">
        <v>118</v>
      </c>
      <c r="I1106" s="11" t="s">
        <v>667</v>
      </c>
      <c r="J1106" s="11" t="s">
        <v>673</v>
      </c>
    </row>
    <row r="1107" customFormat="false" ht="15" hidden="false" customHeight="false" outlineLevel="0" collapsed="false">
      <c r="A1107" s="11" t="s">
        <v>343</v>
      </c>
      <c r="B1107" s="11" t="s">
        <v>344</v>
      </c>
      <c r="C1107" s="11" t="n">
        <v>2017</v>
      </c>
      <c r="D1107" s="11" t="s">
        <v>22</v>
      </c>
      <c r="E1107" s="17" t="n">
        <v>2137234</v>
      </c>
      <c r="F1107" s="11" t="s">
        <v>116</v>
      </c>
      <c r="G1107" s="11" t="s">
        <v>347</v>
      </c>
      <c r="H1107" s="11" t="s">
        <v>118</v>
      </c>
      <c r="I1107" s="11" t="s">
        <v>667</v>
      </c>
      <c r="J1107" s="11" t="s">
        <v>673</v>
      </c>
    </row>
    <row r="1108" customFormat="false" ht="15" hidden="false" customHeight="false" outlineLevel="0" collapsed="false">
      <c r="A1108" s="11" t="s">
        <v>343</v>
      </c>
      <c r="B1108" s="11" t="s">
        <v>344</v>
      </c>
      <c r="C1108" s="11" t="n">
        <v>2018</v>
      </c>
      <c r="D1108" s="11" t="s">
        <v>22</v>
      </c>
      <c r="E1108" s="17" t="n">
        <v>2215849</v>
      </c>
      <c r="F1108" s="11" t="s">
        <v>116</v>
      </c>
      <c r="G1108" s="11" t="s">
        <v>347</v>
      </c>
      <c r="H1108" s="11" t="s">
        <v>118</v>
      </c>
      <c r="I1108" s="11" t="s">
        <v>667</v>
      </c>
      <c r="J1108" s="11" t="s">
        <v>673</v>
      </c>
    </row>
    <row r="1109" customFormat="false" ht="15" hidden="false" customHeight="false" outlineLevel="0" collapsed="false">
      <c r="A1109" s="11" t="s">
        <v>343</v>
      </c>
      <c r="B1109" s="11" t="s">
        <v>344</v>
      </c>
      <c r="C1109" s="11" t="n">
        <v>2019</v>
      </c>
      <c r="D1109" s="11" t="s">
        <v>22</v>
      </c>
      <c r="E1109" s="17" t="n">
        <v>2298705</v>
      </c>
      <c r="F1109" s="11" t="s">
        <v>116</v>
      </c>
      <c r="G1109" s="11" t="s">
        <v>347</v>
      </c>
      <c r="H1109" s="11" t="s">
        <v>118</v>
      </c>
      <c r="I1109" s="11" t="s">
        <v>667</v>
      </c>
      <c r="J1109" s="11" t="s">
        <v>673</v>
      </c>
    </row>
    <row r="1110" customFormat="false" ht="15" hidden="false" customHeight="false" outlineLevel="0" collapsed="false">
      <c r="A1110" s="11" t="s">
        <v>343</v>
      </c>
      <c r="B1110" s="11" t="s">
        <v>344</v>
      </c>
      <c r="C1110" s="11" t="n">
        <v>2020</v>
      </c>
      <c r="D1110" s="11" t="s">
        <v>22</v>
      </c>
      <c r="E1110" s="17" t="n">
        <v>2399804</v>
      </c>
      <c r="F1110" s="11" t="s">
        <v>116</v>
      </c>
      <c r="G1110" s="11" t="s">
        <v>347</v>
      </c>
      <c r="H1110" s="11" t="s">
        <v>118</v>
      </c>
      <c r="I1110" s="11" t="s">
        <v>667</v>
      </c>
      <c r="J1110" s="11" t="s">
        <v>673</v>
      </c>
    </row>
    <row r="1111" customFormat="false" ht="15" hidden="false" customHeight="false" outlineLevel="0" collapsed="false">
      <c r="A1111" s="11" t="s">
        <v>343</v>
      </c>
      <c r="B1111" s="11" t="s">
        <v>344</v>
      </c>
      <c r="C1111" s="11" t="n">
        <v>2021</v>
      </c>
      <c r="D1111" s="11" t="s">
        <v>22</v>
      </c>
      <c r="E1111" s="17" t="n">
        <v>2451157</v>
      </c>
      <c r="F1111" s="11" t="s">
        <v>116</v>
      </c>
      <c r="G1111" s="11" t="s">
        <v>347</v>
      </c>
      <c r="H1111" s="11" t="s">
        <v>118</v>
      </c>
      <c r="I1111" s="11" t="s">
        <v>667</v>
      </c>
      <c r="J1111" s="11" t="s">
        <v>673</v>
      </c>
    </row>
    <row r="1112" customFormat="false" ht="15" hidden="false" customHeight="false" outlineLevel="0" collapsed="false">
      <c r="A1112" s="11" t="s">
        <v>343</v>
      </c>
      <c r="B1112" s="11" t="s">
        <v>344</v>
      </c>
      <c r="C1112" s="11" t="n">
        <v>2022</v>
      </c>
      <c r="D1112" s="11" t="s">
        <v>22</v>
      </c>
      <c r="E1112" s="17" t="n">
        <v>2550837</v>
      </c>
      <c r="F1112" s="11" t="s">
        <v>116</v>
      </c>
      <c r="G1112" s="11" t="s">
        <v>347</v>
      </c>
      <c r="H1112" s="11" t="s">
        <v>118</v>
      </c>
      <c r="I1112" s="11" t="s">
        <v>667</v>
      </c>
      <c r="J1112" s="11" t="s">
        <v>673</v>
      </c>
    </row>
    <row r="1113" customFormat="false" ht="15" hidden="false" customHeight="false" outlineLevel="0" collapsed="false">
      <c r="A1113" s="11" t="s">
        <v>343</v>
      </c>
      <c r="B1113" s="11" t="s">
        <v>344</v>
      </c>
      <c r="C1113" s="11" t="n">
        <v>2010</v>
      </c>
      <c r="D1113" s="11" t="s">
        <v>26</v>
      </c>
      <c r="E1113" s="17" t="n">
        <v>652188</v>
      </c>
      <c r="F1113" s="11" t="s">
        <v>119</v>
      </c>
      <c r="G1113" s="11" t="s">
        <v>348</v>
      </c>
      <c r="H1113" s="11" t="s">
        <v>121</v>
      </c>
      <c r="I1113" s="11" t="s">
        <v>667</v>
      </c>
      <c r="J1113" s="11" t="s">
        <v>673</v>
      </c>
    </row>
    <row r="1114" customFormat="false" ht="15" hidden="false" customHeight="false" outlineLevel="0" collapsed="false">
      <c r="A1114" s="11" t="s">
        <v>343</v>
      </c>
      <c r="B1114" s="11" t="s">
        <v>344</v>
      </c>
      <c r="C1114" s="11" t="n">
        <v>2011</v>
      </c>
      <c r="D1114" s="11" t="s">
        <v>26</v>
      </c>
      <c r="E1114" s="17" t="n">
        <v>673235</v>
      </c>
      <c r="F1114" s="11" t="s">
        <v>119</v>
      </c>
      <c r="G1114" s="11" t="s">
        <v>348</v>
      </c>
      <c r="H1114" s="11" t="s">
        <v>121</v>
      </c>
      <c r="I1114" s="11" t="s">
        <v>667</v>
      </c>
      <c r="J1114" s="11" t="s">
        <v>673</v>
      </c>
    </row>
    <row r="1115" customFormat="false" ht="15" hidden="false" customHeight="false" outlineLevel="0" collapsed="false">
      <c r="A1115" s="11" t="s">
        <v>343</v>
      </c>
      <c r="B1115" s="11" t="s">
        <v>344</v>
      </c>
      <c r="C1115" s="11" t="n">
        <v>2012</v>
      </c>
      <c r="D1115" s="11" t="s">
        <v>26</v>
      </c>
      <c r="E1115" s="17" t="n">
        <v>697741</v>
      </c>
      <c r="F1115" s="11" t="s">
        <v>119</v>
      </c>
      <c r="G1115" s="11" t="s">
        <v>348</v>
      </c>
      <c r="H1115" s="11" t="s">
        <v>121</v>
      </c>
      <c r="I1115" s="11" t="s">
        <v>667</v>
      </c>
      <c r="J1115" s="11" t="s">
        <v>673</v>
      </c>
    </row>
    <row r="1116" customFormat="false" ht="15" hidden="false" customHeight="false" outlineLevel="0" collapsed="false">
      <c r="A1116" s="11" t="s">
        <v>343</v>
      </c>
      <c r="B1116" s="11" t="s">
        <v>344</v>
      </c>
      <c r="C1116" s="11" t="n">
        <v>2013</v>
      </c>
      <c r="D1116" s="11" t="s">
        <v>26</v>
      </c>
      <c r="E1116" s="17" t="n">
        <v>714552</v>
      </c>
      <c r="F1116" s="11" t="s">
        <v>119</v>
      </c>
      <c r="G1116" s="11" t="s">
        <v>348</v>
      </c>
      <c r="H1116" s="11" t="s">
        <v>121</v>
      </c>
      <c r="I1116" s="11" t="s">
        <v>667</v>
      </c>
      <c r="J1116" s="11" t="s">
        <v>673</v>
      </c>
    </row>
    <row r="1117" customFormat="false" ht="15" hidden="false" customHeight="false" outlineLevel="0" collapsed="false">
      <c r="A1117" s="11" t="s">
        <v>343</v>
      </c>
      <c r="B1117" s="11" t="s">
        <v>344</v>
      </c>
      <c r="C1117" s="11" t="n">
        <v>2014</v>
      </c>
      <c r="D1117" s="11" t="s">
        <v>26</v>
      </c>
      <c r="E1117" s="17" t="n">
        <v>735354</v>
      </c>
      <c r="F1117" s="11" t="s">
        <v>119</v>
      </c>
      <c r="G1117" s="11" t="s">
        <v>348</v>
      </c>
      <c r="H1117" s="11" t="s">
        <v>121</v>
      </c>
      <c r="I1117" s="11" t="s">
        <v>667</v>
      </c>
      <c r="J1117" s="11" t="s">
        <v>673</v>
      </c>
    </row>
    <row r="1118" customFormat="false" ht="15" hidden="false" customHeight="false" outlineLevel="0" collapsed="false">
      <c r="A1118" s="11" t="s">
        <v>343</v>
      </c>
      <c r="B1118" s="11" t="s">
        <v>344</v>
      </c>
      <c r="C1118" s="11" t="n">
        <v>2015</v>
      </c>
      <c r="D1118" s="11" t="s">
        <v>26</v>
      </c>
      <c r="E1118" s="17" t="n">
        <v>773288</v>
      </c>
      <c r="F1118" s="11" t="s">
        <v>119</v>
      </c>
      <c r="G1118" s="11" t="s">
        <v>348</v>
      </c>
      <c r="H1118" s="11" t="s">
        <v>121</v>
      </c>
      <c r="I1118" s="11" t="s">
        <v>667</v>
      </c>
      <c r="J1118" s="11" t="s">
        <v>673</v>
      </c>
    </row>
    <row r="1119" customFormat="false" ht="15" hidden="false" customHeight="false" outlineLevel="0" collapsed="false">
      <c r="A1119" s="11" t="s">
        <v>343</v>
      </c>
      <c r="B1119" s="11" t="s">
        <v>344</v>
      </c>
      <c r="C1119" s="11" t="n">
        <v>2016</v>
      </c>
      <c r="D1119" s="11" t="s">
        <v>26</v>
      </c>
      <c r="E1119" s="17" t="n">
        <v>834786</v>
      </c>
      <c r="F1119" s="11" t="s">
        <v>119</v>
      </c>
      <c r="G1119" s="11" t="s">
        <v>348</v>
      </c>
      <c r="H1119" s="11" t="s">
        <v>121</v>
      </c>
      <c r="I1119" s="11" t="s">
        <v>667</v>
      </c>
      <c r="J1119" s="11" t="s">
        <v>673</v>
      </c>
    </row>
    <row r="1120" customFormat="false" ht="15" hidden="false" customHeight="false" outlineLevel="0" collapsed="false">
      <c r="A1120" s="11" t="s">
        <v>343</v>
      </c>
      <c r="B1120" s="11" t="s">
        <v>344</v>
      </c>
      <c r="C1120" s="11" t="n">
        <v>2017</v>
      </c>
      <c r="D1120" s="11" t="s">
        <v>26</v>
      </c>
      <c r="E1120" s="17" t="n">
        <v>914997</v>
      </c>
      <c r="F1120" s="11" t="s">
        <v>119</v>
      </c>
      <c r="G1120" s="11" t="s">
        <v>348</v>
      </c>
      <c r="H1120" s="11" t="s">
        <v>121</v>
      </c>
      <c r="I1120" s="11" t="s">
        <v>667</v>
      </c>
      <c r="J1120" s="11" t="s">
        <v>673</v>
      </c>
    </row>
    <row r="1121" customFormat="false" ht="15" hidden="false" customHeight="false" outlineLevel="0" collapsed="false">
      <c r="A1121" s="11" t="s">
        <v>343</v>
      </c>
      <c r="B1121" s="11" t="s">
        <v>344</v>
      </c>
      <c r="C1121" s="11" t="n">
        <v>2018</v>
      </c>
      <c r="D1121" s="11" t="s">
        <v>26</v>
      </c>
      <c r="E1121" s="17" t="n">
        <v>991440</v>
      </c>
      <c r="F1121" s="11" t="s">
        <v>119</v>
      </c>
      <c r="G1121" s="11" t="s">
        <v>348</v>
      </c>
      <c r="H1121" s="11" t="s">
        <v>121</v>
      </c>
      <c r="I1121" s="11" t="s">
        <v>667</v>
      </c>
      <c r="J1121" s="11" t="s">
        <v>673</v>
      </c>
    </row>
    <row r="1122" customFormat="false" ht="15" hidden="false" customHeight="false" outlineLevel="0" collapsed="false">
      <c r="A1122" s="11" t="s">
        <v>343</v>
      </c>
      <c r="B1122" s="11" t="s">
        <v>344</v>
      </c>
      <c r="C1122" s="11" t="n">
        <v>2019</v>
      </c>
      <c r="D1122" s="11" t="s">
        <v>26</v>
      </c>
      <c r="E1122" s="17" t="n">
        <v>1068107</v>
      </c>
      <c r="F1122" s="11" t="s">
        <v>119</v>
      </c>
      <c r="G1122" s="11" t="s">
        <v>348</v>
      </c>
      <c r="H1122" s="11" t="s">
        <v>121</v>
      </c>
      <c r="I1122" s="11" t="s">
        <v>667</v>
      </c>
      <c r="J1122" s="11" t="s">
        <v>673</v>
      </c>
    </row>
    <row r="1123" customFormat="false" ht="15" hidden="false" customHeight="false" outlineLevel="0" collapsed="false">
      <c r="A1123" s="11" t="s">
        <v>343</v>
      </c>
      <c r="B1123" s="11" t="s">
        <v>344</v>
      </c>
      <c r="C1123" s="11" t="n">
        <v>2020</v>
      </c>
      <c r="D1123" s="11" t="s">
        <v>26</v>
      </c>
      <c r="E1123" s="17" t="n">
        <v>1154830</v>
      </c>
      <c r="F1123" s="11" t="s">
        <v>119</v>
      </c>
      <c r="G1123" s="11" t="s">
        <v>348</v>
      </c>
      <c r="H1123" s="11" t="s">
        <v>121</v>
      </c>
      <c r="I1123" s="11" t="s">
        <v>667</v>
      </c>
      <c r="J1123" s="11" t="s">
        <v>673</v>
      </c>
    </row>
    <row r="1124" customFormat="false" ht="15" hidden="false" customHeight="false" outlineLevel="0" collapsed="false">
      <c r="A1124" s="11" t="s">
        <v>343</v>
      </c>
      <c r="B1124" s="11" t="s">
        <v>344</v>
      </c>
      <c r="C1124" s="11" t="n">
        <v>2021</v>
      </c>
      <c r="D1124" s="11" t="s">
        <v>26</v>
      </c>
      <c r="E1124" s="17" t="n">
        <v>1171380</v>
      </c>
      <c r="F1124" s="11" t="s">
        <v>119</v>
      </c>
      <c r="G1124" s="11" t="s">
        <v>348</v>
      </c>
      <c r="H1124" s="11" t="s">
        <v>121</v>
      </c>
      <c r="I1124" s="11" t="s">
        <v>667</v>
      </c>
      <c r="J1124" s="11" t="s">
        <v>673</v>
      </c>
    </row>
    <row r="1125" customFormat="false" ht="15" hidden="false" customHeight="false" outlineLevel="0" collapsed="false">
      <c r="A1125" s="11" t="s">
        <v>343</v>
      </c>
      <c r="B1125" s="11" t="s">
        <v>344</v>
      </c>
      <c r="C1125" s="11" t="n">
        <v>2022</v>
      </c>
      <c r="D1125" s="11" t="s">
        <v>26</v>
      </c>
      <c r="E1125" s="17" t="n">
        <v>1230012</v>
      </c>
      <c r="F1125" s="11" t="s">
        <v>119</v>
      </c>
      <c r="G1125" s="11" t="s">
        <v>348</v>
      </c>
      <c r="H1125" s="11" t="s">
        <v>121</v>
      </c>
      <c r="I1125" s="11" t="s">
        <v>667</v>
      </c>
      <c r="J1125" s="11" t="s">
        <v>673</v>
      </c>
    </row>
    <row r="1126" customFormat="false" ht="15" hidden="false" customHeight="false" outlineLevel="0" collapsed="false">
      <c r="A1126" s="11" t="s">
        <v>343</v>
      </c>
      <c r="B1126" s="11" t="s">
        <v>344</v>
      </c>
      <c r="C1126" s="11" t="n">
        <v>2010</v>
      </c>
      <c r="D1126" s="11" t="s">
        <v>38</v>
      </c>
      <c r="E1126" s="17" t="n">
        <v>7580</v>
      </c>
      <c r="F1126" s="11" t="s">
        <v>123</v>
      </c>
      <c r="G1126" s="11" t="s">
        <v>124</v>
      </c>
      <c r="H1126" s="11" t="s">
        <v>125</v>
      </c>
      <c r="I1126" s="11" t="s">
        <v>667</v>
      </c>
      <c r="J1126" s="11" t="s">
        <v>674</v>
      </c>
    </row>
    <row r="1127" customFormat="false" ht="15" hidden="false" customHeight="false" outlineLevel="0" collapsed="false">
      <c r="A1127" s="11" t="s">
        <v>343</v>
      </c>
      <c r="B1127" s="11" t="s">
        <v>344</v>
      </c>
      <c r="C1127" s="11" t="n">
        <v>2011</v>
      </c>
      <c r="D1127" s="11" t="s">
        <v>38</v>
      </c>
      <c r="E1127" s="17" t="n">
        <v>6145</v>
      </c>
      <c r="F1127" s="11" t="s">
        <v>123</v>
      </c>
      <c r="G1127" s="11" t="s">
        <v>124</v>
      </c>
      <c r="H1127" s="11" t="s">
        <v>125</v>
      </c>
      <c r="I1127" s="11" t="s">
        <v>667</v>
      </c>
      <c r="J1127" s="11" t="s">
        <v>674</v>
      </c>
    </row>
    <row r="1128" customFormat="false" ht="15" hidden="false" customHeight="false" outlineLevel="0" collapsed="false">
      <c r="A1128" s="11" t="s">
        <v>343</v>
      </c>
      <c r="B1128" s="11" t="s">
        <v>344</v>
      </c>
      <c r="C1128" s="11" t="n">
        <v>2012</v>
      </c>
      <c r="D1128" s="11" t="s">
        <v>38</v>
      </c>
      <c r="E1128" s="17" t="n">
        <v>4005</v>
      </c>
      <c r="F1128" s="11" t="s">
        <v>123</v>
      </c>
      <c r="G1128" s="11" t="s">
        <v>124</v>
      </c>
      <c r="H1128" s="11" t="s">
        <v>125</v>
      </c>
      <c r="I1128" s="11" t="s">
        <v>667</v>
      </c>
      <c r="J1128" s="11" t="s">
        <v>674</v>
      </c>
    </row>
    <row r="1129" customFormat="false" ht="15" hidden="false" customHeight="false" outlineLevel="0" collapsed="false">
      <c r="A1129" s="11" t="s">
        <v>343</v>
      </c>
      <c r="B1129" s="11" t="s">
        <v>344</v>
      </c>
      <c r="C1129" s="11" t="n">
        <v>2013</v>
      </c>
      <c r="D1129" s="11" t="s">
        <v>38</v>
      </c>
      <c r="E1129" s="17" t="n">
        <v>2715</v>
      </c>
      <c r="F1129" s="11" t="s">
        <v>123</v>
      </c>
      <c r="G1129" s="11" t="s">
        <v>124</v>
      </c>
      <c r="H1129" s="11" t="s">
        <v>125</v>
      </c>
      <c r="I1129" s="11" t="s">
        <v>667</v>
      </c>
      <c r="J1129" s="11" t="s">
        <v>674</v>
      </c>
    </row>
    <row r="1130" customFormat="false" ht="15" hidden="false" customHeight="false" outlineLevel="0" collapsed="false">
      <c r="A1130" s="11" t="s">
        <v>343</v>
      </c>
      <c r="B1130" s="11" t="s">
        <v>344</v>
      </c>
      <c r="C1130" s="11" t="n">
        <v>2014</v>
      </c>
      <c r="D1130" s="11" t="s">
        <v>38</v>
      </c>
      <c r="E1130" s="17" t="n">
        <v>2645</v>
      </c>
      <c r="F1130" s="11" t="s">
        <v>123</v>
      </c>
      <c r="G1130" s="11" t="s">
        <v>124</v>
      </c>
      <c r="H1130" s="11" t="s">
        <v>125</v>
      </c>
      <c r="I1130" s="11" t="s">
        <v>667</v>
      </c>
      <c r="J1130" s="11" t="s">
        <v>674</v>
      </c>
    </row>
    <row r="1131" customFormat="false" ht="15" hidden="false" customHeight="false" outlineLevel="0" collapsed="false">
      <c r="A1131" s="11" t="s">
        <v>343</v>
      </c>
      <c r="B1131" s="11" t="s">
        <v>344</v>
      </c>
      <c r="C1131" s="11" t="n">
        <v>2015</v>
      </c>
      <c r="D1131" s="11" t="s">
        <v>38</v>
      </c>
      <c r="E1131" s="17" t="n">
        <v>3150</v>
      </c>
      <c r="F1131" s="11" t="s">
        <v>123</v>
      </c>
      <c r="G1131" s="11" t="s">
        <v>124</v>
      </c>
      <c r="H1131" s="11" t="s">
        <v>125</v>
      </c>
      <c r="I1131" s="11" t="s">
        <v>667</v>
      </c>
      <c r="J1131" s="11" t="s">
        <v>674</v>
      </c>
    </row>
    <row r="1132" customFormat="false" ht="15" hidden="false" customHeight="false" outlineLevel="0" collapsed="false">
      <c r="A1132" s="11" t="s">
        <v>343</v>
      </c>
      <c r="B1132" s="11" t="s">
        <v>344</v>
      </c>
      <c r="C1132" s="11" t="n">
        <v>2016</v>
      </c>
      <c r="D1132" s="11" t="s">
        <v>38</v>
      </c>
      <c r="E1132" s="17" t="n">
        <v>2760</v>
      </c>
      <c r="F1132" s="11" t="s">
        <v>123</v>
      </c>
      <c r="G1132" s="11" t="s">
        <v>124</v>
      </c>
      <c r="H1132" s="11" t="s">
        <v>125</v>
      </c>
      <c r="I1132" s="11" t="s">
        <v>667</v>
      </c>
      <c r="J1132" s="11" t="s">
        <v>674</v>
      </c>
    </row>
    <row r="1133" customFormat="false" ht="15" hidden="false" customHeight="false" outlineLevel="0" collapsed="false">
      <c r="A1133" s="11" t="s">
        <v>343</v>
      </c>
      <c r="B1133" s="11" t="s">
        <v>344</v>
      </c>
      <c r="C1133" s="11" t="n">
        <v>2017</v>
      </c>
      <c r="D1133" s="11" t="s">
        <v>38</v>
      </c>
      <c r="E1133" s="17" t="n">
        <v>2120</v>
      </c>
      <c r="F1133" s="11" t="s">
        <v>123</v>
      </c>
      <c r="G1133" s="11" t="s">
        <v>124</v>
      </c>
      <c r="H1133" s="11" t="s">
        <v>125</v>
      </c>
      <c r="I1133" s="11" t="s">
        <v>667</v>
      </c>
      <c r="J1133" s="11" t="s">
        <v>674</v>
      </c>
    </row>
    <row r="1134" customFormat="false" ht="15" hidden="false" customHeight="false" outlineLevel="0" collapsed="false">
      <c r="A1134" s="11" t="s">
        <v>343</v>
      </c>
      <c r="B1134" s="11" t="s">
        <v>344</v>
      </c>
      <c r="C1134" s="11" t="n">
        <v>2018</v>
      </c>
      <c r="D1134" s="11" t="s">
        <v>38</v>
      </c>
      <c r="E1134" s="17" t="n">
        <v>2790</v>
      </c>
      <c r="F1134" s="11" t="s">
        <v>123</v>
      </c>
      <c r="G1134" s="11" t="s">
        <v>124</v>
      </c>
      <c r="H1134" s="11" t="s">
        <v>125</v>
      </c>
      <c r="I1134" s="11" t="s">
        <v>667</v>
      </c>
      <c r="J1134" s="11" t="s">
        <v>674</v>
      </c>
    </row>
    <row r="1135" customFormat="false" ht="15" hidden="false" customHeight="false" outlineLevel="0" collapsed="false">
      <c r="A1135" s="11" t="s">
        <v>343</v>
      </c>
      <c r="B1135" s="11" t="s">
        <v>344</v>
      </c>
      <c r="C1135" s="11" t="n">
        <v>2019</v>
      </c>
      <c r="D1135" s="11" t="s">
        <v>38</v>
      </c>
      <c r="E1135" s="17" t="n">
        <v>3565</v>
      </c>
      <c r="F1135" s="11" t="s">
        <v>123</v>
      </c>
      <c r="G1135" s="11" t="s">
        <v>124</v>
      </c>
      <c r="H1135" s="11" t="s">
        <v>125</v>
      </c>
      <c r="I1135" s="11" t="s">
        <v>667</v>
      </c>
      <c r="J1135" s="11" t="s">
        <v>674</v>
      </c>
    </row>
    <row r="1136" customFormat="false" ht="15" hidden="false" customHeight="false" outlineLevel="0" collapsed="false">
      <c r="A1136" s="11" t="s">
        <v>343</v>
      </c>
      <c r="B1136" s="11" t="s">
        <v>344</v>
      </c>
      <c r="C1136" s="11" t="n">
        <v>2020</v>
      </c>
      <c r="D1136" s="11" t="s">
        <v>38</v>
      </c>
      <c r="E1136" s="17" t="n">
        <v>3640</v>
      </c>
      <c r="F1136" s="11" t="s">
        <v>123</v>
      </c>
      <c r="G1136" s="11" t="s">
        <v>124</v>
      </c>
      <c r="H1136" s="11" t="s">
        <v>125</v>
      </c>
      <c r="I1136" s="11" t="s">
        <v>667</v>
      </c>
      <c r="J1136" s="11" t="s">
        <v>674</v>
      </c>
    </row>
    <row r="1137" customFormat="false" ht="15" hidden="false" customHeight="false" outlineLevel="0" collapsed="false">
      <c r="A1137" s="11" t="s">
        <v>343</v>
      </c>
      <c r="B1137" s="11" t="s">
        <v>344</v>
      </c>
      <c r="C1137" s="11" t="n">
        <v>2021</v>
      </c>
      <c r="D1137" s="11" t="s">
        <v>38</v>
      </c>
      <c r="E1137" s="17" t="n">
        <v>5010</v>
      </c>
      <c r="F1137" s="11" t="s">
        <v>123</v>
      </c>
      <c r="G1137" s="11" t="s">
        <v>124</v>
      </c>
      <c r="H1137" s="11" t="s">
        <v>125</v>
      </c>
      <c r="I1137" s="11" t="s">
        <v>667</v>
      </c>
      <c r="J1137" s="11" t="s">
        <v>674</v>
      </c>
    </row>
    <row r="1138" customFormat="false" ht="15" hidden="false" customHeight="false" outlineLevel="0" collapsed="false">
      <c r="A1138" s="11" t="s">
        <v>343</v>
      </c>
      <c r="B1138" s="11" t="s">
        <v>344</v>
      </c>
      <c r="C1138" s="11" t="n">
        <v>2022</v>
      </c>
      <c r="D1138" s="11" t="s">
        <v>38</v>
      </c>
      <c r="E1138" s="17" t="n">
        <v>5475</v>
      </c>
      <c r="F1138" s="11" t="s">
        <v>123</v>
      </c>
      <c r="G1138" s="11" t="s">
        <v>124</v>
      </c>
      <c r="H1138" s="11" t="s">
        <v>125</v>
      </c>
      <c r="I1138" s="11" t="s">
        <v>667</v>
      </c>
      <c r="J1138" s="11" t="s">
        <v>674</v>
      </c>
    </row>
    <row r="1139" customFormat="false" ht="15" hidden="false" customHeight="false" outlineLevel="0" collapsed="false">
      <c r="A1139" s="11" t="s">
        <v>343</v>
      </c>
      <c r="B1139" s="11" t="s">
        <v>344</v>
      </c>
      <c r="C1139" s="11" t="n">
        <v>2017</v>
      </c>
      <c r="D1139" s="11" t="s">
        <v>30</v>
      </c>
      <c r="E1139" s="17" t="n">
        <v>40500</v>
      </c>
      <c r="F1139" s="11" t="s">
        <v>349</v>
      </c>
      <c r="G1139" s="11" t="s">
        <v>350</v>
      </c>
      <c r="H1139" s="11" t="s">
        <v>351</v>
      </c>
      <c r="I1139" s="11" t="s">
        <v>667</v>
      </c>
      <c r="J1139" s="11" t="s">
        <v>674</v>
      </c>
    </row>
    <row r="1140" customFormat="false" ht="15" hidden="false" customHeight="false" outlineLevel="0" collapsed="false">
      <c r="A1140" s="11" t="s">
        <v>343</v>
      </c>
      <c r="B1140" s="11" t="s">
        <v>344</v>
      </c>
      <c r="C1140" s="11" t="n">
        <v>2018</v>
      </c>
      <c r="D1140" s="11" t="s">
        <v>30</v>
      </c>
      <c r="E1140" s="17" t="n">
        <v>34952</v>
      </c>
      <c r="F1140" s="11" t="s">
        <v>352</v>
      </c>
      <c r="G1140" s="11" t="s">
        <v>353</v>
      </c>
      <c r="H1140" s="11" t="s">
        <v>354</v>
      </c>
      <c r="I1140" s="11" t="s">
        <v>667</v>
      </c>
      <c r="J1140" s="11" t="s">
        <v>674</v>
      </c>
    </row>
    <row r="1141" customFormat="false" ht="15" hidden="false" customHeight="false" outlineLevel="0" collapsed="false">
      <c r="A1141" s="11" t="s">
        <v>343</v>
      </c>
      <c r="B1141" s="11" t="s">
        <v>344</v>
      </c>
      <c r="C1141" s="11" t="n">
        <v>2019</v>
      </c>
      <c r="D1141" s="11" t="s">
        <v>30</v>
      </c>
      <c r="E1141" s="17" t="n">
        <v>24124</v>
      </c>
      <c r="F1141" s="11" t="s">
        <v>352</v>
      </c>
      <c r="G1141" s="11" t="s">
        <v>353</v>
      </c>
      <c r="H1141" s="11" t="s">
        <v>355</v>
      </c>
      <c r="I1141" s="11" t="s">
        <v>667</v>
      </c>
      <c r="J1141" s="11" t="s">
        <v>674</v>
      </c>
    </row>
    <row r="1142" customFormat="false" ht="15" hidden="false" customHeight="false" outlineLevel="0" collapsed="false">
      <c r="A1142" s="11" t="s">
        <v>343</v>
      </c>
      <c r="B1142" s="11" t="s">
        <v>344</v>
      </c>
      <c r="C1142" s="11" t="n">
        <v>2020</v>
      </c>
      <c r="D1142" s="11" t="s">
        <v>30</v>
      </c>
      <c r="E1142" s="17" t="n">
        <v>24283</v>
      </c>
      <c r="F1142" s="11" t="s">
        <v>352</v>
      </c>
      <c r="G1142" s="11" t="s">
        <v>353</v>
      </c>
      <c r="H1142" s="11" t="s">
        <v>356</v>
      </c>
      <c r="I1142" s="11" t="s">
        <v>667</v>
      </c>
      <c r="J1142" s="11" t="s">
        <v>674</v>
      </c>
    </row>
    <row r="1143" customFormat="false" ht="15" hidden="false" customHeight="false" outlineLevel="0" collapsed="false">
      <c r="A1143" s="11" t="s">
        <v>343</v>
      </c>
      <c r="B1143" s="11" t="s">
        <v>344</v>
      </c>
      <c r="C1143" s="11" t="n">
        <v>2021</v>
      </c>
      <c r="D1143" s="11" t="s">
        <v>30</v>
      </c>
      <c r="E1143" s="17" t="n">
        <v>20197</v>
      </c>
      <c r="F1143" s="11" t="s">
        <v>352</v>
      </c>
      <c r="G1143" s="11" t="s">
        <v>353</v>
      </c>
      <c r="H1143" s="11" t="s">
        <v>357</v>
      </c>
      <c r="I1143" s="11" t="s">
        <v>667</v>
      </c>
      <c r="J1143" s="11" t="s">
        <v>674</v>
      </c>
    </row>
    <row r="1144" customFormat="false" ht="15" hidden="false" customHeight="false" outlineLevel="0" collapsed="false">
      <c r="A1144" s="11" t="s">
        <v>343</v>
      </c>
      <c r="B1144" s="11" t="s">
        <v>344</v>
      </c>
      <c r="C1144" s="11" t="n">
        <v>2022</v>
      </c>
      <c r="D1144" s="11" t="s">
        <v>30</v>
      </c>
      <c r="E1144" s="17" t="n">
        <v>20065</v>
      </c>
      <c r="F1144" s="11" t="s">
        <v>352</v>
      </c>
      <c r="G1144" s="11" t="s">
        <v>353</v>
      </c>
      <c r="H1144" s="11" t="s">
        <v>358</v>
      </c>
      <c r="I1144" s="11" t="s">
        <v>667</v>
      </c>
      <c r="J1144" s="11" t="s">
        <v>674</v>
      </c>
    </row>
    <row r="1145" customFormat="false" ht="15" hidden="false" customHeight="false" outlineLevel="0" collapsed="false">
      <c r="A1145" s="11" t="s">
        <v>343</v>
      </c>
      <c r="B1145" s="11" t="s">
        <v>344</v>
      </c>
      <c r="C1145" s="11" t="n">
        <v>2010</v>
      </c>
      <c r="D1145" s="11" t="s">
        <v>18</v>
      </c>
      <c r="E1145" s="17" t="n">
        <v>16615394</v>
      </c>
      <c r="F1145" s="11" t="s">
        <v>98</v>
      </c>
      <c r="G1145" s="11" t="s">
        <v>99</v>
      </c>
      <c r="H1145" s="11" t="s">
        <v>671</v>
      </c>
      <c r="I1145" s="11" t="s">
        <v>667</v>
      </c>
      <c r="J1145" s="11" t="s">
        <v>672</v>
      </c>
    </row>
    <row r="1146" customFormat="false" ht="15" hidden="false" customHeight="false" outlineLevel="0" collapsed="false">
      <c r="A1146" s="11" t="s">
        <v>343</v>
      </c>
      <c r="B1146" s="11" t="s">
        <v>344</v>
      </c>
      <c r="C1146" s="11" t="n">
        <v>2011</v>
      </c>
      <c r="D1146" s="11" t="s">
        <v>18</v>
      </c>
      <c r="E1146" s="17" t="n">
        <v>16693074</v>
      </c>
      <c r="F1146" s="11" t="s">
        <v>98</v>
      </c>
      <c r="G1146" s="11" t="s">
        <v>99</v>
      </c>
      <c r="H1146" s="11" t="s">
        <v>671</v>
      </c>
      <c r="I1146" s="11" t="s">
        <v>667</v>
      </c>
      <c r="J1146" s="11" t="s">
        <v>672</v>
      </c>
    </row>
    <row r="1147" customFormat="false" ht="15" hidden="false" customHeight="false" outlineLevel="0" collapsed="false">
      <c r="A1147" s="11" t="s">
        <v>343</v>
      </c>
      <c r="B1147" s="11" t="s">
        <v>344</v>
      </c>
      <c r="C1147" s="11" t="n">
        <v>2012</v>
      </c>
      <c r="D1147" s="11" t="s">
        <v>18</v>
      </c>
      <c r="E1147" s="17" t="n">
        <v>16754962</v>
      </c>
      <c r="F1147" s="11" t="s">
        <v>98</v>
      </c>
      <c r="G1147" s="11" t="s">
        <v>99</v>
      </c>
      <c r="H1147" s="11" t="s">
        <v>671</v>
      </c>
      <c r="I1147" s="11" t="s">
        <v>667</v>
      </c>
      <c r="J1147" s="11" t="s">
        <v>672</v>
      </c>
    </row>
    <row r="1148" customFormat="false" ht="15" hidden="false" customHeight="false" outlineLevel="0" collapsed="false">
      <c r="A1148" s="11" t="s">
        <v>343</v>
      </c>
      <c r="B1148" s="11" t="s">
        <v>344</v>
      </c>
      <c r="C1148" s="11" t="n">
        <v>2013</v>
      </c>
      <c r="D1148" s="11" t="s">
        <v>18</v>
      </c>
      <c r="E1148" s="17" t="n">
        <v>16804432</v>
      </c>
      <c r="F1148" s="11" t="s">
        <v>98</v>
      </c>
      <c r="G1148" s="11" t="s">
        <v>99</v>
      </c>
      <c r="H1148" s="11" t="s">
        <v>671</v>
      </c>
      <c r="I1148" s="11" t="s">
        <v>667</v>
      </c>
      <c r="J1148" s="11" t="s">
        <v>672</v>
      </c>
    </row>
    <row r="1149" customFormat="false" ht="15" hidden="false" customHeight="false" outlineLevel="0" collapsed="false">
      <c r="A1149" s="11" t="s">
        <v>343</v>
      </c>
      <c r="B1149" s="11" t="s">
        <v>344</v>
      </c>
      <c r="C1149" s="11" t="n">
        <v>2014</v>
      </c>
      <c r="D1149" s="11" t="s">
        <v>18</v>
      </c>
      <c r="E1149" s="17" t="n">
        <v>16865008</v>
      </c>
      <c r="F1149" s="11" t="s">
        <v>98</v>
      </c>
      <c r="G1149" s="11" t="s">
        <v>99</v>
      </c>
      <c r="H1149" s="11" t="s">
        <v>671</v>
      </c>
      <c r="I1149" s="11" t="s">
        <v>667</v>
      </c>
      <c r="J1149" s="11" t="s">
        <v>672</v>
      </c>
    </row>
    <row r="1150" customFormat="false" ht="15" hidden="false" customHeight="false" outlineLevel="0" collapsed="false">
      <c r="A1150" s="11" t="s">
        <v>343</v>
      </c>
      <c r="B1150" s="11" t="s">
        <v>344</v>
      </c>
      <c r="C1150" s="11" t="n">
        <v>2015</v>
      </c>
      <c r="D1150" s="11" t="s">
        <v>18</v>
      </c>
      <c r="E1150" s="17" t="n">
        <v>16939923</v>
      </c>
      <c r="F1150" s="11" t="s">
        <v>98</v>
      </c>
      <c r="G1150" s="11" t="s">
        <v>99</v>
      </c>
      <c r="H1150" s="11" t="s">
        <v>671</v>
      </c>
      <c r="I1150" s="11" t="s">
        <v>667</v>
      </c>
      <c r="J1150" s="11" t="s">
        <v>672</v>
      </c>
    </row>
    <row r="1151" customFormat="false" ht="15" hidden="false" customHeight="false" outlineLevel="0" collapsed="false">
      <c r="A1151" s="11" t="s">
        <v>343</v>
      </c>
      <c r="B1151" s="11" t="s">
        <v>344</v>
      </c>
      <c r="C1151" s="11" t="n">
        <v>2016</v>
      </c>
      <c r="D1151" s="11" t="s">
        <v>18</v>
      </c>
      <c r="E1151" s="17" t="n">
        <v>17030314</v>
      </c>
      <c r="F1151" s="11" t="s">
        <v>98</v>
      </c>
      <c r="G1151" s="11" t="s">
        <v>99</v>
      </c>
      <c r="H1151" s="11" t="s">
        <v>671</v>
      </c>
      <c r="I1151" s="11" t="s">
        <v>667</v>
      </c>
      <c r="J1151" s="11" t="s">
        <v>672</v>
      </c>
    </row>
    <row r="1152" customFormat="false" ht="15" hidden="false" customHeight="false" outlineLevel="0" collapsed="false">
      <c r="A1152" s="11" t="s">
        <v>343</v>
      </c>
      <c r="B1152" s="11" t="s">
        <v>344</v>
      </c>
      <c r="C1152" s="11" t="n">
        <v>2017</v>
      </c>
      <c r="D1152" s="11" t="s">
        <v>18</v>
      </c>
      <c r="E1152" s="17" t="n">
        <v>17131296</v>
      </c>
      <c r="F1152" s="11" t="s">
        <v>98</v>
      </c>
      <c r="G1152" s="11" t="s">
        <v>99</v>
      </c>
      <c r="H1152" s="11" t="s">
        <v>671</v>
      </c>
      <c r="I1152" s="11" t="s">
        <v>667</v>
      </c>
      <c r="J1152" s="11" t="s">
        <v>672</v>
      </c>
    </row>
    <row r="1153" customFormat="false" ht="15" hidden="false" customHeight="false" outlineLevel="0" collapsed="false">
      <c r="A1153" s="11" t="s">
        <v>343</v>
      </c>
      <c r="B1153" s="11" t="s">
        <v>344</v>
      </c>
      <c r="C1153" s="11" t="n">
        <v>2018</v>
      </c>
      <c r="D1153" s="11" t="s">
        <v>18</v>
      </c>
      <c r="E1153" s="17" t="n">
        <v>17231624</v>
      </c>
      <c r="F1153" s="11" t="s">
        <v>98</v>
      </c>
      <c r="G1153" s="11" t="s">
        <v>99</v>
      </c>
      <c r="H1153" s="11" t="s">
        <v>671</v>
      </c>
      <c r="I1153" s="11" t="s">
        <v>667</v>
      </c>
      <c r="J1153" s="11" t="s">
        <v>672</v>
      </c>
    </row>
    <row r="1154" customFormat="false" ht="15" hidden="false" customHeight="false" outlineLevel="0" collapsed="false">
      <c r="A1154" s="11" t="s">
        <v>343</v>
      </c>
      <c r="B1154" s="11" t="s">
        <v>344</v>
      </c>
      <c r="C1154" s="11" t="n">
        <v>2019</v>
      </c>
      <c r="D1154" s="11" t="s">
        <v>18</v>
      </c>
      <c r="E1154" s="17" t="n">
        <v>17344874</v>
      </c>
      <c r="F1154" s="11" t="s">
        <v>98</v>
      </c>
      <c r="G1154" s="11" t="s">
        <v>99</v>
      </c>
      <c r="H1154" s="11" t="s">
        <v>671</v>
      </c>
      <c r="I1154" s="11" t="s">
        <v>667</v>
      </c>
      <c r="J1154" s="11" t="s">
        <v>672</v>
      </c>
    </row>
    <row r="1155" customFormat="false" ht="15" hidden="false" customHeight="false" outlineLevel="0" collapsed="false">
      <c r="A1155" s="11" t="s">
        <v>343</v>
      </c>
      <c r="B1155" s="11" t="s">
        <v>344</v>
      </c>
      <c r="C1155" s="11" t="n">
        <v>2020</v>
      </c>
      <c r="D1155" s="11" t="s">
        <v>18</v>
      </c>
      <c r="E1155" s="17" t="n">
        <v>17441500</v>
      </c>
      <c r="F1155" s="11" t="s">
        <v>98</v>
      </c>
      <c r="G1155" s="11" t="s">
        <v>99</v>
      </c>
      <c r="H1155" s="11" t="s">
        <v>671</v>
      </c>
      <c r="I1155" s="11" t="s">
        <v>667</v>
      </c>
      <c r="J1155" s="11" t="s">
        <v>672</v>
      </c>
    </row>
    <row r="1156" customFormat="false" ht="15" hidden="false" customHeight="false" outlineLevel="0" collapsed="false">
      <c r="A1156" s="11" t="s">
        <v>343</v>
      </c>
      <c r="B1156" s="11" t="s">
        <v>344</v>
      </c>
      <c r="C1156" s="11" t="n">
        <v>2021</v>
      </c>
      <c r="D1156" s="11" t="s">
        <v>18</v>
      </c>
      <c r="E1156" s="17" t="n">
        <v>17533044</v>
      </c>
      <c r="F1156" s="11" t="s">
        <v>98</v>
      </c>
      <c r="G1156" s="11" t="s">
        <v>99</v>
      </c>
      <c r="H1156" s="11" t="s">
        <v>671</v>
      </c>
      <c r="I1156" s="11" t="s">
        <v>667</v>
      </c>
      <c r="J1156" s="11" t="s">
        <v>672</v>
      </c>
    </row>
    <row r="1157" customFormat="false" ht="15" hidden="false" customHeight="false" outlineLevel="0" collapsed="false">
      <c r="A1157" s="11" t="s">
        <v>343</v>
      </c>
      <c r="B1157" s="11" t="s">
        <v>344</v>
      </c>
      <c r="C1157" s="11" t="n">
        <v>2022</v>
      </c>
      <c r="D1157" s="11" t="s">
        <v>18</v>
      </c>
      <c r="E1157" s="17" t="n">
        <v>17700982</v>
      </c>
      <c r="F1157" s="11" t="s">
        <v>98</v>
      </c>
      <c r="G1157" s="11" t="s">
        <v>99</v>
      </c>
      <c r="H1157" s="11" t="s">
        <v>671</v>
      </c>
      <c r="I1157" s="11" t="s">
        <v>667</v>
      </c>
      <c r="J1157" s="11" t="s">
        <v>672</v>
      </c>
    </row>
    <row r="1158" customFormat="false" ht="15" hidden="false" customHeight="false" outlineLevel="0" collapsed="false">
      <c r="A1158" s="11" t="s">
        <v>378</v>
      </c>
      <c r="B1158" s="11" t="s">
        <v>379</v>
      </c>
      <c r="C1158" s="11" t="n">
        <v>2010</v>
      </c>
      <c r="D1158" s="11" t="s">
        <v>22</v>
      </c>
      <c r="E1158" s="17" t="n">
        <v>529532</v>
      </c>
      <c r="F1158" s="11" t="s">
        <v>116</v>
      </c>
      <c r="G1158" s="11" t="s">
        <v>382</v>
      </c>
      <c r="H1158" s="11" t="s">
        <v>118</v>
      </c>
      <c r="I1158" s="11" t="s">
        <v>667</v>
      </c>
      <c r="J1158" s="11" t="s">
        <v>673</v>
      </c>
    </row>
    <row r="1159" customFormat="false" ht="15" hidden="false" customHeight="false" outlineLevel="0" collapsed="false">
      <c r="A1159" s="11" t="s">
        <v>378</v>
      </c>
      <c r="B1159" s="11" t="s">
        <v>379</v>
      </c>
      <c r="C1159" s="11" t="n">
        <v>2011</v>
      </c>
      <c r="D1159" s="11" t="s">
        <v>22</v>
      </c>
      <c r="E1159" s="17" t="n">
        <v>572231</v>
      </c>
      <c r="F1159" s="11" t="s">
        <v>116</v>
      </c>
      <c r="G1159" s="11" t="s">
        <v>382</v>
      </c>
      <c r="H1159" s="11" t="s">
        <v>118</v>
      </c>
      <c r="I1159" s="11" t="s">
        <v>667</v>
      </c>
      <c r="J1159" s="11" t="s">
        <v>673</v>
      </c>
    </row>
    <row r="1160" customFormat="false" ht="15" hidden="false" customHeight="false" outlineLevel="0" collapsed="false">
      <c r="A1160" s="11" t="s">
        <v>378</v>
      </c>
      <c r="B1160" s="11" t="s">
        <v>379</v>
      </c>
      <c r="C1160" s="11" t="n">
        <v>2012</v>
      </c>
      <c r="D1160" s="11" t="s">
        <v>22</v>
      </c>
      <c r="E1160" s="17" t="n">
        <v>619978</v>
      </c>
      <c r="F1160" s="11" t="s">
        <v>116</v>
      </c>
      <c r="G1160" s="11" t="s">
        <v>382</v>
      </c>
      <c r="H1160" s="11" t="s">
        <v>118</v>
      </c>
      <c r="I1160" s="11" t="s">
        <v>667</v>
      </c>
      <c r="J1160" s="11" t="s">
        <v>673</v>
      </c>
    </row>
    <row r="1161" customFormat="false" ht="15" hidden="false" customHeight="false" outlineLevel="0" collapsed="false">
      <c r="A1161" s="11" t="s">
        <v>378</v>
      </c>
      <c r="B1161" s="11" t="s">
        <v>379</v>
      </c>
      <c r="C1161" s="11" t="n">
        <v>2013</v>
      </c>
      <c r="D1161" s="11" t="s">
        <v>22</v>
      </c>
      <c r="E1161" s="17" t="n">
        <v>668178</v>
      </c>
      <c r="F1161" s="11" t="s">
        <v>116</v>
      </c>
      <c r="G1161" s="11" t="s">
        <v>382</v>
      </c>
      <c r="H1161" s="11" t="s">
        <v>118</v>
      </c>
      <c r="I1161" s="11" t="s">
        <v>667</v>
      </c>
      <c r="J1161" s="11" t="s">
        <v>673</v>
      </c>
    </row>
    <row r="1162" customFormat="false" ht="15" hidden="false" customHeight="false" outlineLevel="0" collapsed="false">
      <c r="A1162" s="11" t="s">
        <v>378</v>
      </c>
      <c r="B1162" s="11" t="s">
        <v>379</v>
      </c>
      <c r="C1162" s="11" t="n">
        <v>2014</v>
      </c>
      <c r="D1162" s="11" t="s">
        <v>22</v>
      </c>
      <c r="E1162" s="17" t="n">
        <v>709566</v>
      </c>
      <c r="F1162" s="11" t="s">
        <v>116</v>
      </c>
      <c r="G1162" s="11" t="s">
        <v>382</v>
      </c>
      <c r="H1162" s="11" t="s">
        <v>118</v>
      </c>
      <c r="I1162" s="11" t="s">
        <v>667</v>
      </c>
      <c r="J1162" s="11" t="s">
        <v>673</v>
      </c>
    </row>
    <row r="1163" customFormat="false" ht="15" hidden="false" customHeight="false" outlineLevel="0" collapsed="false">
      <c r="A1163" s="11" t="s">
        <v>378</v>
      </c>
      <c r="B1163" s="11" t="s">
        <v>379</v>
      </c>
      <c r="C1163" s="11" t="n">
        <v>2015</v>
      </c>
      <c r="D1163" s="11" t="s">
        <v>22</v>
      </c>
      <c r="E1163" s="17" t="n">
        <v>747423</v>
      </c>
      <c r="F1163" s="11" t="s">
        <v>116</v>
      </c>
      <c r="G1163" s="11" t="s">
        <v>382</v>
      </c>
      <c r="H1163" s="11" t="s">
        <v>118</v>
      </c>
      <c r="I1163" s="11" t="s">
        <v>667</v>
      </c>
      <c r="J1163" s="11" t="s">
        <v>673</v>
      </c>
    </row>
    <row r="1164" customFormat="false" ht="15" hidden="false" customHeight="false" outlineLevel="0" collapsed="false">
      <c r="A1164" s="11" t="s">
        <v>378</v>
      </c>
      <c r="B1164" s="11" t="s">
        <v>379</v>
      </c>
      <c r="C1164" s="11" t="n">
        <v>2016</v>
      </c>
      <c r="D1164" s="11" t="s">
        <v>22</v>
      </c>
      <c r="E1164" s="17" t="n">
        <v>778764</v>
      </c>
      <c r="F1164" s="11" t="s">
        <v>116</v>
      </c>
      <c r="G1164" s="11" t="s">
        <v>382</v>
      </c>
      <c r="H1164" s="11" t="s">
        <v>118</v>
      </c>
      <c r="I1164" s="11" t="s">
        <v>667</v>
      </c>
      <c r="J1164" s="11" t="s">
        <v>673</v>
      </c>
    </row>
    <row r="1165" customFormat="false" ht="15" hidden="false" customHeight="false" outlineLevel="0" collapsed="false">
      <c r="A1165" s="11" t="s">
        <v>378</v>
      </c>
      <c r="B1165" s="11" t="s">
        <v>379</v>
      </c>
      <c r="C1165" s="11" t="n">
        <v>2017</v>
      </c>
      <c r="D1165" s="11" t="s">
        <v>22</v>
      </c>
      <c r="E1165" s="17" t="n">
        <v>806618</v>
      </c>
      <c r="F1165" s="11" t="s">
        <v>116</v>
      </c>
      <c r="G1165" s="11" t="s">
        <v>382</v>
      </c>
      <c r="H1165" s="11" t="s">
        <v>118</v>
      </c>
      <c r="I1165" s="11" t="s">
        <v>667</v>
      </c>
      <c r="J1165" s="11" t="s">
        <v>673</v>
      </c>
    </row>
    <row r="1166" customFormat="false" ht="15" hidden="false" customHeight="false" outlineLevel="0" collapsed="false">
      <c r="A1166" s="11" t="s">
        <v>378</v>
      </c>
      <c r="B1166" s="11" t="s">
        <v>379</v>
      </c>
      <c r="C1166" s="11" t="n">
        <v>2018</v>
      </c>
      <c r="D1166" s="11" t="s">
        <v>22</v>
      </c>
      <c r="E1166" s="17" t="n">
        <v>829705</v>
      </c>
      <c r="F1166" s="11" t="s">
        <v>116</v>
      </c>
      <c r="G1166" s="11" t="s">
        <v>382</v>
      </c>
      <c r="H1166" s="11" t="s">
        <v>118</v>
      </c>
      <c r="I1166" s="11" t="s">
        <v>667</v>
      </c>
      <c r="J1166" s="11" t="s">
        <v>673</v>
      </c>
    </row>
    <row r="1167" customFormat="false" ht="15" hidden="false" customHeight="false" outlineLevel="0" collapsed="false">
      <c r="A1167" s="11" t="s">
        <v>378</v>
      </c>
      <c r="B1167" s="11" t="s">
        <v>379</v>
      </c>
      <c r="C1167" s="11" t="n">
        <v>2019</v>
      </c>
      <c r="D1167" s="11" t="s">
        <v>22</v>
      </c>
      <c r="E1167" s="17" t="n">
        <v>849354</v>
      </c>
      <c r="F1167" s="11" t="s">
        <v>116</v>
      </c>
      <c r="G1167" s="11" t="s">
        <v>382</v>
      </c>
      <c r="H1167" s="11" t="s">
        <v>118</v>
      </c>
      <c r="I1167" s="11" t="s">
        <v>667</v>
      </c>
      <c r="J1167" s="11" t="s">
        <v>673</v>
      </c>
    </row>
    <row r="1168" customFormat="false" ht="15" hidden="false" customHeight="false" outlineLevel="0" collapsed="false">
      <c r="A1168" s="11" t="s">
        <v>378</v>
      </c>
      <c r="B1168" s="11" t="s">
        <v>379</v>
      </c>
      <c r="C1168" s="11" t="n">
        <v>2020</v>
      </c>
      <c r="D1168" s="11" t="s">
        <v>22</v>
      </c>
      <c r="E1168" s="17" t="n">
        <v>875977</v>
      </c>
      <c r="F1168" s="11" t="s">
        <v>116</v>
      </c>
      <c r="G1168" s="11" t="s">
        <v>382</v>
      </c>
      <c r="H1168" s="11" t="s">
        <v>118</v>
      </c>
      <c r="I1168" s="11" t="s">
        <v>667</v>
      </c>
      <c r="J1168" s="11" t="s">
        <v>673</v>
      </c>
    </row>
    <row r="1169" customFormat="false" ht="15" hidden="false" customHeight="false" outlineLevel="0" collapsed="false">
      <c r="A1169" s="11" t="s">
        <v>378</v>
      </c>
      <c r="B1169" s="11" t="s">
        <v>379</v>
      </c>
      <c r="C1169" s="11" t="n">
        <v>2021</v>
      </c>
      <c r="D1169" s="11" t="s">
        <v>22</v>
      </c>
      <c r="E1169" s="17" t="n">
        <v>878153</v>
      </c>
      <c r="F1169" s="11" t="s">
        <v>116</v>
      </c>
      <c r="G1169" s="11" t="s">
        <v>382</v>
      </c>
      <c r="H1169" s="11" t="s">
        <v>118</v>
      </c>
      <c r="I1169" s="11" t="s">
        <v>667</v>
      </c>
      <c r="J1169" s="11" t="s">
        <v>673</v>
      </c>
    </row>
    <row r="1170" customFormat="false" ht="15" hidden="false" customHeight="false" outlineLevel="0" collapsed="false">
      <c r="A1170" s="11" t="s">
        <v>378</v>
      </c>
      <c r="B1170" s="11" t="s">
        <v>379</v>
      </c>
      <c r="C1170" s="11" t="n">
        <v>2022</v>
      </c>
      <c r="D1170" s="11" t="s">
        <v>22</v>
      </c>
      <c r="E1170" s="17" t="n">
        <v>906843</v>
      </c>
      <c r="F1170" s="11" t="s">
        <v>116</v>
      </c>
      <c r="G1170" s="11" t="s">
        <v>382</v>
      </c>
      <c r="H1170" s="11" t="s">
        <v>118</v>
      </c>
      <c r="I1170" s="11" t="s">
        <v>667</v>
      </c>
      <c r="J1170" s="11" t="s">
        <v>673</v>
      </c>
    </row>
    <row r="1171" customFormat="false" ht="15" hidden="false" customHeight="false" outlineLevel="0" collapsed="false">
      <c r="A1171" s="11" t="s">
        <v>378</v>
      </c>
      <c r="B1171" s="11" t="s">
        <v>379</v>
      </c>
      <c r="C1171" s="11" t="n">
        <v>2010</v>
      </c>
      <c r="D1171" s="11" t="s">
        <v>26</v>
      </c>
      <c r="E1171" s="17" t="n">
        <v>333791</v>
      </c>
      <c r="F1171" s="11" t="s">
        <v>119</v>
      </c>
      <c r="G1171" s="11" t="s">
        <v>383</v>
      </c>
      <c r="H1171" s="11" t="s">
        <v>121</v>
      </c>
      <c r="I1171" s="11" t="s">
        <v>667</v>
      </c>
      <c r="J1171" s="11" t="s">
        <v>673</v>
      </c>
    </row>
    <row r="1172" customFormat="false" ht="15" hidden="false" customHeight="false" outlineLevel="0" collapsed="false">
      <c r="A1172" s="11" t="s">
        <v>378</v>
      </c>
      <c r="B1172" s="11" t="s">
        <v>379</v>
      </c>
      <c r="C1172" s="11" t="n">
        <v>2011</v>
      </c>
      <c r="D1172" s="11" t="s">
        <v>26</v>
      </c>
      <c r="E1172" s="17" t="n">
        <v>369132</v>
      </c>
      <c r="F1172" s="11" t="s">
        <v>119</v>
      </c>
      <c r="G1172" s="11" t="s">
        <v>383</v>
      </c>
      <c r="H1172" s="11" t="s">
        <v>121</v>
      </c>
      <c r="I1172" s="11" t="s">
        <v>667</v>
      </c>
      <c r="J1172" s="11" t="s">
        <v>673</v>
      </c>
    </row>
    <row r="1173" customFormat="false" ht="15" hidden="false" customHeight="false" outlineLevel="0" collapsed="false">
      <c r="A1173" s="11" t="s">
        <v>378</v>
      </c>
      <c r="B1173" s="11" t="s">
        <v>379</v>
      </c>
      <c r="C1173" s="11" t="n">
        <v>2012</v>
      </c>
      <c r="D1173" s="11" t="s">
        <v>26</v>
      </c>
      <c r="E1173" s="17" t="n">
        <v>407171</v>
      </c>
      <c r="F1173" s="11" t="s">
        <v>119</v>
      </c>
      <c r="G1173" s="11" t="s">
        <v>383</v>
      </c>
      <c r="H1173" s="11" t="s">
        <v>121</v>
      </c>
      <c r="I1173" s="11" t="s">
        <v>667</v>
      </c>
      <c r="J1173" s="11" t="s">
        <v>673</v>
      </c>
    </row>
    <row r="1174" customFormat="false" ht="15" hidden="false" customHeight="false" outlineLevel="0" collapsed="false">
      <c r="A1174" s="11" t="s">
        <v>378</v>
      </c>
      <c r="B1174" s="11" t="s">
        <v>379</v>
      </c>
      <c r="C1174" s="11" t="n">
        <v>2013</v>
      </c>
      <c r="D1174" s="11" t="s">
        <v>26</v>
      </c>
      <c r="E1174" s="17" t="n">
        <v>448665</v>
      </c>
      <c r="F1174" s="11" t="s">
        <v>119</v>
      </c>
      <c r="G1174" s="11" t="s">
        <v>383</v>
      </c>
      <c r="H1174" s="11" t="s">
        <v>121</v>
      </c>
      <c r="I1174" s="11" t="s">
        <v>667</v>
      </c>
      <c r="J1174" s="11" t="s">
        <v>673</v>
      </c>
    </row>
    <row r="1175" customFormat="false" ht="15" hidden="false" customHeight="false" outlineLevel="0" collapsed="false">
      <c r="A1175" s="11" t="s">
        <v>378</v>
      </c>
      <c r="B1175" s="11" t="s">
        <v>379</v>
      </c>
      <c r="C1175" s="11" t="n">
        <v>2014</v>
      </c>
      <c r="D1175" s="11" t="s">
        <v>26</v>
      </c>
      <c r="E1175" s="17" t="n">
        <v>483057</v>
      </c>
      <c r="F1175" s="11" t="s">
        <v>119</v>
      </c>
      <c r="G1175" s="11" t="s">
        <v>383</v>
      </c>
      <c r="H1175" s="11" t="s">
        <v>121</v>
      </c>
      <c r="I1175" s="11" t="s">
        <v>667</v>
      </c>
      <c r="J1175" s="11" t="s">
        <v>673</v>
      </c>
    </row>
    <row r="1176" customFormat="false" ht="15" hidden="false" customHeight="false" outlineLevel="0" collapsed="false">
      <c r="A1176" s="11" t="s">
        <v>378</v>
      </c>
      <c r="B1176" s="11" t="s">
        <v>379</v>
      </c>
      <c r="C1176" s="11" t="n">
        <v>2015</v>
      </c>
      <c r="D1176" s="11" t="s">
        <v>26</v>
      </c>
      <c r="E1176" s="17" t="n">
        <v>512024</v>
      </c>
      <c r="F1176" s="11" t="s">
        <v>119</v>
      </c>
      <c r="G1176" s="11" t="s">
        <v>383</v>
      </c>
      <c r="H1176" s="11" t="s">
        <v>121</v>
      </c>
      <c r="I1176" s="11" t="s">
        <v>667</v>
      </c>
      <c r="J1176" s="11" t="s">
        <v>673</v>
      </c>
    </row>
    <row r="1177" customFormat="false" ht="15" hidden="false" customHeight="false" outlineLevel="0" collapsed="false">
      <c r="A1177" s="11" t="s">
        <v>378</v>
      </c>
      <c r="B1177" s="11" t="s">
        <v>379</v>
      </c>
      <c r="C1177" s="11" t="n">
        <v>2016</v>
      </c>
      <c r="D1177" s="11" t="s">
        <v>26</v>
      </c>
      <c r="E1177" s="17" t="n">
        <v>538087</v>
      </c>
      <c r="F1177" s="11" t="s">
        <v>119</v>
      </c>
      <c r="G1177" s="11" t="s">
        <v>383</v>
      </c>
      <c r="H1177" s="11" t="s">
        <v>121</v>
      </c>
      <c r="I1177" s="11" t="s">
        <v>667</v>
      </c>
      <c r="J1177" s="11" t="s">
        <v>673</v>
      </c>
    </row>
    <row r="1178" customFormat="false" ht="15" hidden="false" customHeight="false" outlineLevel="0" collapsed="false">
      <c r="A1178" s="11" t="s">
        <v>378</v>
      </c>
      <c r="B1178" s="11" t="s">
        <v>379</v>
      </c>
      <c r="C1178" s="11" t="n">
        <v>2017</v>
      </c>
      <c r="D1178" s="11" t="s">
        <v>26</v>
      </c>
      <c r="E1178" s="17" t="n">
        <v>559059</v>
      </c>
      <c r="F1178" s="11" t="s">
        <v>119</v>
      </c>
      <c r="G1178" s="11" t="s">
        <v>383</v>
      </c>
      <c r="H1178" s="11" t="s">
        <v>121</v>
      </c>
      <c r="I1178" s="11" t="s">
        <v>667</v>
      </c>
      <c r="J1178" s="11" t="s">
        <v>673</v>
      </c>
    </row>
    <row r="1179" customFormat="false" ht="15" hidden="false" customHeight="false" outlineLevel="0" collapsed="false">
      <c r="A1179" s="11" t="s">
        <v>378</v>
      </c>
      <c r="B1179" s="11" t="s">
        <v>379</v>
      </c>
      <c r="C1179" s="11" t="n">
        <v>2018</v>
      </c>
      <c r="D1179" s="11" t="s">
        <v>26</v>
      </c>
      <c r="E1179" s="17" t="n">
        <v>567594</v>
      </c>
      <c r="F1179" s="11" t="s">
        <v>119</v>
      </c>
      <c r="G1179" s="11" t="s">
        <v>383</v>
      </c>
      <c r="H1179" s="11" t="s">
        <v>121</v>
      </c>
      <c r="I1179" s="11" t="s">
        <v>667</v>
      </c>
      <c r="J1179" s="11" t="s">
        <v>673</v>
      </c>
    </row>
    <row r="1180" customFormat="false" ht="15" hidden="false" customHeight="false" outlineLevel="0" collapsed="false">
      <c r="A1180" s="11" t="s">
        <v>378</v>
      </c>
      <c r="B1180" s="11" t="s">
        <v>379</v>
      </c>
      <c r="C1180" s="11" t="n">
        <v>2019</v>
      </c>
      <c r="D1180" s="11" t="s">
        <v>26</v>
      </c>
      <c r="E1180" s="17" t="n">
        <v>584062</v>
      </c>
      <c r="F1180" s="11" t="s">
        <v>119</v>
      </c>
      <c r="G1180" s="11" t="s">
        <v>383</v>
      </c>
      <c r="H1180" s="11" t="s">
        <v>121</v>
      </c>
      <c r="I1180" s="11" t="s">
        <v>667</v>
      </c>
      <c r="J1180" s="11" t="s">
        <v>673</v>
      </c>
    </row>
    <row r="1181" customFormat="false" ht="15" hidden="false" customHeight="false" outlineLevel="0" collapsed="false">
      <c r="A1181" s="11" t="s">
        <v>378</v>
      </c>
      <c r="B1181" s="11" t="s">
        <v>379</v>
      </c>
      <c r="C1181" s="11" t="n">
        <v>2020</v>
      </c>
      <c r="D1181" s="11" t="s">
        <v>26</v>
      </c>
      <c r="E1181" s="17" t="n">
        <v>604362</v>
      </c>
      <c r="F1181" s="11" t="s">
        <v>119</v>
      </c>
      <c r="G1181" s="11" t="s">
        <v>383</v>
      </c>
      <c r="H1181" s="11" t="s">
        <v>121</v>
      </c>
      <c r="I1181" s="11" t="s">
        <v>667</v>
      </c>
      <c r="J1181" s="11" t="s">
        <v>673</v>
      </c>
    </row>
    <row r="1182" customFormat="false" ht="15" hidden="false" customHeight="false" outlineLevel="0" collapsed="false">
      <c r="A1182" s="11" t="s">
        <v>378</v>
      </c>
      <c r="B1182" s="11" t="s">
        <v>379</v>
      </c>
      <c r="C1182" s="11" t="n">
        <v>2021</v>
      </c>
      <c r="D1182" s="11" t="s">
        <v>26</v>
      </c>
      <c r="E1182" s="17" t="n">
        <v>601525</v>
      </c>
      <c r="F1182" s="11" t="s">
        <v>119</v>
      </c>
      <c r="G1182" s="11" t="s">
        <v>383</v>
      </c>
      <c r="H1182" s="11" t="s">
        <v>121</v>
      </c>
      <c r="I1182" s="11" t="s">
        <v>667</v>
      </c>
      <c r="J1182" s="11" t="s">
        <v>673</v>
      </c>
    </row>
    <row r="1183" customFormat="false" ht="15" hidden="false" customHeight="false" outlineLevel="0" collapsed="false">
      <c r="A1183" s="11" t="s">
        <v>378</v>
      </c>
      <c r="B1183" s="11" t="s">
        <v>379</v>
      </c>
      <c r="C1183" s="11" t="n">
        <v>2022</v>
      </c>
      <c r="D1183" s="11" t="s">
        <v>26</v>
      </c>
      <c r="E1183" s="17" t="n">
        <v>585964</v>
      </c>
      <c r="F1183" s="11" t="s">
        <v>119</v>
      </c>
      <c r="G1183" s="11" t="s">
        <v>383</v>
      </c>
      <c r="H1183" s="11" t="s">
        <v>121</v>
      </c>
      <c r="I1183" s="11" t="s">
        <v>667</v>
      </c>
      <c r="J1183" s="11" t="s">
        <v>673</v>
      </c>
    </row>
    <row r="1184" customFormat="false" ht="15" hidden="false" customHeight="false" outlineLevel="0" collapsed="false">
      <c r="A1184" s="11" t="s">
        <v>378</v>
      </c>
      <c r="B1184" s="11" t="s">
        <v>379</v>
      </c>
      <c r="C1184" s="11" t="n">
        <v>2010</v>
      </c>
      <c r="D1184" s="11" t="s">
        <v>38</v>
      </c>
      <c r="E1184" s="17" t="n">
        <v>2410</v>
      </c>
      <c r="F1184" s="11" t="s">
        <v>123</v>
      </c>
      <c r="G1184" s="11" t="s">
        <v>124</v>
      </c>
      <c r="H1184" s="11" t="s">
        <v>125</v>
      </c>
      <c r="I1184" s="11" t="s">
        <v>667</v>
      </c>
      <c r="J1184" s="11" t="s">
        <v>674</v>
      </c>
    </row>
    <row r="1185" customFormat="false" ht="15" hidden="false" customHeight="false" outlineLevel="0" collapsed="false">
      <c r="A1185" s="11" t="s">
        <v>378</v>
      </c>
      <c r="B1185" s="11" t="s">
        <v>379</v>
      </c>
      <c r="C1185" s="11" t="n">
        <v>2011</v>
      </c>
      <c r="D1185" s="11" t="s">
        <v>38</v>
      </c>
      <c r="E1185" s="17" t="n">
        <v>1925</v>
      </c>
      <c r="F1185" s="11" t="s">
        <v>123</v>
      </c>
      <c r="G1185" s="11" t="s">
        <v>124</v>
      </c>
      <c r="H1185" s="11" t="s">
        <v>125</v>
      </c>
      <c r="I1185" s="11" t="s">
        <v>667</v>
      </c>
      <c r="J1185" s="11" t="s">
        <v>674</v>
      </c>
    </row>
    <row r="1186" customFormat="false" ht="15" hidden="false" customHeight="false" outlineLevel="0" collapsed="false">
      <c r="A1186" s="11" t="s">
        <v>378</v>
      </c>
      <c r="B1186" s="11" t="s">
        <v>379</v>
      </c>
      <c r="C1186" s="11" t="n">
        <v>2012</v>
      </c>
      <c r="D1186" s="11" t="s">
        <v>38</v>
      </c>
      <c r="E1186" s="17" t="n">
        <v>2760</v>
      </c>
      <c r="F1186" s="11" t="s">
        <v>123</v>
      </c>
      <c r="G1186" s="11" t="s">
        <v>124</v>
      </c>
      <c r="H1186" s="11" t="s">
        <v>125</v>
      </c>
      <c r="I1186" s="11" t="s">
        <v>667</v>
      </c>
      <c r="J1186" s="11" t="s">
        <v>674</v>
      </c>
    </row>
    <row r="1187" customFormat="false" ht="15" hidden="false" customHeight="false" outlineLevel="0" collapsed="false">
      <c r="A1187" s="11" t="s">
        <v>378</v>
      </c>
      <c r="B1187" s="11" t="s">
        <v>379</v>
      </c>
      <c r="C1187" s="11" t="n">
        <v>2013</v>
      </c>
      <c r="D1187" s="11" t="s">
        <v>38</v>
      </c>
      <c r="E1187" s="17" t="n">
        <v>3180</v>
      </c>
      <c r="F1187" s="11" t="s">
        <v>123</v>
      </c>
      <c r="G1187" s="11" t="s">
        <v>124</v>
      </c>
      <c r="H1187" s="11" t="s">
        <v>125</v>
      </c>
      <c r="I1187" s="11" t="s">
        <v>667</v>
      </c>
      <c r="J1187" s="11" t="s">
        <v>674</v>
      </c>
    </row>
    <row r="1188" customFormat="false" ht="15" hidden="false" customHeight="false" outlineLevel="0" collapsed="false">
      <c r="A1188" s="11" t="s">
        <v>378</v>
      </c>
      <c r="B1188" s="11" t="s">
        <v>379</v>
      </c>
      <c r="C1188" s="11" t="n">
        <v>2014</v>
      </c>
      <c r="D1188" s="11" t="s">
        <v>38</v>
      </c>
      <c r="E1188" s="17" t="n">
        <v>3720</v>
      </c>
      <c r="F1188" s="11" t="s">
        <v>123</v>
      </c>
      <c r="G1188" s="11" t="s">
        <v>124</v>
      </c>
      <c r="H1188" s="11" t="s">
        <v>125</v>
      </c>
      <c r="I1188" s="11" t="s">
        <v>667</v>
      </c>
      <c r="J1188" s="11" t="s">
        <v>674</v>
      </c>
    </row>
    <row r="1189" customFormat="false" ht="15" hidden="false" customHeight="false" outlineLevel="0" collapsed="false">
      <c r="A1189" s="11" t="s">
        <v>378</v>
      </c>
      <c r="B1189" s="11" t="s">
        <v>379</v>
      </c>
      <c r="C1189" s="11" t="n">
        <v>2015</v>
      </c>
      <c r="D1189" s="11" t="s">
        <v>38</v>
      </c>
      <c r="E1189" s="17" t="n">
        <v>5455</v>
      </c>
      <c r="F1189" s="11" t="s">
        <v>123</v>
      </c>
      <c r="G1189" s="11" t="s">
        <v>124</v>
      </c>
      <c r="H1189" s="11" t="s">
        <v>125</v>
      </c>
      <c r="I1189" s="11" t="s">
        <v>667</v>
      </c>
      <c r="J1189" s="11" t="s">
        <v>674</v>
      </c>
    </row>
    <row r="1190" customFormat="false" ht="15" hidden="false" customHeight="false" outlineLevel="0" collapsed="false">
      <c r="A1190" s="11" t="s">
        <v>378</v>
      </c>
      <c r="B1190" s="11" t="s">
        <v>379</v>
      </c>
      <c r="C1190" s="11" t="n">
        <v>2016</v>
      </c>
      <c r="D1190" s="11" t="s">
        <v>38</v>
      </c>
      <c r="E1190" s="17" t="n">
        <v>5330</v>
      </c>
      <c r="F1190" s="11" t="s">
        <v>123</v>
      </c>
      <c r="G1190" s="11" t="s">
        <v>124</v>
      </c>
      <c r="H1190" s="11" t="s">
        <v>125</v>
      </c>
      <c r="I1190" s="11" t="s">
        <v>667</v>
      </c>
      <c r="J1190" s="11" t="s">
        <v>674</v>
      </c>
    </row>
    <row r="1191" customFormat="false" ht="15" hidden="false" customHeight="false" outlineLevel="0" collapsed="false">
      <c r="A1191" s="11" t="s">
        <v>378</v>
      </c>
      <c r="B1191" s="11" t="s">
        <v>379</v>
      </c>
      <c r="C1191" s="11" t="n">
        <v>2017</v>
      </c>
      <c r="D1191" s="11" t="s">
        <v>38</v>
      </c>
      <c r="E1191" s="17" t="n">
        <v>3850</v>
      </c>
      <c r="F1191" s="11" t="s">
        <v>123</v>
      </c>
      <c r="G1191" s="11" t="s">
        <v>124</v>
      </c>
      <c r="H1191" s="11" t="s">
        <v>125</v>
      </c>
      <c r="I1191" s="11" t="s">
        <v>667</v>
      </c>
      <c r="J1191" s="11" t="s">
        <v>674</v>
      </c>
    </row>
    <row r="1192" customFormat="false" ht="15" hidden="false" customHeight="false" outlineLevel="0" collapsed="false">
      <c r="A1192" s="11" t="s">
        <v>378</v>
      </c>
      <c r="B1192" s="11" t="s">
        <v>379</v>
      </c>
      <c r="C1192" s="11" t="n">
        <v>2018</v>
      </c>
      <c r="D1192" s="11" t="s">
        <v>38</v>
      </c>
      <c r="E1192" s="17" t="n">
        <v>3230</v>
      </c>
      <c r="F1192" s="11" t="s">
        <v>123</v>
      </c>
      <c r="G1192" s="11" t="s">
        <v>124</v>
      </c>
      <c r="H1192" s="11" t="s">
        <v>125</v>
      </c>
      <c r="I1192" s="11" t="s">
        <v>667</v>
      </c>
      <c r="J1192" s="11" t="s">
        <v>674</v>
      </c>
    </row>
    <row r="1193" customFormat="false" ht="15" hidden="false" customHeight="false" outlineLevel="0" collapsed="false">
      <c r="A1193" s="11" t="s">
        <v>378</v>
      </c>
      <c r="B1193" s="11" t="s">
        <v>379</v>
      </c>
      <c r="C1193" s="11" t="n">
        <v>2019</v>
      </c>
      <c r="D1193" s="11" t="s">
        <v>38</v>
      </c>
      <c r="E1193" s="17" t="n">
        <v>2915</v>
      </c>
      <c r="F1193" s="11" t="s">
        <v>123</v>
      </c>
      <c r="G1193" s="11" t="s">
        <v>124</v>
      </c>
      <c r="H1193" s="11" t="s">
        <v>125</v>
      </c>
      <c r="I1193" s="11" t="s">
        <v>667</v>
      </c>
      <c r="J1193" s="11" t="s">
        <v>674</v>
      </c>
    </row>
    <row r="1194" customFormat="false" ht="15" hidden="false" customHeight="false" outlineLevel="0" collapsed="false">
      <c r="A1194" s="11" t="s">
        <v>378</v>
      </c>
      <c r="B1194" s="11" t="s">
        <v>379</v>
      </c>
      <c r="C1194" s="11" t="n">
        <v>2020</v>
      </c>
      <c r="D1194" s="11" t="s">
        <v>38</v>
      </c>
      <c r="E1194" s="17" t="n">
        <v>1900</v>
      </c>
      <c r="F1194" s="11" t="s">
        <v>123</v>
      </c>
      <c r="G1194" s="11" t="s">
        <v>124</v>
      </c>
      <c r="H1194" s="11" t="s">
        <v>125</v>
      </c>
      <c r="I1194" s="11" t="s">
        <v>667</v>
      </c>
      <c r="J1194" s="11" t="s">
        <v>674</v>
      </c>
    </row>
    <row r="1195" customFormat="false" ht="15" hidden="false" customHeight="false" outlineLevel="0" collapsed="false">
      <c r="A1195" s="11" t="s">
        <v>378</v>
      </c>
      <c r="B1195" s="11" t="s">
        <v>379</v>
      </c>
      <c r="C1195" s="11" t="n">
        <v>2021</v>
      </c>
      <c r="D1195" s="11" t="s">
        <v>38</v>
      </c>
      <c r="E1195" s="17" t="n">
        <v>1430</v>
      </c>
      <c r="F1195" s="11" t="s">
        <v>123</v>
      </c>
      <c r="G1195" s="11" t="s">
        <v>124</v>
      </c>
      <c r="H1195" s="11" t="s">
        <v>125</v>
      </c>
      <c r="I1195" s="11" t="s">
        <v>667</v>
      </c>
      <c r="J1195" s="11" t="s">
        <v>674</v>
      </c>
    </row>
    <row r="1196" customFormat="false" ht="15" hidden="false" customHeight="false" outlineLevel="0" collapsed="false">
      <c r="A1196" s="11" t="s">
        <v>378</v>
      </c>
      <c r="B1196" s="11" t="s">
        <v>379</v>
      </c>
      <c r="C1196" s="11" t="n">
        <v>2022</v>
      </c>
      <c r="D1196" s="11" t="s">
        <v>38</v>
      </c>
      <c r="E1196" s="17" t="n">
        <v>2305</v>
      </c>
      <c r="F1196" s="11" t="s">
        <v>123</v>
      </c>
      <c r="G1196" s="11" t="s">
        <v>124</v>
      </c>
      <c r="H1196" s="11" t="s">
        <v>125</v>
      </c>
      <c r="I1196" s="11" t="s">
        <v>667</v>
      </c>
      <c r="J1196" s="11" t="s">
        <v>674</v>
      </c>
    </row>
    <row r="1197" customFormat="false" ht="15" hidden="false" customHeight="false" outlineLevel="0" collapsed="false">
      <c r="A1197" s="11" t="s">
        <v>378</v>
      </c>
      <c r="B1197" s="11" t="s">
        <v>379</v>
      </c>
      <c r="C1197" s="11" t="n">
        <v>2010</v>
      </c>
      <c r="D1197" s="11" t="s">
        <v>18</v>
      </c>
      <c r="E1197" s="17" t="n">
        <v>4889252</v>
      </c>
      <c r="F1197" s="11" t="s">
        <v>98</v>
      </c>
      <c r="G1197" s="11" t="s">
        <v>99</v>
      </c>
      <c r="H1197" s="11" t="s">
        <v>671</v>
      </c>
      <c r="I1197" s="11" t="s">
        <v>667</v>
      </c>
      <c r="J1197" s="11" t="s">
        <v>672</v>
      </c>
    </row>
    <row r="1198" customFormat="false" ht="15" hidden="false" customHeight="false" outlineLevel="0" collapsed="false">
      <c r="A1198" s="11" t="s">
        <v>378</v>
      </c>
      <c r="B1198" s="11" t="s">
        <v>379</v>
      </c>
      <c r="C1198" s="11" t="n">
        <v>2011</v>
      </c>
      <c r="D1198" s="11" t="s">
        <v>18</v>
      </c>
      <c r="E1198" s="17" t="n">
        <v>4953088</v>
      </c>
      <c r="F1198" s="11" t="s">
        <v>98</v>
      </c>
      <c r="G1198" s="11" t="s">
        <v>99</v>
      </c>
      <c r="H1198" s="11" t="s">
        <v>671</v>
      </c>
      <c r="I1198" s="11" t="s">
        <v>667</v>
      </c>
      <c r="J1198" s="11" t="s">
        <v>672</v>
      </c>
    </row>
    <row r="1199" customFormat="false" ht="15" hidden="false" customHeight="false" outlineLevel="0" collapsed="false">
      <c r="A1199" s="11" t="s">
        <v>378</v>
      </c>
      <c r="B1199" s="11" t="s">
        <v>379</v>
      </c>
      <c r="C1199" s="11" t="n">
        <v>2012</v>
      </c>
      <c r="D1199" s="11" t="s">
        <v>18</v>
      </c>
      <c r="E1199" s="17" t="n">
        <v>5018573</v>
      </c>
      <c r="F1199" s="11" t="s">
        <v>98</v>
      </c>
      <c r="G1199" s="11" t="s">
        <v>99</v>
      </c>
      <c r="H1199" s="11" t="s">
        <v>671</v>
      </c>
      <c r="I1199" s="11" t="s">
        <v>667</v>
      </c>
      <c r="J1199" s="11" t="s">
        <v>672</v>
      </c>
    </row>
    <row r="1200" customFormat="false" ht="15" hidden="false" customHeight="false" outlineLevel="0" collapsed="false">
      <c r="A1200" s="11" t="s">
        <v>378</v>
      </c>
      <c r="B1200" s="11" t="s">
        <v>379</v>
      </c>
      <c r="C1200" s="11" t="n">
        <v>2013</v>
      </c>
      <c r="D1200" s="11" t="s">
        <v>18</v>
      </c>
      <c r="E1200" s="17" t="n">
        <v>5079623</v>
      </c>
      <c r="F1200" s="11" t="s">
        <v>98</v>
      </c>
      <c r="G1200" s="11" t="s">
        <v>99</v>
      </c>
      <c r="H1200" s="11" t="s">
        <v>671</v>
      </c>
      <c r="I1200" s="11" t="s">
        <v>667</v>
      </c>
      <c r="J1200" s="11" t="s">
        <v>672</v>
      </c>
    </row>
    <row r="1201" customFormat="false" ht="15" hidden="false" customHeight="false" outlineLevel="0" collapsed="false">
      <c r="A1201" s="11" t="s">
        <v>378</v>
      </c>
      <c r="B1201" s="11" t="s">
        <v>379</v>
      </c>
      <c r="C1201" s="11" t="n">
        <v>2014</v>
      </c>
      <c r="D1201" s="11" t="s">
        <v>18</v>
      </c>
      <c r="E1201" s="17" t="n">
        <v>5137232</v>
      </c>
      <c r="F1201" s="11" t="s">
        <v>98</v>
      </c>
      <c r="G1201" s="11" t="s">
        <v>99</v>
      </c>
      <c r="H1201" s="11" t="s">
        <v>671</v>
      </c>
      <c r="I1201" s="11" t="s">
        <v>667</v>
      </c>
      <c r="J1201" s="11" t="s">
        <v>672</v>
      </c>
    </row>
    <row r="1202" customFormat="false" ht="15" hidden="false" customHeight="false" outlineLevel="0" collapsed="false">
      <c r="A1202" s="11" t="s">
        <v>378</v>
      </c>
      <c r="B1202" s="11" t="s">
        <v>379</v>
      </c>
      <c r="C1202" s="11" t="n">
        <v>2015</v>
      </c>
      <c r="D1202" s="11" t="s">
        <v>18</v>
      </c>
      <c r="E1202" s="17" t="n">
        <v>5188607</v>
      </c>
      <c r="F1202" s="11" t="s">
        <v>98</v>
      </c>
      <c r="G1202" s="11" t="s">
        <v>99</v>
      </c>
      <c r="H1202" s="11" t="s">
        <v>671</v>
      </c>
      <c r="I1202" s="11" t="s">
        <v>667</v>
      </c>
      <c r="J1202" s="11" t="s">
        <v>672</v>
      </c>
    </row>
    <row r="1203" customFormat="false" ht="15" hidden="false" customHeight="false" outlineLevel="0" collapsed="false">
      <c r="A1203" s="11" t="s">
        <v>378</v>
      </c>
      <c r="B1203" s="11" t="s">
        <v>379</v>
      </c>
      <c r="C1203" s="11" t="n">
        <v>2016</v>
      </c>
      <c r="D1203" s="11" t="s">
        <v>18</v>
      </c>
      <c r="E1203" s="17" t="n">
        <v>5234519</v>
      </c>
      <c r="F1203" s="11" t="s">
        <v>98</v>
      </c>
      <c r="G1203" s="11" t="s">
        <v>99</v>
      </c>
      <c r="H1203" s="11" t="s">
        <v>671</v>
      </c>
      <c r="I1203" s="11" t="s">
        <v>667</v>
      </c>
      <c r="J1203" s="11" t="s">
        <v>672</v>
      </c>
    </row>
    <row r="1204" customFormat="false" ht="15" hidden="false" customHeight="false" outlineLevel="0" collapsed="false">
      <c r="A1204" s="11" t="s">
        <v>378</v>
      </c>
      <c r="B1204" s="11" t="s">
        <v>379</v>
      </c>
      <c r="C1204" s="11" t="n">
        <v>2017</v>
      </c>
      <c r="D1204" s="11" t="s">
        <v>18</v>
      </c>
      <c r="E1204" s="17" t="n">
        <v>5276968</v>
      </c>
      <c r="F1204" s="11" t="s">
        <v>98</v>
      </c>
      <c r="G1204" s="11" t="s">
        <v>99</v>
      </c>
      <c r="H1204" s="11" t="s">
        <v>671</v>
      </c>
      <c r="I1204" s="11" t="s">
        <v>667</v>
      </c>
      <c r="J1204" s="11" t="s">
        <v>672</v>
      </c>
    </row>
    <row r="1205" customFormat="false" ht="15" hidden="false" customHeight="false" outlineLevel="0" collapsed="false">
      <c r="A1205" s="11" t="s">
        <v>378</v>
      </c>
      <c r="B1205" s="11" t="s">
        <v>379</v>
      </c>
      <c r="C1205" s="11" t="n">
        <v>2018</v>
      </c>
      <c r="D1205" s="11" t="s">
        <v>18</v>
      </c>
      <c r="E1205" s="17" t="n">
        <v>5311916</v>
      </c>
      <c r="F1205" s="11" t="s">
        <v>98</v>
      </c>
      <c r="G1205" s="11" t="s">
        <v>99</v>
      </c>
      <c r="H1205" s="11" t="s">
        <v>671</v>
      </c>
      <c r="I1205" s="11" t="s">
        <v>667</v>
      </c>
      <c r="J1205" s="11" t="s">
        <v>672</v>
      </c>
    </row>
    <row r="1206" customFormat="false" ht="15" hidden="false" customHeight="false" outlineLevel="0" collapsed="false">
      <c r="A1206" s="11" t="s">
        <v>378</v>
      </c>
      <c r="B1206" s="11" t="s">
        <v>379</v>
      </c>
      <c r="C1206" s="11" t="n">
        <v>2019</v>
      </c>
      <c r="D1206" s="11" t="s">
        <v>18</v>
      </c>
      <c r="E1206" s="17" t="n">
        <v>5347896</v>
      </c>
      <c r="F1206" s="11" t="s">
        <v>98</v>
      </c>
      <c r="G1206" s="11" t="s">
        <v>99</v>
      </c>
      <c r="H1206" s="11" t="s">
        <v>671</v>
      </c>
      <c r="I1206" s="11" t="s">
        <v>667</v>
      </c>
      <c r="J1206" s="11" t="s">
        <v>672</v>
      </c>
    </row>
    <row r="1207" customFormat="false" ht="15" hidden="false" customHeight="false" outlineLevel="0" collapsed="false">
      <c r="A1207" s="11" t="s">
        <v>378</v>
      </c>
      <c r="B1207" s="11" t="s">
        <v>379</v>
      </c>
      <c r="C1207" s="11" t="n">
        <v>2020</v>
      </c>
      <c r="D1207" s="11" t="s">
        <v>18</v>
      </c>
      <c r="E1207" s="17" t="n">
        <v>5379475</v>
      </c>
      <c r="F1207" s="11" t="s">
        <v>98</v>
      </c>
      <c r="G1207" s="11" t="s">
        <v>99</v>
      </c>
      <c r="H1207" s="11" t="s">
        <v>671</v>
      </c>
      <c r="I1207" s="11" t="s">
        <v>667</v>
      </c>
      <c r="J1207" s="11" t="s">
        <v>672</v>
      </c>
    </row>
    <row r="1208" customFormat="false" ht="15" hidden="false" customHeight="false" outlineLevel="0" collapsed="false">
      <c r="A1208" s="11" t="s">
        <v>378</v>
      </c>
      <c r="B1208" s="11" t="s">
        <v>379</v>
      </c>
      <c r="C1208" s="11" t="n">
        <v>2021</v>
      </c>
      <c r="D1208" s="11" t="s">
        <v>18</v>
      </c>
      <c r="E1208" s="17" t="n">
        <v>5408320</v>
      </c>
      <c r="F1208" s="11" t="s">
        <v>98</v>
      </c>
      <c r="G1208" s="11" t="s">
        <v>99</v>
      </c>
      <c r="H1208" s="11" t="s">
        <v>671</v>
      </c>
      <c r="I1208" s="11" t="s">
        <v>667</v>
      </c>
      <c r="J1208" s="11" t="s">
        <v>672</v>
      </c>
    </row>
    <row r="1209" customFormat="false" ht="15" hidden="false" customHeight="false" outlineLevel="0" collapsed="false">
      <c r="A1209" s="11" t="s">
        <v>378</v>
      </c>
      <c r="B1209" s="11" t="s">
        <v>379</v>
      </c>
      <c r="C1209" s="11" t="n">
        <v>2022</v>
      </c>
      <c r="D1209" s="11" t="s">
        <v>18</v>
      </c>
      <c r="E1209" s="17" t="n">
        <v>5457127</v>
      </c>
      <c r="F1209" s="11" t="s">
        <v>98</v>
      </c>
      <c r="G1209" s="11" t="s">
        <v>99</v>
      </c>
      <c r="H1209" s="11" t="s">
        <v>671</v>
      </c>
      <c r="I1209" s="11" t="s">
        <v>667</v>
      </c>
      <c r="J1209" s="11" t="s">
        <v>672</v>
      </c>
    </row>
    <row r="1210" customFormat="false" ht="15" hidden="false" customHeight="false" outlineLevel="0" collapsed="false">
      <c r="A1210" s="11" t="s">
        <v>359</v>
      </c>
      <c r="B1210" s="11" t="s">
        <v>360</v>
      </c>
      <c r="C1210" s="11" t="n">
        <v>2010</v>
      </c>
      <c r="D1210" s="11" t="s">
        <v>22</v>
      </c>
      <c r="E1210" s="17" t="n">
        <v>956982</v>
      </c>
      <c r="F1210" s="11" t="s">
        <v>306</v>
      </c>
      <c r="G1210" s="11" t="s">
        <v>363</v>
      </c>
      <c r="H1210" s="11" t="s">
        <v>364</v>
      </c>
      <c r="I1210" s="11" t="s">
        <v>667</v>
      </c>
      <c r="J1210" s="11" t="s">
        <v>668</v>
      </c>
    </row>
    <row r="1211" customFormat="false" ht="15" hidden="false" customHeight="false" outlineLevel="0" collapsed="false">
      <c r="A1211" s="11" t="s">
        <v>359</v>
      </c>
      <c r="B1211" s="11" t="s">
        <v>360</v>
      </c>
      <c r="C1211" s="11" t="n">
        <v>2013</v>
      </c>
      <c r="D1211" s="11" t="s">
        <v>22</v>
      </c>
      <c r="E1211" s="17" t="n">
        <v>1001772</v>
      </c>
      <c r="F1211" s="11" t="s">
        <v>101</v>
      </c>
      <c r="G1211" s="11" t="s">
        <v>370</v>
      </c>
      <c r="H1211" s="11" t="s">
        <v>371</v>
      </c>
      <c r="I1211" s="11" t="s">
        <v>667</v>
      </c>
      <c r="J1211" s="11" t="s">
        <v>668</v>
      </c>
    </row>
    <row r="1212" customFormat="false" ht="15" hidden="false" customHeight="false" outlineLevel="0" collapsed="false">
      <c r="A1212" s="11" t="s">
        <v>359</v>
      </c>
      <c r="B1212" s="11" t="s">
        <v>360</v>
      </c>
      <c r="C1212" s="11" t="n">
        <v>2015</v>
      </c>
      <c r="D1212" s="11" t="s">
        <v>22</v>
      </c>
      <c r="E1212" s="17" t="n">
        <v>1132201</v>
      </c>
      <c r="F1212" s="11" t="s">
        <v>306</v>
      </c>
      <c r="G1212" s="11" t="s">
        <v>363</v>
      </c>
      <c r="H1212" s="11" t="s">
        <v>364</v>
      </c>
      <c r="I1212" s="11" t="s">
        <v>667</v>
      </c>
      <c r="J1212" s="11" t="s">
        <v>668</v>
      </c>
    </row>
    <row r="1213" customFormat="false" ht="15" hidden="false" customHeight="false" outlineLevel="0" collapsed="false">
      <c r="A1213" s="11" t="s">
        <v>359</v>
      </c>
      <c r="B1213" s="11" t="s">
        <v>360</v>
      </c>
      <c r="C1213" s="11" t="n">
        <v>2018</v>
      </c>
      <c r="D1213" s="11" t="s">
        <v>22</v>
      </c>
      <c r="E1213" s="17" t="n">
        <v>1329633</v>
      </c>
      <c r="F1213" s="11" t="s">
        <v>101</v>
      </c>
      <c r="G1213" s="11" t="s">
        <v>370</v>
      </c>
      <c r="H1213" s="11" t="s">
        <v>371</v>
      </c>
      <c r="I1213" s="11" t="s">
        <v>667</v>
      </c>
      <c r="J1213" s="11" t="s">
        <v>668</v>
      </c>
    </row>
    <row r="1214" customFormat="false" ht="15" hidden="false" customHeight="false" outlineLevel="0" collapsed="false">
      <c r="A1214" s="11" t="s">
        <v>359</v>
      </c>
      <c r="B1214" s="11" t="s">
        <v>360</v>
      </c>
      <c r="C1214" s="11" t="n">
        <v>2020</v>
      </c>
      <c r="D1214" s="11" t="s">
        <v>22</v>
      </c>
      <c r="E1214" s="17" t="n">
        <v>1343900</v>
      </c>
      <c r="F1214" s="11" t="s">
        <v>306</v>
      </c>
      <c r="G1214" s="11" t="s">
        <v>363</v>
      </c>
      <c r="H1214" s="11" t="s">
        <v>364</v>
      </c>
      <c r="I1214" s="11" t="s">
        <v>667</v>
      </c>
      <c r="J1214" s="11" t="s">
        <v>668</v>
      </c>
    </row>
    <row r="1215" customFormat="false" ht="15" hidden="false" customHeight="false" outlineLevel="0" collapsed="false">
      <c r="A1215" s="11" t="s">
        <v>359</v>
      </c>
      <c r="B1215" s="11" t="s">
        <v>360</v>
      </c>
      <c r="C1215" s="11" t="n">
        <v>2010</v>
      </c>
      <c r="D1215" s="11" t="s">
        <v>34</v>
      </c>
      <c r="E1215" s="17" t="n">
        <v>15614</v>
      </c>
      <c r="F1215" s="11" t="s">
        <v>365</v>
      </c>
      <c r="G1215" s="11" t="s">
        <v>366</v>
      </c>
      <c r="H1215" s="11" t="s">
        <v>367</v>
      </c>
      <c r="I1215" s="11" t="s">
        <v>667</v>
      </c>
      <c r="J1215" s="11" t="s">
        <v>669</v>
      </c>
    </row>
    <row r="1216" customFormat="false" ht="15" hidden="false" customHeight="false" outlineLevel="0" collapsed="false">
      <c r="A1216" s="11" t="s">
        <v>359</v>
      </c>
      <c r="B1216" s="11" t="s">
        <v>360</v>
      </c>
      <c r="C1216" s="11" t="n">
        <v>2011</v>
      </c>
      <c r="D1216" s="11" t="s">
        <v>34</v>
      </c>
      <c r="E1216" s="17" t="n">
        <v>15030</v>
      </c>
      <c r="F1216" s="11" t="s">
        <v>365</v>
      </c>
      <c r="G1216" s="11" t="s">
        <v>366</v>
      </c>
      <c r="H1216" s="11" t="s">
        <v>368</v>
      </c>
      <c r="I1216" s="11" t="s">
        <v>667</v>
      </c>
      <c r="J1216" s="11" t="s">
        <v>669</v>
      </c>
    </row>
    <row r="1217" customFormat="false" ht="15" hidden="false" customHeight="false" outlineLevel="0" collapsed="false">
      <c r="A1217" s="11" t="s">
        <v>359</v>
      </c>
      <c r="B1217" s="11" t="s">
        <v>360</v>
      </c>
      <c r="C1217" s="11" t="n">
        <v>2012</v>
      </c>
      <c r="D1217" s="11" t="s">
        <v>34</v>
      </c>
      <c r="E1217" s="17" t="n">
        <v>14044</v>
      </c>
      <c r="F1217" s="11" t="s">
        <v>365</v>
      </c>
      <c r="G1217" s="11" t="s">
        <v>366</v>
      </c>
      <c r="H1217" s="11" t="s">
        <v>369</v>
      </c>
      <c r="I1217" s="11" t="s">
        <v>667</v>
      </c>
      <c r="J1217" s="11" t="s">
        <v>669</v>
      </c>
    </row>
    <row r="1218" customFormat="false" ht="15" hidden="false" customHeight="false" outlineLevel="0" collapsed="false">
      <c r="A1218" s="11" t="s">
        <v>359</v>
      </c>
      <c r="B1218" s="11" t="s">
        <v>360</v>
      </c>
      <c r="C1218" s="11" t="n">
        <v>2013</v>
      </c>
      <c r="D1218" s="11" t="s">
        <v>34</v>
      </c>
      <c r="E1218" s="17" t="n">
        <v>13151</v>
      </c>
      <c r="F1218" s="11" t="s">
        <v>365</v>
      </c>
      <c r="G1218" s="11" t="s">
        <v>366</v>
      </c>
      <c r="H1218" s="11" t="s">
        <v>372</v>
      </c>
      <c r="I1218" s="11" t="s">
        <v>667</v>
      </c>
      <c r="J1218" s="11" t="s">
        <v>669</v>
      </c>
    </row>
    <row r="1219" customFormat="false" ht="15" hidden="false" customHeight="false" outlineLevel="0" collapsed="false">
      <c r="A1219" s="11" t="s">
        <v>359</v>
      </c>
      <c r="B1219" s="11" t="s">
        <v>360</v>
      </c>
      <c r="C1219" s="11" t="n">
        <v>2014</v>
      </c>
      <c r="D1219" s="11" t="s">
        <v>34</v>
      </c>
      <c r="E1219" s="17" t="n">
        <v>12162</v>
      </c>
      <c r="F1219" s="11" t="s">
        <v>365</v>
      </c>
      <c r="G1219" s="11" t="s">
        <v>366</v>
      </c>
      <c r="H1219" s="11" t="s">
        <v>373</v>
      </c>
      <c r="I1219" s="11" t="s">
        <v>667</v>
      </c>
      <c r="J1219" s="11" t="s">
        <v>669</v>
      </c>
    </row>
    <row r="1220" customFormat="false" ht="15" hidden="false" customHeight="false" outlineLevel="0" collapsed="false">
      <c r="A1220" s="11" t="s">
        <v>359</v>
      </c>
      <c r="B1220" s="11" t="s">
        <v>360</v>
      </c>
      <c r="C1220" s="11" t="n">
        <v>2016</v>
      </c>
      <c r="D1220" s="11" t="s">
        <v>34</v>
      </c>
      <c r="E1220" s="17" t="n">
        <v>10894</v>
      </c>
      <c r="F1220" s="11" t="s">
        <v>365</v>
      </c>
      <c r="G1220" s="11" t="s">
        <v>366</v>
      </c>
      <c r="H1220" s="11" t="s">
        <v>374</v>
      </c>
      <c r="I1220" s="11" t="s">
        <v>667</v>
      </c>
      <c r="J1220" s="11" t="s">
        <v>669</v>
      </c>
    </row>
    <row r="1221" customFormat="false" ht="15" hidden="false" customHeight="false" outlineLevel="0" collapsed="false">
      <c r="A1221" s="11" t="s">
        <v>359</v>
      </c>
      <c r="B1221" s="11" t="s">
        <v>360</v>
      </c>
      <c r="C1221" s="11" t="n">
        <v>2017</v>
      </c>
      <c r="D1221" s="11" t="s">
        <v>34</v>
      </c>
      <c r="E1221" s="17" t="n">
        <v>14000</v>
      </c>
      <c r="F1221" s="11" t="s">
        <v>375</v>
      </c>
      <c r="G1221" s="11" t="s">
        <v>376</v>
      </c>
      <c r="H1221" s="11" t="s">
        <v>377</v>
      </c>
      <c r="I1221" s="11" t="s">
        <v>667</v>
      </c>
      <c r="J1221" s="11" t="s">
        <v>670</v>
      </c>
    </row>
    <row r="1222" customFormat="false" ht="15" hidden="false" customHeight="false" outlineLevel="0" collapsed="false">
      <c r="A1222" s="11" t="s">
        <v>359</v>
      </c>
      <c r="B1222" s="11" t="s">
        <v>360</v>
      </c>
      <c r="C1222" s="11" t="n">
        <v>2010</v>
      </c>
      <c r="D1222" s="11" t="s">
        <v>18</v>
      </c>
      <c r="E1222" s="17" t="n">
        <v>4350700</v>
      </c>
      <c r="F1222" s="11" t="s">
        <v>98</v>
      </c>
      <c r="G1222" s="11" t="s">
        <v>99</v>
      </c>
      <c r="H1222" s="11" t="s">
        <v>671</v>
      </c>
      <c r="I1222" s="11" t="s">
        <v>667</v>
      </c>
      <c r="J1222" s="11" t="s">
        <v>672</v>
      </c>
    </row>
    <row r="1223" customFormat="false" ht="15" hidden="false" customHeight="false" outlineLevel="0" collapsed="false">
      <c r="A1223" s="11" t="s">
        <v>359</v>
      </c>
      <c r="B1223" s="11" t="s">
        <v>360</v>
      </c>
      <c r="C1223" s="11" t="n">
        <v>2011</v>
      </c>
      <c r="D1223" s="11" t="s">
        <v>18</v>
      </c>
      <c r="E1223" s="17" t="n">
        <v>4384000</v>
      </c>
      <c r="F1223" s="11" t="s">
        <v>98</v>
      </c>
      <c r="G1223" s="11" t="s">
        <v>99</v>
      </c>
      <c r="H1223" s="11" t="s">
        <v>671</v>
      </c>
      <c r="I1223" s="11" t="s">
        <v>667</v>
      </c>
      <c r="J1223" s="11" t="s">
        <v>672</v>
      </c>
    </row>
    <row r="1224" customFormat="false" ht="15" hidden="false" customHeight="false" outlineLevel="0" collapsed="false">
      <c r="A1224" s="11" t="s">
        <v>359</v>
      </c>
      <c r="B1224" s="11" t="s">
        <v>360</v>
      </c>
      <c r="C1224" s="11" t="n">
        <v>2012</v>
      </c>
      <c r="D1224" s="11" t="s">
        <v>18</v>
      </c>
      <c r="E1224" s="17" t="n">
        <v>4408100</v>
      </c>
      <c r="F1224" s="11" t="s">
        <v>98</v>
      </c>
      <c r="G1224" s="11" t="s">
        <v>99</v>
      </c>
      <c r="H1224" s="11" t="s">
        <v>671</v>
      </c>
      <c r="I1224" s="11" t="s">
        <v>667</v>
      </c>
      <c r="J1224" s="11" t="s">
        <v>672</v>
      </c>
    </row>
    <row r="1225" customFormat="false" ht="15" hidden="false" customHeight="false" outlineLevel="0" collapsed="false">
      <c r="A1225" s="11" t="s">
        <v>359</v>
      </c>
      <c r="B1225" s="11" t="s">
        <v>360</v>
      </c>
      <c r="C1225" s="11" t="n">
        <v>2013</v>
      </c>
      <c r="D1225" s="11" t="s">
        <v>18</v>
      </c>
      <c r="E1225" s="17" t="n">
        <v>4442100</v>
      </c>
      <c r="F1225" s="11" t="s">
        <v>98</v>
      </c>
      <c r="G1225" s="11" t="s">
        <v>99</v>
      </c>
      <c r="H1225" s="11" t="s">
        <v>671</v>
      </c>
      <c r="I1225" s="11" t="s">
        <v>667</v>
      </c>
      <c r="J1225" s="11" t="s">
        <v>672</v>
      </c>
    </row>
    <row r="1226" customFormat="false" ht="15" hidden="false" customHeight="false" outlineLevel="0" collapsed="false">
      <c r="A1226" s="11" t="s">
        <v>359</v>
      </c>
      <c r="B1226" s="11" t="s">
        <v>360</v>
      </c>
      <c r="C1226" s="11" t="n">
        <v>2014</v>
      </c>
      <c r="D1226" s="11" t="s">
        <v>18</v>
      </c>
      <c r="E1226" s="17" t="n">
        <v>4516500</v>
      </c>
      <c r="F1226" s="11" t="s">
        <v>98</v>
      </c>
      <c r="G1226" s="11" t="s">
        <v>99</v>
      </c>
      <c r="H1226" s="11" t="s">
        <v>671</v>
      </c>
      <c r="I1226" s="11" t="s">
        <v>667</v>
      </c>
      <c r="J1226" s="11" t="s">
        <v>672</v>
      </c>
    </row>
    <row r="1227" customFormat="false" ht="15" hidden="false" customHeight="false" outlineLevel="0" collapsed="false">
      <c r="A1227" s="11" t="s">
        <v>359</v>
      </c>
      <c r="B1227" s="11" t="s">
        <v>360</v>
      </c>
      <c r="C1227" s="11" t="n">
        <v>2015</v>
      </c>
      <c r="D1227" s="11" t="s">
        <v>18</v>
      </c>
      <c r="E1227" s="17" t="n">
        <v>4609400</v>
      </c>
      <c r="F1227" s="11" t="s">
        <v>98</v>
      </c>
      <c r="G1227" s="11" t="s">
        <v>99</v>
      </c>
      <c r="H1227" s="11" t="s">
        <v>671</v>
      </c>
      <c r="I1227" s="11" t="s">
        <v>667</v>
      </c>
      <c r="J1227" s="11" t="s">
        <v>672</v>
      </c>
    </row>
    <row r="1228" customFormat="false" ht="15" hidden="false" customHeight="false" outlineLevel="0" collapsed="false">
      <c r="A1228" s="11" t="s">
        <v>359</v>
      </c>
      <c r="B1228" s="11" t="s">
        <v>360</v>
      </c>
      <c r="C1228" s="11" t="n">
        <v>2016</v>
      </c>
      <c r="D1228" s="11" t="s">
        <v>18</v>
      </c>
      <c r="E1228" s="17" t="n">
        <v>4714100</v>
      </c>
      <c r="F1228" s="11" t="s">
        <v>98</v>
      </c>
      <c r="G1228" s="11" t="s">
        <v>99</v>
      </c>
      <c r="H1228" s="11" t="s">
        <v>671</v>
      </c>
      <c r="I1228" s="11" t="s">
        <v>667</v>
      </c>
      <c r="J1228" s="11" t="s">
        <v>672</v>
      </c>
    </row>
    <row r="1229" customFormat="false" ht="15" hidden="false" customHeight="false" outlineLevel="0" collapsed="false">
      <c r="A1229" s="11" t="s">
        <v>359</v>
      </c>
      <c r="B1229" s="11" t="s">
        <v>360</v>
      </c>
      <c r="C1229" s="11" t="n">
        <v>2017</v>
      </c>
      <c r="D1229" s="11" t="s">
        <v>18</v>
      </c>
      <c r="E1229" s="17" t="n">
        <v>4813600</v>
      </c>
      <c r="F1229" s="11" t="s">
        <v>98</v>
      </c>
      <c r="G1229" s="11" t="s">
        <v>99</v>
      </c>
      <c r="H1229" s="11" t="s">
        <v>671</v>
      </c>
      <c r="I1229" s="11" t="s">
        <v>667</v>
      </c>
      <c r="J1229" s="11" t="s">
        <v>672</v>
      </c>
    </row>
    <row r="1230" customFormat="false" ht="15" hidden="false" customHeight="false" outlineLevel="0" collapsed="false">
      <c r="A1230" s="11" t="s">
        <v>359</v>
      </c>
      <c r="B1230" s="11" t="s">
        <v>360</v>
      </c>
      <c r="C1230" s="11" t="n">
        <v>2018</v>
      </c>
      <c r="D1230" s="11" t="s">
        <v>18</v>
      </c>
      <c r="E1230" s="17" t="n">
        <v>4900600</v>
      </c>
      <c r="F1230" s="11" t="s">
        <v>98</v>
      </c>
      <c r="G1230" s="11" t="s">
        <v>99</v>
      </c>
      <c r="H1230" s="11" t="s">
        <v>671</v>
      </c>
      <c r="I1230" s="11" t="s">
        <v>667</v>
      </c>
      <c r="J1230" s="11" t="s">
        <v>672</v>
      </c>
    </row>
    <row r="1231" customFormat="false" ht="15" hidden="false" customHeight="false" outlineLevel="0" collapsed="false">
      <c r="A1231" s="11" t="s">
        <v>359</v>
      </c>
      <c r="B1231" s="11" t="s">
        <v>360</v>
      </c>
      <c r="C1231" s="11" t="n">
        <v>2019</v>
      </c>
      <c r="D1231" s="11" t="s">
        <v>18</v>
      </c>
      <c r="E1231" s="17" t="n">
        <v>4970300</v>
      </c>
      <c r="F1231" s="11" t="s">
        <v>98</v>
      </c>
      <c r="G1231" s="11" t="s">
        <v>99</v>
      </c>
      <c r="H1231" s="11" t="s">
        <v>671</v>
      </c>
      <c r="I1231" s="11" t="s">
        <v>667</v>
      </c>
      <c r="J1231" s="11" t="s">
        <v>672</v>
      </c>
    </row>
    <row r="1232" customFormat="false" ht="15" hidden="false" customHeight="false" outlineLevel="0" collapsed="false">
      <c r="A1232" s="11" t="s">
        <v>359</v>
      </c>
      <c r="B1232" s="11" t="s">
        <v>360</v>
      </c>
      <c r="C1232" s="11" t="n">
        <v>2020</v>
      </c>
      <c r="D1232" s="11" t="s">
        <v>18</v>
      </c>
      <c r="E1232" s="17" t="n">
        <v>5072400</v>
      </c>
      <c r="F1232" s="11" t="s">
        <v>98</v>
      </c>
      <c r="G1232" s="11" t="s">
        <v>99</v>
      </c>
      <c r="H1232" s="11" t="s">
        <v>671</v>
      </c>
      <c r="I1232" s="11" t="s">
        <v>667</v>
      </c>
      <c r="J1232" s="11" t="s">
        <v>672</v>
      </c>
    </row>
    <row r="1233" customFormat="false" ht="15" hidden="false" customHeight="false" outlineLevel="0" collapsed="false">
      <c r="A1233" s="11" t="s">
        <v>359</v>
      </c>
      <c r="B1233" s="11" t="s">
        <v>360</v>
      </c>
      <c r="C1233" s="11" t="n">
        <v>2021</v>
      </c>
      <c r="D1233" s="11" t="s">
        <v>18</v>
      </c>
      <c r="E1233" s="17" t="n">
        <v>5084600</v>
      </c>
      <c r="F1233" s="11" t="s">
        <v>98</v>
      </c>
      <c r="G1233" s="11" t="s">
        <v>99</v>
      </c>
      <c r="H1233" s="11" t="s">
        <v>671</v>
      </c>
      <c r="I1233" s="11" t="s">
        <v>667</v>
      </c>
      <c r="J1233" s="11" t="s">
        <v>672</v>
      </c>
    </row>
    <row r="1234" customFormat="false" ht="15" hidden="false" customHeight="false" outlineLevel="0" collapsed="false">
      <c r="A1234" s="11" t="s">
        <v>359</v>
      </c>
      <c r="B1234" s="11" t="s">
        <v>360</v>
      </c>
      <c r="C1234" s="11" t="n">
        <v>2022</v>
      </c>
      <c r="D1234" s="11" t="s">
        <v>18</v>
      </c>
      <c r="E1234" s="17" t="n">
        <v>5081700</v>
      </c>
      <c r="F1234" s="11" t="s">
        <v>98</v>
      </c>
      <c r="G1234" s="11" t="s">
        <v>99</v>
      </c>
      <c r="H1234" s="11" t="s">
        <v>671</v>
      </c>
      <c r="I1234" s="11" t="s">
        <v>667</v>
      </c>
      <c r="J1234" s="11" t="s">
        <v>672</v>
      </c>
    </row>
    <row r="1235" customFormat="false" ht="15" hidden="false" customHeight="false" outlineLevel="0" collapsed="false">
      <c r="A1235" s="11" t="s">
        <v>384</v>
      </c>
      <c r="B1235" s="11" t="s">
        <v>385</v>
      </c>
      <c r="C1235" s="11" t="n">
        <v>2010</v>
      </c>
      <c r="D1235" s="11" t="s">
        <v>22</v>
      </c>
      <c r="E1235" s="17" t="n">
        <v>178147</v>
      </c>
      <c r="F1235" s="11" t="s">
        <v>167</v>
      </c>
      <c r="G1235" s="11" t="s">
        <v>168</v>
      </c>
      <c r="H1235" s="11" t="s">
        <v>174</v>
      </c>
      <c r="I1235" s="11" t="s">
        <v>667</v>
      </c>
      <c r="J1235" s="11" t="s">
        <v>676</v>
      </c>
    </row>
    <row r="1236" customFormat="false" ht="15" hidden="false" customHeight="false" outlineLevel="0" collapsed="false">
      <c r="A1236" s="11" t="s">
        <v>384</v>
      </c>
      <c r="B1236" s="11" t="s">
        <v>385</v>
      </c>
      <c r="C1236" s="11" t="n">
        <v>2015</v>
      </c>
      <c r="D1236" s="11" t="s">
        <v>22</v>
      </c>
      <c r="E1236" s="17" t="n">
        <v>131897</v>
      </c>
      <c r="F1236" s="11" t="s">
        <v>167</v>
      </c>
      <c r="G1236" s="11" t="s">
        <v>168</v>
      </c>
      <c r="H1236" s="11" t="s">
        <v>174</v>
      </c>
      <c r="I1236" s="11" t="s">
        <v>667</v>
      </c>
      <c r="J1236" s="11" t="s">
        <v>676</v>
      </c>
    </row>
    <row r="1237" customFormat="false" ht="15" hidden="false" customHeight="false" outlineLevel="0" collapsed="false">
      <c r="A1237" s="11" t="s">
        <v>384</v>
      </c>
      <c r="B1237" s="11" t="s">
        <v>385</v>
      </c>
      <c r="C1237" s="11" t="n">
        <v>2020</v>
      </c>
      <c r="D1237" s="11" t="s">
        <v>22</v>
      </c>
      <c r="E1237" s="17" t="n">
        <v>87212</v>
      </c>
      <c r="F1237" s="11" t="s">
        <v>167</v>
      </c>
      <c r="G1237" s="11" t="s">
        <v>168</v>
      </c>
      <c r="H1237" s="11" t="s">
        <v>174</v>
      </c>
      <c r="I1237" s="11" t="s">
        <v>667</v>
      </c>
      <c r="J1237" s="11" t="s">
        <v>676</v>
      </c>
    </row>
    <row r="1238" customFormat="false" ht="15" hidden="false" customHeight="false" outlineLevel="0" collapsed="false">
      <c r="A1238" s="11" t="s">
        <v>384</v>
      </c>
      <c r="B1238" s="11" t="s">
        <v>385</v>
      </c>
      <c r="C1238" s="11" t="n">
        <v>2010</v>
      </c>
      <c r="D1238" s="11" t="s">
        <v>26</v>
      </c>
      <c r="E1238" s="17" t="n">
        <v>177368</v>
      </c>
      <c r="F1238" s="11" t="s">
        <v>388</v>
      </c>
      <c r="G1238" s="11" t="s">
        <v>389</v>
      </c>
      <c r="H1238" s="11" t="s">
        <v>390</v>
      </c>
      <c r="I1238" s="11" t="s">
        <v>667</v>
      </c>
      <c r="J1238" s="11" t="s">
        <v>676</v>
      </c>
    </row>
    <row r="1239" customFormat="false" ht="15" hidden="false" customHeight="false" outlineLevel="0" collapsed="false">
      <c r="A1239" s="11" t="s">
        <v>384</v>
      </c>
      <c r="B1239" s="11" t="s">
        <v>385</v>
      </c>
      <c r="C1239" s="11" t="n">
        <v>2020</v>
      </c>
      <c r="D1239" s="11" t="s">
        <v>26</v>
      </c>
      <c r="E1239" s="17" t="n">
        <v>78396</v>
      </c>
      <c r="F1239" s="11" t="s">
        <v>391</v>
      </c>
      <c r="G1239" s="11" t="s">
        <v>392</v>
      </c>
      <c r="H1239" s="11" t="s">
        <v>393</v>
      </c>
      <c r="I1239" s="11" t="s">
        <v>667</v>
      </c>
      <c r="J1239" s="11" t="s">
        <v>676</v>
      </c>
    </row>
    <row r="1240" customFormat="false" ht="15" hidden="false" customHeight="false" outlineLevel="0" collapsed="false">
      <c r="A1240" s="11" t="s">
        <v>384</v>
      </c>
      <c r="B1240" s="11" t="s">
        <v>385</v>
      </c>
      <c r="C1240" s="11" t="n">
        <v>2010</v>
      </c>
      <c r="D1240" s="11" t="s">
        <v>18</v>
      </c>
      <c r="E1240" s="17" t="n">
        <v>96337125</v>
      </c>
      <c r="F1240" s="11" t="s">
        <v>98</v>
      </c>
      <c r="G1240" s="11" t="s">
        <v>99</v>
      </c>
      <c r="H1240" s="11" t="s">
        <v>671</v>
      </c>
      <c r="I1240" s="11" t="s">
        <v>667</v>
      </c>
      <c r="J1240" s="11" t="s">
        <v>672</v>
      </c>
    </row>
    <row r="1241" customFormat="false" ht="15" hidden="false" customHeight="false" outlineLevel="0" collapsed="false">
      <c r="A1241" s="11" t="s">
        <v>384</v>
      </c>
      <c r="B1241" s="11" t="s">
        <v>385</v>
      </c>
      <c r="C1241" s="11" t="n">
        <v>2011</v>
      </c>
      <c r="D1241" s="11" t="s">
        <v>18</v>
      </c>
      <c r="E1241" s="17" t="n">
        <v>98248614</v>
      </c>
      <c r="F1241" s="11" t="s">
        <v>98</v>
      </c>
      <c r="G1241" s="11" t="s">
        <v>99</v>
      </c>
      <c r="H1241" s="11" t="s">
        <v>671</v>
      </c>
      <c r="I1241" s="11" t="s">
        <v>667</v>
      </c>
      <c r="J1241" s="11" t="s">
        <v>672</v>
      </c>
    </row>
    <row r="1242" customFormat="false" ht="15" hidden="false" customHeight="false" outlineLevel="0" collapsed="false">
      <c r="A1242" s="11" t="s">
        <v>384</v>
      </c>
      <c r="B1242" s="11" t="s">
        <v>385</v>
      </c>
      <c r="C1242" s="11" t="n">
        <v>2012</v>
      </c>
      <c r="D1242" s="11" t="s">
        <v>18</v>
      </c>
      <c r="E1242" s="17" t="n">
        <v>100175512</v>
      </c>
      <c r="F1242" s="11" t="s">
        <v>98</v>
      </c>
      <c r="G1242" s="11" t="s">
        <v>99</v>
      </c>
      <c r="H1242" s="11" t="s">
        <v>671</v>
      </c>
      <c r="I1242" s="11" t="s">
        <v>667</v>
      </c>
      <c r="J1242" s="11" t="s">
        <v>672</v>
      </c>
    </row>
    <row r="1243" customFormat="false" ht="15" hidden="false" customHeight="false" outlineLevel="0" collapsed="false">
      <c r="A1243" s="11" t="s">
        <v>384</v>
      </c>
      <c r="B1243" s="11" t="s">
        <v>385</v>
      </c>
      <c r="C1243" s="11" t="n">
        <v>2013</v>
      </c>
      <c r="D1243" s="11" t="s">
        <v>18</v>
      </c>
      <c r="E1243" s="17" t="n">
        <v>102076336</v>
      </c>
      <c r="F1243" s="11" t="s">
        <v>98</v>
      </c>
      <c r="G1243" s="11" t="s">
        <v>99</v>
      </c>
      <c r="H1243" s="11" t="s">
        <v>671</v>
      </c>
      <c r="I1243" s="11" t="s">
        <v>667</v>
      </c>
      <c r="J1243" s="11" t="s">
        <v>672</v>
      </c>
    </row>
    <row r="1244" customFormat="false" ht="15" hidden="false" customHeight="false" outlineLevel="0" collapsed="false">
      <c r="A1244" s="11" t="s">
        <v>384</v>
      </c>
      <c r="B1244" s="11" t="s">
        <v>385</v>
      </c>
      <c r="C1244" s="11" t="n">
        <v>2014</v>
      </c>
      <c r="D1244" s="11" t="s">
        <v>18</v>
      </c>
      <c r="E1244" s="17" t="n">
        <v>103767130</v>
      </c>
      <c r="F1244" s="11" t="s">
        <v>98</v>
      </c>
      <c r="G1244" s="11" t="s">
        <v>99</v>
      </c>
      <c r="H1244" s="11" t="s">
        <v>671</v>
      </c>
      <c r="I1244" s="11" t="s">
        <v>667</v>
      </c>
      <c r="J1244" s="11" t="s">
        <v>672</v>
      </c>
    </row>
    <row r="1245" customFormat="false" ht="15" hidden="false" customHeight="false" outlineLevel="0" collapsed="false">
      <c r="A1245" s="11" t="s">
        <v>384</v>
      </c>
      <c r="B1245" s="11" t="s">
        <v>385</v>
      </c>
      <c r="C1245" s="11" t="n">
        <v>2015</v>
      </c>
      <c r="D1245" s="11" t="s">
        <v>18</v>
      </c>
      <c r="E1245" s="17" t="n">
        <v>105312992</v>
      </c>
      <c r="F1245" s="11" t="s">
        <v>98</v>
      </c>
      <c r="G1245" s="11" t="s">
        <v>99</v>
      </c>
      <c r="H1245" s="11" t="s">
        <v>671</v>
      </c>
      <c r="I1245" s="11" t="s">
        <v>667</v>
      </c>
      <c r="J1245" s="11" t="s">
        <v>672</v>
      </c>
    </row>
    <row r="1246" customFormat="false" ht="15" hidden="false" customHeight="false" outlineLevel="0" collapsed="false">
      <c r="A1246" s="11" t="s">
        <v>384</v>
      </c>
      <c r="B1246" s="11" t="s">
        <v>385</v>
      </c>
      <c r="C1246" s="11" t="n">
        <v>2016</v>
      </c>
      <c r="D1246" s="11" t="s">
        <v>18</v>
      </c>
      <c r="E1246" s="17" t="n">
        <v>106735719</v>
      </c>
      <c r="F1246" s="11" t="s">
        <v>98</v>
      </c>
      <c r="G1246" s="11" t="s">
        <v>99</v>
      </c>
      <c r="H1246" s="11" t="s">
        <v>671</v>
      </c>
      <c r="I1246" s="11" t="s">
        <v>667</v>
      </c>
      <c r="J1246" s="11" t="s">
        <v>672</v>
      </c>
    </row>
    <row r="1247" customFormat="false" ht="15" hidden="false" customHeight="false" outlineLevel="0" collapsed="false">
      <c r="A1247" s="11" t="s">
        <v>384</v>
      </c>
      <c r="B1247" s="11" t="s">
        <v>385</v>
      </c>
      <c r="C1247" s="11" t="n">
        <v>2017</v>
      </c>
      <c r="D1247" s="11" t="s">
        <v>18</v>
      </c>
      <c r="E1247" s="17" t="n">
        <v>108119693</v>
      </c>
      <c r="F1247" s="11" t="s">
        <v>98</v>
      </c>
      <c r="G1247" s="11" t="s">
        <v>99</v>
      </c>
      <c r="H1247" s="11" t="s">
        <v>671</v>
      </c>
      <c r="I1247" s="11" t="s">
        <v>667</v>
      </c>
      <c r="J1247" s="11" t="s">
        <v>672</v>
      </c>
    </row>
    <row r="1248" customFormat="false" ht="15" hidden="false" customHeight="false" outlineLevel="0" collapsed="false">
      <c r="A1248" s="11" t="s">
        <v>384</v>
      </c>
      <c r="B1248" s="11" t="s">
        <v>385</v>
      </c>
      <c r="C1248" s="11" t="n">
        <v>2018</v>
      </c>
      <c r="D1248" s="11" t="s">
        <v>18</v>
      </c>
      <c r="E1248" s="17" t="n">
        <v>109465287</v>
      </c>
      <c r="F1248" s="11" t="s">
        <v>98</v>
      </c>
      <c r="G1248" s="11" t="s">
        <v>99</v>
      </c>
      <c r="H1248" s="11" t="s">
        <v>671</v>
      </c>
      <c r="I1248" s="11" t="s">
        <v>667</v>
      </c>
      <c r="J1248" s="11" t="s">
        <v>672</v>
      </c>
    </row>
    <row r="1249" customFormat="false" ht="15" hidden="false" customHeight="false" outlineLevel="0" collapsed="false">
      <c r="A1249" s="11" t="s">
        <v>384</v>
      </c>
      <c r="B1249" s="11" t="s">
        <v>385</v>
      </c>
      <c r="C1249" s="11" t="n">
        <v>2019</v>
      </c>
      <c r="D1249" s="11" t="s">
        <v>18</v>
      </c>
      <c r="E1249" s="17" t="n">
        <v>110804683</v>
      </c>
      <c r="F1249" s="11" t="s">
        <v>98</v>
      </c>
      <c r="G1249" s="11" t="s">
        <v>99</v>
      </c>
      <c r="H1249" s="11" t="s">
        <v>671</v>
      </c>
      <c r="I1249" s="11" t="s">
        <v>667</v>
      </c>
      <c r="J1249" s="11" t="s">
        <v>672</v>
      </c>
    </row>
    <row r="1250" customFormat="false" ht="15" hidden="false" customHeight="false" outlineLevel="0" collapsed="false">
      <c r="A1250" s="11" t="s">
        <v>384</v>
      </c>
      <c r="B1250" s="11" t="s">
        <v>385</v>
      </c>
      <c r="C1250" s="11" t="n">
        <v>2020</v>
      </c>
      <c r="D1250" s="11" t="s">
        <v>18</v>
      </c>
      <c r="E1250" s="17" t="n">
        <v>112081264</v>
      </c>
      <c r="F1250" s="11" t="s">
        <v>98</v>
      </c>
      <c r="G1250" s="11" t="s">
        <v>99</v>
      </c>
      <c r="H1250" s="11" t="s">
        <v>671</v>
      </c>
      <c r="I1250" s="11" t="s">
        <v>667</v>
      </c>
      <c r="J1250" s="11" t="s">
        <v>672</v>
      </c>
    </row>
    <row r="1251" customFormat="false" ht="15" hidden="false" customHeight="false" outlineLevel="0" collapsed="false">
      <c r="A1251" s="11" t="s">
        <v>384</v>
      </c>
      <c r="B1251" s="11" t="s">
        <v>385</v>
      </c>
      <c r="C1251" s="11" t="n">
        <v>2021</v>
      </c>
      <c r="D1251" s="11" t="s">
        <v>18</v>
      </c>
      <c r="E1251" s="17" t="n">
        <v>113100950</v>
      </c>
      <c r="F1251" s="11" t="s">
        <v>98</v>
      </c>
      <c r="G1251" s="11" t="s">
        <v>99</v>
      </c>
      <c r="H1251" s="11" t="s">
        <v>671</v>
      </c>
      <c r="I1251" s="11" t="s">
        <v>667</v>
      </c>
      <c r="J1251" s="11" t="s">
        <v>672</v>
      </c>
    </row>
    <row r="1252" customFormat="false" ht="15" hidden="false" customHeight="false" outlineLevel="0" collapsed="false">
      <c r="A1252" s="11" t="s">
        <v>384</v>
      </c>
      <c r="B1252" s="11" t="s">
        <v>385</v>
      </c>
      <c r="C1252" s="11" t="n">
        <v>2022</v>
      </c>
      <c r="D1252" s="11" t="s">
        <v>18</v>
      </c>
      <c r="E1252" s="17" t="n">
        <v>113964338</v>
      </c>
      <c r="F1252" s="11" t="s">
        <v>98</v>
      </c>
      <c r="G1252" s="11" t="s">
        <v>99</v>
      </c>
      <c r="H1252" s="11" t="s">
        <v>671</v>
      </c>
      <c r="I1252" s="11" t="s">
        <v>667</v>
      </c>
      <c r="J1252" s="11" t="s">
        <v>672</v>
      </c>
    </row>
    <row r="1253" customFormat="false" ht="15" hidden="false" customHeight="false" outlineLevel="0" collapsed="false">
      <c r="A1253" s="11" t="s">
        <v>394</v>
      </c>
      <c r="B1253" s="11" t="s">
        <v>395</v>
      </c>
      <c r="C1253" s="11" t="n">
        <v>2010</v>
      </c>
      <c r="D1253" s="11" t="s">
        <v>22</v>
      </c>
      <c r="E1253" s="17" t="n">
        <v>642417</v>
      </c>
      <c r="F1253" s="11" t="s">
        <v>116</v>
      </c>
      <c r="G1253" s="11" t="s">
        <v>398</v>
      </c>
      <c r="H1253" s="11" t="s">
        <v>118</v>
      </c>
      <c r="I1253" s="11" t="s">
        <v>667</v>
      </c>
      <c r="J1253" s="11" t="s">
        <v>673</v>
      </c>
    </row>
    <row r="1254" customFormat="false" ht="15" hidden="false" customHeight="false" outlineLevel="0" collapsed="false">
      <c r="A1254" s="11" t="s">
        <v>394</v>
      </c>
      <c r="B1254" s="11" t="s">
        <v>395</v>
      </c>
      <c r="C1254" s="11" t="n">
        <v>2011</v>
      </c>
      <c r="D1254" s="11" t="s">
        <v>22</v>
      </c>
      <c r="E1254" s="17" t="n">
        <v>637408</v>
      </c>
      <c r="F1254" s="11" t="s">
        <v>116</v>
      </c>
      <c r="G1254" s="11" t="s">
        <v>398</v>
      </c>
      <c r="H1254" s="11" t="s">
        <v>118</v>
      </c>
      <c r="I1254" s="11" t="s">
        <v>667</v>
      </c>
      <c r="J1254" s="11" t="s">
        <v>673</v>
      </c>
    </row>
    <row r="1255" customFormat="false" ht="15" hidden="false" customHeight="false" outlineLevel="0" collapsed="false">
      <c r="A1255" s="11" t="s">
        <v>394</v>
      </c>
      <c r="B1255" s="11" t="s">
        <v>395</v>
      </c>
      <c r="C1255" s="11" t="n">
        <v>2012</v>
      </c>
      <c r="D1255" s="11" t="s">
        <v>22</v>
      </c>
      <c r="E1255" s="17" t="n">
        <v>630478</v>
      </c>
      <c r="F1255" s="11" t="s">
        <v>116</v>
      </c>
      <c r="G1255" s="11" t="s">
        <v>398</v>
      </c>
      <c r="H1255" s="11" t="s">
        <v>118</v>
      </c>
      <c r="I1255" s="11" t="s">
        <v>667</v>
      </c>
      <c r="J1255" s="11" t="s">
        <v>673</v>
      </c>
    </row>
    <row r="1256" customFormat="false" ht="15" hidden="false" customHeight="false" outlineLevel="0" collapsed="false">
      <c r="A1256" s="11" t="s">
        <v>394</v>
      </c>
      <c r="B1256" s="11" t="s">
        <v>395</v>
      </c>
      <c r="C1256" s="11" t="n">
        <v>2013</v>
      </c>
      <c r="D1256" s="11" t="s">
        <v>22</v>
      </c>
      <c r="E1256" s="17" t="n">
        <v>625363</v>
      </c>
      <c r="F1256" s="11" t="s">
        <v>116</v>
      </c>
      <c r="G1256" s="11" t="s">
        <v>398</v>
      </c>
      <c r="H1256" s="11" t="s">
        <v>118</v>
      </c>
      <c r="I1256" s="11" t="s">
        <v>667</v>
      </c>
      <c r="J1256" s="11" t="s">
        <v>673</v>
      </c>
    </row>
    <row r="1257" customFormat="false" ht="15" hidden="false" customHeight="false" outlineLevel="0" collapsed="false">
      <c r="A1257" s="11" t="s">
        <v>394</v>
      </c>
      <c r="B1257" s="11" t="s">
        <v>395</v>
      </c>
      <c r="C1257" s="11" t="n">
        <v>2014</v>
      </c>
      <c r="D1257" s="11" t="s">
        <v>22</v>
      </c>
      <c r="E1257" s="17" t="n">
        <v>620308</v>
      </c>
      <c r="F1257" s="11" t="s">
        <v>116</v>
      </c>
      <c r="G1257" s="11" t="s">
        <v>398</v>
      </c>
      <c r="H1257" s="11" t="s">
        <v>118</v>
      </c>
      <c r="I1257" s="11" t="s">
        <v>667</v>
      </c>
      <c r="J1257" s="11" t="s">
        <v>673</v>
      </c>
    </row>
    <row r="1258" customFormat="false" ht="15" hidden="false" customHeight="false" outlineLevel="0" collapsed="false">
      <c r="A1258" s="11" t="s">
        <v>394</v>
      </c>
      <c r="B1258" s="11" t="s">
        <v>395</v>
      </c>
      <c r="C1258" s="11" t="n">
        <v>2015</v>
      </c>
      <c r="D1258" s="11" t="s">
        <v>22</v>
      </c>
      <c r="E1258" s="17" t="n">
        <v>611855</v>
      </c>
      <c r="F1258" s="11" t="s">
        <v>116</v>
      </c>
      <c r="G1258" s="11" t="s">
        <v>398</v>
      </c>
      <c r="H1258" s="11" t="s">
        <v>118</v>
      </c>
      <c r="I1258" s="11" t="s">
        <v>667</v>
      </c>
      <c r="J1258" s="11" t="s">
        <v>673</v>
      </c>
    </row>
    <row r="1259" customFormat="false" ht="15" hidden="false" customHeight="false" outlineLevel="0" collapsed="false">
      <c r="A1259" s="11" t="s">
        <v>394</v>
      </c>
      <c r="B1259" s="11" t="s">
        <v>395</v>
      </c>
      <c r="C1259" s="11" t="n">
        <v>2016</v>
      </c>
      <c r="D1259" s="11" t="s">
        <v>22</v>
      </c>
      <c r="E1259" s="17" t="n">
        <v>626396</v>
      </c>
      <c r="F1259" s="11" t="s">
        <v>116</v>
      </c>
      <c r="G1259" s="11" t="s">
        <v>398</v>
      </c>
      <c r="H1259" s="11" t="s">
        <v>118</v>
      </c>
      <c r="I1259" s="11" t="s">
        <v>667</v>
      </c>
      <c r="J1259" s="11" t="s">
        <v>673</v>
      </c>
    </row>
    <row r="1260" customFormat="false" ht="15" hidden="false" customHeight="false" outlineLevel="0" collapsed="false">
      <c r="A1260" s="11" t="s">
        <v>394</v>
      </c>
      <c r="B1260" s="11" t="s">
        <v>395</v>
      </c>
      <c r="C1260" s="11" t="n">
        <v>2017</v>
      </c>
      <c r="D1260" s="11" t="s">
        <v>22</v>
      </c>
      <c r="E1260" s="17" t="n">
        <v>651845</v>
      </c>
      <c r="F1260" s="11" t="s">
        <v>116</v>
      </c>
      <c r="G1260" s="11" t="s">
        <v>398</v>
      </c>
      <c r="H1260" s="11" t="s">
        <v>118</v>
      </c>
      <c r="I1260" s="11" t="s">
        <v>667</v>
      </c>
      <c r="J1260" s="11" t="s">
        <v>673</v>
      </c>
    </row>
    <row r="1261" customFormat="false" ht="15" hidden="false" customHeight="false" outlineLevel="0" collapsed="false">
      <c r="A1261" s="11" t="s">
        <v>394</v>
      </c>
      <c r="B1261" s="11" t="s">
        <v>395</v>
      </c>
      <c r="C1261" s="11" t="n">
        <v>2018</v>
      </c>
      <c r="D1261" s="11" t="s">
        <v>22</v>
      </c>
      <c r="E1261" s="17" t="n">
        <v>695850</v>
      </c>
      <c r="F1261" s="11" t="s">
        <v>116</v>
      </c>
      <c r="G1261" s="11" t="s">
        <v>398</v>
      </c>
      <c r="H1261" s="11" t="s">
        <v>118</v>
      </c>
      <c r="I1261" s="11" t="s">
        <v>667</v>
      </c>
      <c r="J1261" s="11" t="s">
        <v>673</v>
      </c>
    </row>
    <row r="1262" customFormat="false" ht="15" hidden="false" customHeight="false" outlineLevel="0" collapsed="false">
      <c r="A1262" s="11" t="s">
        <v>394</v>
      </c>
      <c r="B1262" s="11" t="s">
        <v>395</v>
      </c>
      <c r="C1262" s="11" t="n">
        <v>2019</v>
      </c>
      <c r="D1262" s="11" t="s">
        <v>22</v>
      </c>
      <c r="E1262" s="17" t="n">
        <v>760849</v>
      </c>
      <c r="F1262" s="11" t="s">
        <v>116</v>
      </c>
      <c r="G1262" s="11" t="s">
        <v>398</v>
      </c>
      <c r="H1262" s="11" t="s">
        <v>118</v>
      </c>
      <c r="I1262" s="11" t="s">
        <v>667</v>
      </c>
      <c r="J1262" s="11" t="s">
        <v>673</v>
      </c>
    </row>
    <row r="1263" customFormat="false" ht="15" hidden="false" customHeight="false" outlineLevel="0" collapsed="false">
      <c r="A1263" s="11" t="s">
        <v>394</v>
      </c>
      <c r="B1263" s="11" t="s">
        <v>395</v>
      </c>
      <c r="C1263" s="11" t="n">
        <v>2020</v>
      </c>
      <c r="D1263" s="11" t="s">
        <v>22</v>
      </c>
      <c r="E1263" s="17" t="n">
        <v>849320</v>
      </c>
      <c r="F1263" s="11" t="s">
        <v>116</v>
      </c>
      <c r="G1263" s="11" t="s">
        <v>398</v>
      </c>
      <c r="H1263" s="11" t="s">
        <v>118</v>
      </c>
      <c r="I1263" s="11" t="s">
        <v>667</v>
      </c>
      <c r="J1263" s="11" t="s">
        <v>673</v>
      </c>
    </row>
    <row r="1264" customFormat="false" ht="15" hidden="false" customHeight="false" outlineLevel="0" collapsed="false">
      <c r="A1264" s="11" t="s">
        <v>394</v>
      </c>
      <c r="B1264" s="11" t="s">
        <v>395</v>
      </c>
      <c r="C1264" s="11" t="n">
        <v>2021</v>
      </c>
      <c r="D1264" s="11" t="s">
        <v>22</v>
      </c>
      <c r="E1264" s="17" t="n">
        <v>935740</v>
      </c>
      <c r="F1264" s="11" t="s">
        <v>116</v>
      </c>
      <c r="G1264" s="11" t="s">
        <v>398</v>
      </c>
      <c r="H1264" s="11" t="s">
        <v>118</v>
      </c>
      <c r="I1264" s="11" t="s">
        <v>667</v>
      </c>
      <c r="J1264" s="11" t="s">
        <v>673</v>
      </c>
    </row>
    <row r="1265" customFormat="false" ht="15" hidden="false" customHeight="false" outlineLevel="0" collapsed="false">
      <c r="A1265" s="11" t="s">
        <v>394</v>
      </c>
      <c r="B1265" s="11" t="s">
        <v>395</v>
      </c>
      <c r="C1265" s="11" t="n">
        <v>2022</v>
      </c>
      <c r="D1265" s="11" t="s">
        <v>22</v>
      </c>
      <c r="E1265" s="17" t="n">
        <v>931158</v>
      </c>
      <c r="F1265" s="11" t="s">
        <v>116</v>
      </c>
      <c r="G1265" s="11" t="s">
        <v>398</v>
      </c>
      <c r="H1265" s="11" t="s">
        <v>118</v>
      </c>
      <c r="I1265" s="11" t="s">
        <v>667</v>
      </c>
      <c r="J1265" s="11" t="s">
        <v>673</v>
      </c>
    </row>
    <row r="1266" customFormat="false" ht="15" hidden="false" customHeight="false" outlineLevel="0" collapsed="false">
      <c r="A1266" s="11" t="s">
        <v>394</v>
      </c>
      <c r="B1266" s="11" t="s">
        <v>395</v>
      </c>
      <c r="C1266" s="11" t="n">
        <v>2010</v>
      </c>
      <c r="D1266" s="11" t="s">
        <v>26</v>
      </c>
      <c r="E1266" s="17" t="n">
        <v>75210</v>
      </c>
      <c r="F1266" s="11" t="s">
        <v>119</v>
      </c>
      <c r="G1266" s="11" t="s">
        <v>399</v>
      </c>
      <c r="H1266" s="11" t="s">
        <v>121</v>
      </c>
      <c r="I1266" s="11" t="s">
        <v>667</v>
      </c>
      <c r="J1266" s="11" t="s">
        <v>673</v>
      </c>
    </row>
    <row r="1267" customFormat="false" ht="15" hidden="false" customHeight="false" outlineLevel="0" collapsed="false">
      <c r="A1267" s="11" t="s">
        <v>394</v>
      </c>
      <c r="B1267" s="11" t="s">
        <v>395</v>
      </c>
      <c r="C1267" s="11" t="n">
        <v>2011</v>
      </c>
      <c r="D1267" s="11" t="s">
        <v>26</v>
      </c>
      <c r="E1267" s="17" t="n">
        <v>79338</v>
      </c>
      <c r="F1267" s="11" t="s">
        <v>119</v>
      </c>
      <c r="G1267" s="11" t="s">
        <v>399</v>
      </c>
      <c r="H1267" s="11" t="s">
        <v>121</v>
      </c>
      <c r="I1267" s="11" t="s">
        <v>667</v>
      </c>
      <c r="J1267" s="11" t="s">
        <v>673</v>
      </c>
    </row>
    <row r="1268" customFormat="false" ht="15" hidden="false" customHeight="false" outlineLevel="0" collapsed="false">
      <c r="A1268" s="11" t="s">
        <v>394</v>
      </c>
      <c r="B1268" s="11" t="s">
        <v>395</v>
      </c>
      <c r="C1268" s="11" t="n">
        <v>2012</v>
      </c>
      <c r="D1268" s="11" t="s">
        <v>26</v>
      </c>
      <c r="E1268" s="17" t="n">
        <v>85829</v>
      </c>
      <c r="F1268" s="11" t="s">
        <v>119</v>
      </c>
      <c r="G1268" s="11" t="s">
        <v>399</v>
      </c>
      <c r="H1268" s="11" t="s">
        <v>121</v>
      </c>
      <c r="I1268" s="11" t="s">
        <v>667</v>
      </c>
      <c r="J1268" s="11" t="s">
        <v>673</v>
      </c>
    </row>
    <row r="1269" customFormat="false" ht="15" hidden="false" customHeight="false" outlineLevel="0" collapsed="false">
      <c r="A1269" s="11" t="s">
        <v>394</v>
      </c>
      <c r="B1269" s="11" t="s">
        <v>395</v>
      </c>
      <c r="C1269" s="11" t="n">
        <v>2013</v>
      </c>
      <c r="D1269" s="11" t="s">
        <v>26</v>
      </c>
      <c r="E1269" s="17" t="n">
        <v>93265</v>
      </c>
      <c r="F1269" s="11" t="s">
        <v>119</v>
      </c>
      <c r="G1269" s="11" t="s">
        <v>399</v>
      </c>
      <c r="H1269" s="11" t="s">
        <v>121</v>
      </c>
      <c r="I1269" s="11" t="s">
        <v>667</v>
      </c>
      <c r="J1269" s="11" t="s">
        <v>673</v>
      </c>
    </row>
    <row r="1270" customFormat="false" ht="15" hidden="false" customHeight="false" outlineLevel="0" collapsed="false">
      <c r="A1270" s="11" t="s">
        <v>394</v>
      </c>
      <c r="B1270" s="11" t="s">
        <v>395</v>
      </c>
      <c r="C1270" s="11" t="n">
        <v>2014</v>
      </c>
      <c r="D1270" s="11" t="s">
        <v>26</v>
      </c>
      <c r="E1270" s="17" t="n">
        <v>101204</v>
      </c>
      <c r="F1270" s="11" t="s">
        <v>119</v>
      </c>
      <c r="G1270" s="11" t="s">
        <v>399</v>
      </c>
      <c r="H1270" s="11" t="s">
        <v>121</v>
      </c>
      <c r="I1270" s="11" t="s">
        <v>667</v>
      </c>
      <c r="J1270" s="11" t="s">
        <v>673</v>
      </c>
    </row>
    <row r="1271" customFormat="false" ht="15" hidden="false" customHeight="false" outlineLevel="0" collapsed="false">
      <c r="A1271" s="11" t="s">
        <v>394</v>
      </c>
      <c r="B1271" s="11" t="s">
        <v>395</v>
      </c>
      <c r="C1271" s="11" t="n">
        <v>2015</v>
      </c>
      <c r="D1271" s="11" t="s">
        <v>26</v>
      </c>
      <c r="E1271" s="17" t="n">
        <v>108279</v>
      </c>
      <c r="F1271" s="11" t="s">
        <v>119</v>
      </c>
      <c r="G1271" s="11" t="s">
        <v>399</v>
      </c>
      <c r="H1271" s="11" t="s">
        <v>121</v>
      </c>
      <c r="I1271" s="11" t="s">
        <v>667</v>
      </c>
      <c r="J1271" s="11" t="s">
        <v>673</v>
      </c>
    </row>
    <row r="1272" customFormat="false" ht="15" hidden="false" customHeight="false" outlineLevel="0" collapsed="false">
      <c r="A1272" s="11" t="s">
        <v>394</v>
      </c>
      <c r="B1272" s="11" t="s">
        <v>395</v>
      </c>
      <c r="C1272" s="11" t="n">
        <v>2016</v>
      </c>
      <c r="D1272" s="11" t="s">
        <v>26</v>
      </c>
      <c r="E1272" s="17" t="n">
        <v>149586</v>
      </c>
      <c r="F1272" s="11" t="s">
        <v>119</v>
      </c>
      <c r="G1272" s="11" t="s">
        <v>399</v>
      </c>
      <c r="H1272" s="11" t="s">
        <v>121</v>
      </c>
      <c r="I1272" s="11" t="s">
        <v>667</v>
      </c>
      <c r="J1272" s="11" t="s">
        <v>673</v>
      </c>
    </row>
    <row r="1273" customFormat="false" ht="15" hidden="false" customHeight="false" outlineLevel="0" collapsed="false">
      <c r="A1273" s="11" t="s">
        <v>394</v>
      </c>
      <c r="B1273" s="11" t="s">
        <v>395</v>
      </c>
      <c r="C1273" s="11" t="n">
        <v>2017</v>
      </c>
      <c r="D1273" s="11" t="s">
        <v>26</v>
      </c>
      <c r="E1273" s="17" t="n">
        <v>210328</v>
      </c>
      <c r="F1273" s="11" t="s">
        <v>119</v>
      </c>
      <c r="G1273" s="11" t="s">
        <v>399</v>
      </c>
      <c r="H1273" s="11" t="s">
        <v>121</v>
      </c>
      <c r="I1273" s="11" t="s">
        <v>667</v>
      </c>
      <c r="J1273" s="11" t="s">
        <v>673</v>
      </c>
    </row>
    <row r="1274" customFormat="false" ht="15" hidden="false" customHeight="false" outlineLevel="0" collapsed="false">
      <c r="A1274" s="11" t="s">
        <v>394</v>
      </c>
      <c r="B1274" s="11" t="s">
        <v>395</v>
      </c>
      <c r="C1274" s="11" t="n">
        <v>2018</v>
      </c>
      <c r="D1274" s="11" t="s">
        <v>26</v>
      </c>
      <c r="E1274" s="17" t="n">
        <v>239230</v>
      </c>
      <c r="F1274" s="11" t="s">
        <v>119</v>
      </c>
      <c r="G1274" s="11" t="s">
        <v>399</v>
      </c>
      <c r="H1274" s="11" t="s">
        <v>121</v>
      </c>
      <c r="I1274" s="11" t="s">
        <v>667</v>
      </c>
      <c r="J1274" s="11" t="s">
        <v>673</v>
      </c>
    </row>
    <row r="1275" customFormat="false" ht="15" hidden="false" customHeight="false" outlineLevel="0" collapsed="false">
      <c r="A1275" s="11" t="s">
        <v>394</v>
      </c>
      <c r="B1275" s="11" t="s">
        <v>395</v>
      </c>
      <c r="C1275" s="11" t="n">
        <v>2019</v>
      </c>
      <c r="D1275" s="11" t="s">
        <v>26</v>
      </c>
      <c r="E1275" s="17" t="n">
        <v>289751</v>
      </c>
      <c r="F1275" s="11" t="s">
        <v>119</v>
      </c>
      <c r="G1275" s="11" t="s">
        <v>399</v>
      </c>
      <c r="H1275" s="11" t="s">
        <v>121</v>
      </c>
      <c r="I1275" s="11" t="s">
        <v>667</v>
      </c>
      <c r="J1275" s="11" t="s">
        <v>673</v>
      </c>
    </row>
    <row r="1276" customFormat="false" ht="15" hidden="false" customHeight="false" outlineLevel="0" collapsed="false">
      <c r="A1276" s="11" t="s">
        <v>394</v>
      </c>
      <c r="B1276" s="11" t="s">
        <v>395</v>
      </c>
      <c r="C1276" s="11" t="n">
        <v>2020</v>
      </c>
      <c r="D1276" s="11" t="s">
        <v>26</v>
      </c>
      <c r="E1276" s="17" t="n">
        <v>358239</v>
      </c>
      <c r="F1276" s="11" t="s">
        <v>119</v>
      </c>
      <c r="G1276" s="11" t="s">
        <v>399</v>
      </c>
      <c r="H1276" s="11" t="s">
        <v>121</v>
      </c>
      <c r="I1276" s="11" t="s">
        <v>667</v>
      </c>
      <c r="J1276" s="11" t="s">
        <v>673</v>
      </c>
    </row>
    <row r="1277" customFormat="false" ht="15" hidden="false" customHeight="false" outlineLevel="0" collapsed="false">
      <c r="A1277" s="11" t="s">
        <v>394</v>
      </c>
      <c r="B1277" s="11" t="s">
        <v>395</v>
      </c>
      <c r="C1277" s="11" t="n">
        <v>2021</v>
      </c>
      <c r="D1277" s="11" t="s">
        <v>26</v>
      </c>
      <c r="E1277" s="17" t="n">
        <v>447442</v>
      </c>
      <c r="F1277" s="11" t="s">
        <v>119</v>
      </c>
      <c r="G1277" s="11" t="s">
        <v>399</v>
      </c>
      <c r="H1277" s="11" t="s">
        <v>121</v>
      </c>
      <c r="I1277" s="11" t="s">
        <v>667</v>
      </c>
      <c r="J1277" s="11" t="s">
        <v>673</v>
      </c>
    </row>
    <row r="1278" customFormat="false" ht="15" hidden="false" customHeight="false" outlineLevel="0" collapsed="false">
      <c r="A1278" s="11" t="s">
        <v>394</v>
      </c>
      <c r="B1278" s="11" t="s">
        <v>395</v>
      </c>
      <c r="C1278" s="11" t="n">
        <v>2022</v>
      </c>
      <c r="D1278" s="11" t="s">
        <v>26</v>
      </c>
      <c r="E1278" s="17" t="n">
        <v>441661</v>
      </c>
      <c r="F1278" s="11" t="s">
        <v>119</v>
      </c>
      <c r="G1278" s="11" t="s">
        <v>399</v>
      </c>
      <c r="H1278" s="11" t="s">
        <v>121</v>
      </c>
      <c r="I1278" s="11" t="s">
        <v>667</v>
      </c>
      <c r="J1278" s="11" t="s">
        <v>673</v>
      </c>
    </row>
    <row r="1279" customFormat="false" ht="15" hidden="false" customHeight="false" outlineLevel="0" collapsed="false">
      <c r="A1279" s="11" t="s">
        <v>394</v>
      </c>
      <c r="B1279" s="11" t="s">
        <v>395</v>
      </c>
      <c r="C1279" s="11" t="n">
        <v>2010</v>
      </c>
      <c r="D1279" s="11" t="s">
        <v>38</v>
      </c>
      <c r="E1279" s="17" t="n">
        <v>4005</v>
      </c>
      <c r="F1279" s="11" t="s">
        <v>123</v>
      </c>
      <c r="G1279" s="11" t="s">
        <v>124</v>
      </c>
      <c r="H1279" s="11" t="s">
        <v>125</v>
      </c>
      <c r="I1279" s="11" t="s">
        <v>667</v>
      </c>
      <c r="J1279" s="11" t="s">
        <v>674</v>
      </c>
    </row>
    <row r="1280" customFormat="false" ht="15" hidden="false" customHeight="false" outlineLevel="0" collapsed="false">
      <c r="A1280" s="11" t="s">
        <v>394</v>
      </c>
      <c r="B1280" s="11" t="s">
        <v>395</v>
      </c>
      <c r="C1280" s="11" t="n">
        <v>2011</v>
      </c>
      <c r="D1280" s="11" t="s">
        <v>38</v>
      </c>
      <c r="E1280" s="17" t="n">
        <v>6875</v>
      </c>
      <c r="F1280" s="11" t="s">
        <v>123</v>
      </c>
      <c r="G1280" s="11" t="s">
        <v>124</v>
      </c>
      <c r="H1280" s="11" t="s">
        <v>125</v>
      </c>
      <c r="I1280" s="11" t="s">
        <v>667</v>
      </c>
      <c r="J1280" s="11" t="s">
        <v>674</v>
      </c>
    </row>
    <row r="1281" customFormat="false" ht="15" hidden="false" customHeight="false" outlineLevel="0" collapsed="false">
      <c r="A1281" s="11" t="s">
        <v>394</v>
      </c>
      <c r="B1281" s="11" t="s">
        <v>395</v>
      </c>
      <c r="C1281" s="11" t="n">
        <v>2012</v>
      </c>
      <c r="D1281" s="11" t="s">
        <v>38</v>
      </c>
      <c r="E1281" s="17" t="n">
        <v>8140</v>
      </c>
      <c r="F1281" s="11" t="s">
        <v>123</v>
      </c>
      <c r="G1281" s="11" t="s">
        <v>124</v>
      </c>
      <c r="H1281" s="11" t="s">
        <v>125</v>
      </c>
      <c r="I1281" s="11" t="s">
        <v>667</v>
      </c>
      <c r="J1281" s="11" t="s">
        <v>674</v>
      </c>
    </row>
    <row r="1282" customFormat="false" ht="15" hidden="false" customHeight="false" outlineLevel="0" collapsed="false">
      <c r="A1282" s="11" t="s">
        <v>394</v>
      </c>
      <c r="B1282" s="11" t="s">
        <v>395</v>
      </c>
      <c r="C1282" s="11" t="n">
        <v>2013</v>
      </c>
      <c r="D1282" s="11" t="s">
        <v>38</v>
      </c>
      <c r="E1282" s="17" t="n">
        <v>9280</v>
      </c>
      <c r="F1282" s="11" t="s">
        <v>123</v>
      </c>
      <c r="G1282" s="11" t="s">
        <v>124</v>
      </c>
      <c r="H1282" s="11" t="s">
        <v>125</v>
      </c>
      <c r="I1282" s="11" t="s">
        <v>667</v>
      </c>
      <c r="J1282" s="11" t="s">
        <v>674</v>
      </c>
    </row>
    <row r="1283" customFormat="false" ht="15" hidden="false" customHeight="false" outlineLevel="0" collapsed="false">
      <c r="A1283" s="11" t="s">
        <v>394</v>
      </c>
      <c r="B1283" s="11" t="s">
        <v>395</v>
      </c>
      <c r="C1283" s="11" t="n">
        <v>2014</v>
      </c>
      <c r="D1283" s="11" t="s">
        <v>38</v>
      </c>
      <c r="E1283" s="17" t="n">
        <v>12050</v>
      </c>
      <c r="F1283" s="11" t="s">
        <v>123</v>
      </c>
      <c r="G1283" s="11" t="s">
        <v>124</v>
      </c>
      <c r="H1283" s="11" t="s">
        <v>125</v>
      </c>
      <c r="I1283" s="11" t="s">
        <v>667</v>
      </c>
      <c r="J1283" s="11" t="s">
        <v>674</v>
      </c>
    </row>
    <row r="1284" customFormat="false" ht="15" hidden="false" customHeight="false" outlineLevel="0" collapsed="false">
      <c r="A1284" s="11" t="s">
        <v>394</v>
      </c>
      <c r="B1284" s="11" t="s">
        <v>395</v>
      </c>
      <c r="C1284" s="11" t="n">
        <v>2015</v>
      </c>
      <c r="D1284" s="11" t="s">
        <v>38</v>
      </c>
      <c r="E1284" s="17" t="n">
        <v>16835</v>
      </c>
      <c r="F1284" s="11" t="s">
        <v>123</v>
      </c>
      <c r="G1284" s="11" t="s">
        <v>124</v>
      </c>
      <c r="H1284" s="11" t="s">
        <v>125</v>
      </c>
      <c r="I1284" s="11" t="s">
        <v>667</v>
      </c>
      <c r="J1284" s="11" t="s">
        <v>674</v>
      </c>
    </row>
    <row r="1285" customFormat="false" ht="15" hidden="false" customHeight="false" outlineLevel="0" collapsed="false">
      <c r="A1285" s="11" t="s">
        <v>394</v>
      </c>
      <c r="B1285" s="11" t="s">
        <v>395</v>
      </c>
      <c r="C1285" s="11" t="n">
        <v>2016</v>
      </c>
      <c r="D1285" s="11" t="s">
        <v>38</v>
      </c>
      <c r="E1285" s="17" t="n">
        <v>23375</v>
      </c>
      <c r="F1285" s="11" t="s">
        <v>123</v>
      </c>
      <c r="G1285" s="11" t="s">
        <v>124</v>
      </c>
      <c r="H1285" s="11" t="s">
        <v>125</v>
      </c>
      <c r="I1285" s="11" t="s">
        <v>667</v>
      </c>
      <c r="J1285" s="11" t="s">
        <v>674</v>
      </c>
    </row>
    <row r="1286" customFormat="false" ht="15" hidden="false" customHeight="false" outlineLevel="0" collapsed="false">
      <c r="A1286" s="11" t="s">
        <v>394</v>
      </c>
      <c r="B1286" s="11" t="s">
        <v>395</v>
      </c>
      <c r="C1286" s="11" t="n">
        <v>2017</v>
      </c>
      <c r="D1286" s="11" t="s">
        <v>38</v>
      </c>
      <c r="E1286" s="17" t="n">
        <v>28470</v>
      </c>
      <c r="F1286" s="11" t="s">
        <v>123</v>
      </c>
      <c r="G1286" s="11" t="s">
        <v>124</v>
      </c>
      <c r="H1286" s="11" t="s">
        <v>125</v>
      </c>
      <c r="I1286" s="11" t="s">
        <v>667</v>
      </c>
      <c r="J1286" s="11" t="s">
        <v>674</v>
      </c>
    </row>
    <row r="1287" customFormat="false" ht="15" hidden="false" customHeight="false" outlineLevel="0" collapsed="false">
      <c r="A1287" s="11" t="s">
        <v>394</v>
      </c>
      <c r="B1287" s="11" t="s">
        <v>395</v>
      </c>
      <c r="C1287" s="11" t="n">
        <v>2018</v>
      </c>
      <c r="D1287" s="11" t="s">
        <v>38</v>
      </c>
      <c r="E1287" s="17" t="n">
        <v>31245</v>
      </c>
      <c r="F1287" s="11" t="s">
        <v>123</v>
      </c>
      <c r="G1287" s="11" t="s">
        <v>124</v>
      </c>
      <c r="H1287" s="11" t="s">
        <v>125</v>
      </c>
      <c r="I1287" s="11" t="s">
        <v>667</v>
      </c>
      <c r="J1287" s="11" t="s">
        <v>674</v>
      </c>
    </row>
    <row r="1288" customFormat="false" ht="15" hidden="false" customHeight="false" outlineLevel="0" collapsed="false">
      <c r="A1288" s="11" t="s">
        <v>394</v>
      </c>
      <c r="B1288" s="11" t="s">
        <v>395</v>
      </c>
      <c r="C1288" s="11" t="n">
        <v>2019</v>
      </c>
      <c r="D1288" s="11" t="s">
        <v>38</v>
      </c>
      <c r="E1288" s="17" t="n">
        <v>30900</v>
      </c>
      <c r="F1288" s="11" t="s">
        <v>123</v>
      </c>
      <c r="G1288" s="11" t="s">
        <v>124</v>
      </c>
      <c r="H1288" s="11" t="s">
        <v>125</v>
      </c>
      <c r="I1288" s="11" t="s">
        <v>667</v>
      </c>
      <c r="J1288" s="11" t="s">
        <v>674</v>
      </c>
    </row>
    <row r="1289" customFormat="false" ht="15" hidden="false" customHeight="false" outlineLevel="0" collapsed="false">
      <c r="A1289" s="11" t="s">
        <v>394</v>
      </c>
      <c r="B1289" s="11" t="s">
        <v>395</v>
      </c>
      <c r="C1289" s="11" t="n">
        <v>2020</v>
      </c>
      <c r="D1289" s="11" t="s">
        <v>38</v>
      </c>
      <c r="E1289" s="17" t="n">
        <v>12170</v>
      </c>
      <c r="F1289" s="11" t="s">
        <v>123</v>
      </c>
      <c r="G1289" s="11" t="s">
        <v>124</v>
      </c>
      <c r="H1289" s="11" t="s">
        <v>125</v>
      </c>
      <c r="I1289" s="11" t="s">
        <v>667</v>
      </c>
      <c r="J1289" s="11" t="s">
        <v>674</v>
      </c>
    </row>
    <row r="1290" customFormat="false" ht="15" hidden="false" customHeight="false" outlineLevel="0" collapsed="false">
      <c r="A1290" s="11" t="s">
        <v>394</v>
      </c>
      <c r="B1290" s="11" t="s">
        <v>395</v>
      </c>
      <c r="C1290" s="11" t="n">
        <v>2021</v>
      </c>
      <c r="D1290" s="11" t="s">
        <v>38</v>
      </c>
      <c r="E1290" s="17" t="n">
        <v>12795</v>
      </c>
      <c r="F1290" s="11" t="s">
        <v>123</v>
      </c>
      <c r="G1290" s="11" t="s">
        <v>124</v>
      </c>
      <c r="H1290" s="11" t="s">
        <v>125</v>
      </c>
      <c r="I1290" s="11" t="s">
        <v>667</v>
      </c>
      <c r="J1290" s="11" t="s">
        <v>674</v>
      </c>
    </row>
    <row r="1291" customFormat="false" ht="15" hidden="false" customHeight="false" outlineLevel="0" collapsed="false">
      <c r="A1291" s="11" t="s">
        <v>394</v>
      </c>
      <c r="B1291" s="11" t="s">
        <v>395</v>
      </c>
      <c r="C1291" s="11" t="n">
        <v>2022</v>
      </c>
      <c r="D1291" s="11" t="s">
        <v>38</v>
      </c>
      <c r="E1291" s="17" t="n">
        <v>10510</v>
      </c>
      <c r="F1291" s="11" t="s">
        <v>123</v>
      </c>
      <c r="G1291" s="11" t="s">
        <v>124</v>
      </c>
      <c r="H1291" s="11" t="s">
        <v>125</v>
      </c>
      <c r="I1291" s="11" t="s">
        <v>667</v>
      </c>
      <c r="J1291" s="11" t="s">
        <v>674</v>
      </c>
    </row>
    <row r="1292" customFormat="false" ht="15" hidden="false" customHeight="false" outlineLevel="0" collapsed="false">
      <c r="A1292" s="11" t="s">
        <v>394</v>
      </c>
      <c r="B1292" s="11" t="s">
        <v>395</v>
      </c>
      <c r="C1292" s="11" t="n">
        <v>2010</v>
      </c>
      <c r="D1292" s="11" t="s">
        <v>18</v>
      </c>
      <c r="E1292" s="17" t="n">
        <v>38042794</v>
      </c>
      <c r="F1292" s="11" t="s">
        <v>98</v>
      </c>
      <c r="G1292" s="11" t="s">
        <v>99</v>
      </c>
      <c r="H1292" s="11" t="s">
        <v>671</v>
      </c>
      <c r="I1292" s="11" t="s">
        <v>667</v>
      </c>
      <c r="J1292" s="11" t="s">
        <v>672</v>
      </c>
    </row>
    <row r="1293" customFormat="false" ht="15" hidden="false" customHeight="false" outlineLevel="0" collapsed="false">
      <c r="A1293" s="11" t="s">
        <v>394</v>
      </c>
      <c r="B1293" s="11" t="s">
        <v>395</v>
      </c>
      <c r="C1293" s="11" t="n">
        <v>2011</v>
      </c>
      <c r="D1293" s="11" t="s">
        <v>18</v>
      </c>
      <c r="E1293" s="17" t="n">
        <v>38063255</v>
      </c>
      <c r="F1293" s="11" t="s">
        <v>98</v>
      </c>
      <c r="G1293" s="11" t="s">
        <v>99</v>
      </c>
      <c r="H1293" s="11" t="s">
        <v>671</v>
      </c>
      <c r="I1293" s="11" t="s">
        <v>667</v>
      </c>
      <c r="J1293" s="11" t="s">
        <v>672</v>
      </c>
    </row>
    <row r="1294" customFormat="false" ht="15" hidden="false" customHeight="false" outlineLevel="0" collapsed="false">
      <c r="A1294" s="11" t="s">
        <v>394</v>
      </c>
      <c r="B1294" s="11" t="s">
        <v>395</v>
      </c>
      <c r="C1294" s="11" t="n">
        <v>2012</v>
      </c>
      <c r="D1294" s="11" t="s">
        <v>18</v>
      </c>
      <c r="E1294" s="17" t="n">
        <v>38063164</v>
      </c>
      <c r="F1294" s="11" t="s">
        <v>98</v>
      </c>
      <c r="G1294" s="11" t="s">
        <v>99</v>
      </c>
      <c r="H1294" s="11" t="s">
        <v>671</v>
      </c>
      <c r="I1294" s="11" t="s">
        <v>667</v>
      </c>
      <c r="J1294" s="11" t="s">
        <v>672</v>
      </c>
    </row>
    <row r="1295" customFormat="false" ht="15" hidden="false" customHeight="false" outlineLevel="0" collapsed="false">
      <c r="A1295" s="11" t="s">
        <v>394</v>
      </c>
      <c r="B1295" s="11" t="s">
        <v>395</v>
      </c>
      <c r="C1295" s="11" t="n">
        <v>2013</v>
      </c>
      <c r="D1295" s="11" t="s">
        <v>18</v>
      </c>
      <c r="E1295" s="17" t="n">
        <v>38040196</v>
      </c>
      <c r="F1295" s="11" t="s">
        <v>98</v>
      </c>
      <c r="G1295" s="11" t="s">
        <v>99</v>
      </c>
      <c r="H1295" s="11" t="s">
        <v>671</v>
      </c>
      <c r="I1295" s="11" t="s">
        <v>667</v>
      </c>
      <c r="J1295" s="11" t="s">
        <v>672</v>
      </c>
    </row>
    <row r="1296" customFormat="false" ht="15" hidden="false" customHeight="false" outlineLevel="0" collapsed="false">
      <c r="A1296" s="11" t="s">
        <v>394</v>
      </c>
      <c r="B1296" s="11" t="s">
        <v>395</v>
      </c>
      <c r="C1296" s="11" t="n">
        <v>2014</v>
      </c>
      <c r="D1296" s="11" t="s">
        <v>18</v>
      </c>
      <c r="E1296" s="17" t="n">
        <v>38011735</v>
      </c>
      <c r="F1296" s="11" t="s">
        <v>98</v>
      </c>
      <c r="G1296" s="11" t="s">
        <v>99</v>
      </c>
      <c r="H1296" s="11" t="s">
        <v>671</v>
      </c>
      <c r="I1296" s="11" t="s">
        <v>667</v>
      </c>
      <c r="J1296" s="11" t="s">
        <v>672</v>
      </c>
    </row>
    <row r="1297" customFormat="false" ht="15" hidden="false" customHeight="false" outlineLevel="0" collapsed="false">
      <c r="A1297" s="11" t="s">
        <v>394</v>
      </c>
      <c r="B1297" s="11" t="s">
        <v>395</v>
      </c>
      <c r="C1297" s="11" t="n">
        <v>2015</v>
      </c>
      <c r="D1297" s="11" t="s">
        <v>18</v>
      </c>
      <c r="E1297" s="17" t="n">
        <v>37986412</v>
      </c>
      <c r="F1297" s="11" t="s">
        <v>98</v>
      </c>
      <c r="G1297" s="11" t="s">
        <v>99</v>
      </c>
      <c r="H1297" s="11" t="s">
        <v>671</v>
      </c>
      <c r="I1297" s="11" t="s">
        <v>667</v>
      </c>
      <c r="J1297" s="11" t="s">
        <v>672</v>
      </c>
    </row>
    <row r="1298" customFormat="false" ht="15" hidden="false" customHeight="false" outlineLevel="0" collapsed="false">
      <c r="A1298" s="11" t="s">
        <v>394</v>
      </c>
      <c r="B1298" s="11" t="s">
        <v>395</v>
      </c>
      <c r="C1298" s="11" t="n">
        <v>2016</v>
      </c>
      <c r="D1298" s="11" t="s">
        <v>18</v>
      </c>
      <c r="E1298" s="17" t="n">
        <v>37970087</v>
      </c>
      <c r="F1298" s="11" t="s">
        <v>98</v>
      </c>
      <c r="G1298" s="11" t="s">
        <v>99</v>
      </c>
      <c r="H1298" s="11" t="s">
        <v>671</v>
      </c>
      <c r="I1298" s="11" t="s">
        <v>667</v>
      </c>
      <c r="J1298" s="11" t="s">
        <v>672</v>
      </c>
    </row>
    <row r="1299" customFormat="false" ht="15" hidden="false" customHeight="false" outlineLevel="0" collapsed="false">
      <c r="A1299" s="11" t="s">
        <v>394</v>
      </c>
      <c r="B1299" s="11" t="s">
        <v>395</v>
      </c>
      <c r="C1299" s="11" t="n">
        <v>2017</v>
      </c>
      <c r="D1299" s="11" t="s">
        <v>18</v>
      </c>
      <c r="E1299" s="17" t="n">
        <v>37974826</v>
      </c>
      <c r="F1299" s="11" t="s">
        <v>98</v>
      </c>
      <c r="G1299" s="11" t="s">
        <v>99</v>
      </c>
      <c r="H1299" s="11" t="s">
        <v>671</v>
      </c>
      <c r="I1299" s="11" t="s">
        <v>667</v>
      </c>
      <c r="J1299" s="11" t="s">
        <v>672</v>
      </c>
    </row>
    <row r="1300" customFormat="false" ht="15" hidden="false" customHeight="false" outlineLevel="0" collapsed="false">
      <c r="A1300" s="11" t="s">
        <v>394</v>
      </c>
      <c r="B1300" s="11" t="s">
        <v>395</v>
      </c>
      <c r="C1300" s="11" t="n">
        <v>2018</v>
      </c>
      <c r="D1300" s="11" t="s">
        <v>18</v>
      </c>
      <c r="E1300" s="17" t="n">
        <v>37974750</v>
      </c>
      <c r="F1300" s="11" t="s">
        <v>98</v>
      </c>
      <c r="G1300" s="11" t="s">
        <v>99</v>
      </c>
      <c r="H1300" s="11" t="s">
        <v>671</v>
      </c>
      <c r="I1300" s="11" t="s">
        <v>667</v>
      </c>
      <c r="J1300" s="11" t="s">
        <v>672</v>
      </c>
    </row>
    <row r="1301" customFormat="false" ht="15" hidden="false" customHeight="false" outlineLevel="0" collapsed="false">
      <c r="A1301" s="11" t="s">
        <v>394</v>
      </c>
      <c r="B1301" s="11" t="s">
        <v>395</v>
      </c>
      <c r="C1301" s="11" t="n">
        <v>2019</v>
      </c>
      <c r="D1301" s="11" t="s">
        <v>18</v>
      </c>
      <c r="E1301" s="17" t="n">
        <v>37965475</v>
      </c>
      <c r="F1301" s="11" t="s">
        <v>98</v>
      </c>
      <c r="G1301" s="11" t="s">
        <v>99</v>
      </c>
      <c r="H1301" s="11" t="s">
        <v>671</v>
      </c>
      <c r="I1301" s="11" t="s">
        <v>667</v>
      </c>
      <c r="J1301" s="11" t="s">
        <v>672</v>
      </c>
    </row>
    <row r="1302" customFormat="false" ht="15" hidden="false" customHeight="false" outlineLevel="0" collapsed="false">
      <c r="A1302" s="11" t="s">
        <v>394</v>
      </c>
      <c r="B1302" s="11" t="s">
        <v>395</v>
      </c>
      <c r="C1302" s="11" t="n">
        <v>2020</v>
      </c>
      <c r="D1302" s="11" t="s">
        <v>18</v>
      </c>
      <c r="E1302" s="17" t="n">
        <v>37515748</v>
      </c>
      <c r="F1302" s="11" t="s">
        <v>98</v>
      </c>
      <c r="G1302" s="11" t="s">
        <v>99</v>
      </c>
      <c r="H1302" s="11" t="s">
        <v>671</v>
      </c>
      <c r="I1302" s="11" t="s">
        <v>667</v>
      </c>
      <c r="J1302" s="11" t="s">
        <v>672</v>
      </c>
    </row>
    <row r="1303" customFormat="false" ht="15" hidden="false" customHeight="false" outlineLevel="0" collapsed="false">
      <c r="A1303" s="11" t="s">
        <v>394</v>
      </c>
      <c r="B1303" s="11" t="s">
        <v>395</v>
      </c>
      <c r="C1303" s="11" t="n">
        <v>2021</v>
      </c>
      <c r="D1303" s="11" t="s">
        <v>18</v>
      </c>
      <c r="E1303" s="17" t="n">
        <v>36981559</v>
      </c>
      <c r="F1303" s="11" t="s">
        <v>98</v>
      </c>
      <c r="G1303" s="11" t="s">
        <v>99</v>
      </c>
      <c r="H1303" s="11" t="s">
        <v>671</v>
      </c>
      <c r="I1303" s="11" t="s">
        <v>667</v>
      </c>
      <c r="J1303" s="11" t="s">
        <v>672</v>
      </c>
    </row>
    <row r="1304" customFormat="false" ht="15" hidden="false" customHeight="false" outlineLevel="0" collapsed="false">
      <c r="A1304" s="11" t="s">
        <v>394</v>
      </c>
      <c r="B1304" s="11" t="s">
        <v>395</v>
      </c>
      <c r="C1304" s="11" t="n">
        <v>2022</v>
      </c>
      <c r="D1304" s="11" t="s">
        <v>18</v>
      </c>
      <c r="E1304" s="17" t="n">
        <v>36821749</v>
      </c>
      <c r="F1304" s="11" t="s">
        <v>98</v>
      </c>
      <c r="G1304" s="11" t="s">
        <v>99</v>
      </c>
      <c r="H1304" s="11" t="s">
        <v>671</v>
      </c>
      <c r="I1304" s="11" t="s">
        <v>667</v>
      </c>
      <c r="J1304" s="11" t="s">
        <v>672</v>
      </c>
    </row>
    <row r="1305" customFormat="false" ht="15" hidden="false" customHeight="false" outlineLevel="0" collapsed="false">
      <c r="A1305" s="11" t="s">
        <v>400</v>
      </c>
      <c r="B1305" s="11" t="s">
        <v>401</v>
      </c>
      <c r="C1305" s="11" t="n">
        <v>2010</v>
      </c>
      <c r="D1305" s="11" t="s">
        <v>22</v>
      </c>
      <c r="E1305" s="17" t="n">
        <v>762825</v>
      </c>
      <c r="F1305" s="11" t="s">
        <v>116</v>
      </c>
      <c r="G1305" s="11" t="s">
        <v>404</v>
      </c>
      <c r="H1305" s="11" t="s">
        <v>118</v>
      </c>
      <c r="I1305" s="11" t="s">
        <v>667</v>
      </c>
      <c r="J1305" s="11" t="s">
        <v>673</v>
      </c>
    </row>
    <row r="1306" customFormat="false" ht="15" hidden="false" customHeight="false" outlineLevel="0" collapsed="false">
      <c r="A1306" s="11" t="s">
        <v>400</v>
      </c>
      <c r="B1306" s="11" t="s">
        <v>401</v>
      </c>
      <c r="C1306" s="11" t="n">
        <v>2011</v>
      </c>
      <c r="D1306" s="11" t="s">
        <v>22</v>
      </c>
      <c r="E1306" s="17" t="n">
        <v>755484</v>
      </c>
      <c r="F1306" s="11" t="s">
        <v>116</v>
      </c>
      <c r="G1306" s="11" t="s">
        <v>404</v>
      </c>
      <c r="H1306" s="11" t="s">
        <v>118</v>
      </c>
      <c r="I1306" s="11" t="s">
        <v>667</v>
      </c>
      <c r="J1306" s="11" t="s">
        <v>673</v>
      </c>
    </row>
    <row r="1307" customFormat="false" ht="15" hidden="false" customHeight="false" outlineLevel="0" collapsed="false">
      <c r="A1307" s="11" t="s">
        <v>400</v>
      </c>
      <c r="B1307" s="11" t="s">
        <v>401</v>
      </c>
      <c r="C1307" s="11" t="n">
        <v>2012</v>
      </c>
      <c r="D1307" s="11" t="s">
        <v>22</v>
      </c>
      <c r="E1307" s="17" t="n">
        <v>1221227</v>
      </c>
      <c r="F1307" s="11" t="s">
        <v>116</v>
      </c>
      <c r="G1307" s="11" t="s">
        <v>404</v>
      </c>
      <c r="H1307" s="11" t="s">
        <v>200</v>
      </c>
      <c r="I1307" s="11" t="s">
        <v>667</v>
      </c>
      <c r="J1307" s="11" t="s">
        <v>673</v>
      </c>
    </row>
    <row r="1308" customFormat="false" ht="15" hidden="false" customHeight="false" outlineLevel="0" collapsed="false">
      <c r="A1308" s="11" t="s">
        <v>400</v>
      </c>
      <c r="B1308" s="11" t="s">
        <v>401</v>
      </c>
      <c r="C1308" s="11" t="n">
        <v>2013</v>
      </c>
      <c r="D1308" s="11" t="s">
        <v>22</v>
      </c>
      <c r="E1308" s="17" t="n">
        <v>1197532</v>
      </c>
      <c r="F1308" s="11" t="s">
        <v>116</v>
      </c>
      <c r="G1308" s="11" t="s">
        <v>404</v>
      </c>
      <c r="H1308" s="11" t="s">
        <v>118</v>
      </c>
      <c r="I1308" s="11" t="s">
        <v>667</v>
      </c>
      <c r="J1308" s="11" t="s">
        <v>673</v>
      </c>
    </row>
    <row r="1309" customFormat="false" ht="15" hidden="false" customHeight="false" outlineLevel="0" collapsed="false">
      <c r="A1309" s="11" t="s">
        <v>400</v>
      </c>
      <c r="B1309" s="11" t="s">
        <v>401</v>
      </c>
      <c r="C1309" s="11" t="n">
        <v>2014</v>
      </c>
      <c r="D1309" s="11" t="s">
        <v>22</v>
      </c>
      <c r="E1309" s="17" t="n">
        <v>1176104</v>
      </c>
      <c r="F1309" s="11" t="s">
        <v>116</v>
      </c>
      <c r="G1309" s="11" t="s">
        <v>404</v>
      </c>
      <c r="H1309" s="11" t="s">
        <v>118</v>
      </c>
      <c r="I1309" s="11" t="s">
        <v>667</v>
      </c>
      <c r="J1309" s="11" t="s">
        <v>673</v>
      </c>
    </row>
    <row r="1310" customFormat="false" ht="15" hidden="false" customHeight="false" outlineLevel="0" collapsed="false">
      <c r="A1310" s="11" t="s">
        <v>400</v>
      </c>
      <c r="B1310" s="11" t="s">
        <v>401</v>
      </c>
      <c r="C1310" s="11" t="n">
        <v>2015</v>
      </c>
      <c r="D1310" s="11" t="s">
        <v>22</v>
      </c>
      <c r="E1310" s="17" t="n">
        <v>1160656</v>
      </c>
      <c r="F1310" s="11" t="s">
        <v>116</v>
      </c>
      <c r="G1310" s="11" t="s">
        <v>404</v>
      </c>
      <c r="H1310" s="11" t="s">
        <v>118</v>
      </c>
      <c r="I1310" s="11" t="s">
        <v>667</v>
      </c>
      <c r="J1310" s="11" t="s">
        <v>673</v>
      </c>
    </row>
    <row r="1311" customFormat="false" ht="15" hidden="false" customHeight="false" outlineLevel="0" collapsed="false">
      <c r="A1311" s="11" t="s">
        <v>400</v>
      </c>
      <c r="B1311" s="11" t="s">
        <v>401</v>
      </c>
      <c r="C1311" s="11" t="n">
        <v>2016</v>
      </c>
      <c r="D1311" s="11" t="s">
        <v>22</v>
      </c>
      <c r="E1311" s="17" t="n">
        <v>1170320</v>
      </c>
      <c r="F1311" s="11" t="s">
        <v>116</v>
      </c>
      <c r="G1311" s="11" t="s">
        <v>404</v>
      </c>
      <c r="H1311" s="11" t="s">
        <v>118</v>
      </c>
      <c r="I1311" s="11" t="s">
        <v>667</v>
      </c>
      <c r="J1311" s="11" t="s">
        <v>673</v>
      </c>
    </row>
    <row r="1312" customFormat="false" ht="15" hidden="false" customHeight="false" outlineLevel="0" collapsed="false">
      <c r="A1312" s="11" t="s">
        <v>400</v>
      </c>
      <c r="B1312" s="11" t="s">
        <v>401</v>
      </c>
      <c r="C1312" s="11" t="n">
        <v>2017</v>
      </c>
      <c r="D1312" s="11" t="s">
        <v>22</v>
      </c>
      <c r="E1312" s="17" t="n">
        <v>1200249</v>
      </c>
      <c r="F1312" s="11" t="s">
        <v>116</v>
      </c>
      <c r="G1312" s="11" t="s">
        <v>404</v>
      </c>
      <c r="H1312" s="11" t="s">
        <v>118</v>
      </c>
      <c r="I1312" s="11" t="s">
        <v>667</v>
      </c>
      <c r="J1312" s="11" t="s">
        <v>673</v>
      </c>
    </row>
    <row r="1313" customFormat="false" ht="15" hidden="false" customHeight="false" outlineLevel="0" collapsed="false">
      <c r="A1313" s="11" t="s">
        <v>400</v>
      </c>
      <c r="B1313" s="11" t="s">
        <v>401</v>
      </c>
      <c r="C1313" s="11" t="n">
        <v>2018</v>
      </c>
      <c r="D1313" s="11" t="s">
        <v>22</v>
      </c>
      <c r="E1313" s="17" t="n">
        <v>1236888</v>
      </c>
      <c r="F1313" s="11" t="s">
        <v>116</v>
      </c>
      <c r="G1313" s="11" t="s">
        <v>404</v>
      </c>
      <c r="H1313" s="11" t="s">
        <v>118</v>
      </c>
      <c r="I1313" s="11" t="s">
        <v>667</v>
      </c>
      <c r="J1313" s="11" t="s">
        <v>673</v>
      </c>
    </row>
    <row r="1314" customFormat="false" ht="15" hidden="false" customHeight="false" outlineLevel="0" collapsed="false">
      <c r="A1314" s="11" t="s">
        <v>400</v>
      </c>
      <c r="B1314" s="11" t="s">
        <v>401</v>
      </c>
      <c r="C1314" s="11" t="n">
        <v>2019</v>
      </c>
      <c r="D1314" s="11" t="s">
        <v>22</v>
      </c>
      <c r="E1314" s="17" t="n">
        <v>1307266</v>
      </c>
      <c r="F1314" s="11" t="s">
        <v>116</v>
      </c>
      <c r="G1314" s="11" t="s">
        <v>404</v>
      </c>
      <c r="H1314" s="11" t="s">
        <v>118</v>
      </c>
      <c r="I1314" s="11" t="s">
        <v>667</v>
      </c>
      <c r="J1314" s="11" t="s">
        <v>673</v>
      </c>
    </row>
    <row r="1315" customFormat="false" ht="15" hidden="false" customHeight="false" outlineLevel="0" collapsed="false">
      <c r="A1315" s="11" t="s">
        <v>400</v>
      </c>
      <c r="B1315" s="11" t="s">
        <v>401</v>
      </c>
      <c r="C1315" s="11" t="n">
        <v>2020</v>
      </c>
      <c r="D1315" s="11" t="s">
        <v>22</v>
      </c>
      <c r="E1315" s="17" t="n">
        <v>1416498</v>
      </c>
      <c r="F1315" s="11" t="s">
        <v>116</v>
      </c>
      <c r="G1315" s="11" t="s">
        <v>404</v>
      </c>
      <c r="H1315" s="11" t="s">
        <v>118</v>
      </c>
      <c r="I1315" s="11" t="s">
        <v>667</v>
      </c>
      <c r="J1315" s="11" t="s">
        <v>673</v>
      </c>
    </row>
    <row r="1316" customFormat="false" ht="15" hidden="false" customHeight="false" outlineLevel="0" collapsed="false">
      <c r="A1316" s="11" t="s">
        <v>400</v>
      </c>
      <c r="B1316" s="11" t="s">
        <v>401</v>
      </c>
      <c r="C1316" s="11" t="n">
        <v>2021</v>
      </c>
      <c r="D1316" s="11" t="s">
        <v>22</v>
      </c>
      <c r="E1316" s="17" t="n">
        <v>1495524</v>
      </c>
      <c r="F1316" s="11" t="s">
        <v>116</v>
      </c>
      <c r="G1316" s="11" t="s">
        <v>404</v>
      </c>
      <c r="H1316" s="11" t="s">
        <v>118</v>
      </c>
      <c r="I1316" s="11" t="s">
        <v>667</v>
      </c>
      <c r="J1316" s="11" t="s">
        <v>673</v>
      </c>
    </row>
    <row r="1317" customFormat="false" ht="15" hidden="false" customHeight="false" outlineLevel="0" collapsed="false">
      <c r="A1317" s="11" t="s">
        <v>400</v>
      </c>
      <c r="B1317" s="11" t="s">
        <v>401</v>
      </c>
      <c r="C1317" s="11" t="n">
        <v>2022</v>
      </c>
      <c r="D1317" s="11" t="s">
        <v>22</v>
      </c>
      <c r="E1317" s="17" t="n">
        <v>1568066</v>
      </c>
      <c r="F1317" s="11" t="s">
        <v>116</v>
      </c>
      <c r="G1317" s="11" t="s">
        <v>404</v>
      </c>
      <c r="H1317" s="11" t="s">
        <v>118</v>
      </c>
      <c r="I1317" s="11" t="s">
        <v>667</v>
      </c>
      <c r="J1317" s="11" t="s">
        <v>673</v>
      </c>
    </row>
    <row r="1318" customFormat="false" ht="15" hidden="false" customHeight="false" outlineLevel="0" collapsed="false">
      <c r="A1318" s="11" t="s">
        <v>400</v>
      </c>
      <c r="B1318" s="11" t="s">
        <v>401</v>
      </c>
      <c r="C1318" s="11" t="n">
        <v>2010</v>
      </c>
      <c r="D1318" s="11" t="s">
        <v>26</v>
      </c>
      <c r="E1318" s="17" t="n">
        <v>454191</v>
      </c>
      <c r="F1318" s="11" t="s">
        <v>119</v>
      </c>
      <c r="G1318" s="11" t="s">
        <v>405</v>
      </c>
      <c r="H1318" s="11" t="s">
        <v>121</v>
      </c>
      <c r="I1318" s="11" t="s">
        <v>667</v>
      </c>
      <c r="J1318" s="11" t="s">
        <v>673</v>
      </c>
    </row>
    <row r="1319" customFormat="false" ht="15" hidden="false" customHeight="false" outlineLevel="0" collapsed="false">
      <c r="A1319" s="11" t="s">
        <v>400</v>
      </c>
      <c r="B1319" s="11" t="s">
        <v>401</v>
      </c>
      <c r="C1319" s="11" t="n">
        <v>2011</v>
      </c>
      <c r="D1319" s="11" t="s">
        <v>26</v>
      </c>
      <c r="E1319" s="17" t="n">
        <v>445262</v>
      </c>
      <c r="F1319" s="11" t="s">
        <v>119</v>
      </c>
      <c r="G1319" s="11" t="s">
        <v>405</v>
      </c>
      <c r="H1319" s="11" t="s">
        <v>121</v>
      </c>
      <c r="I1319" s="11" t="s">
        <v>667</v>
      </c>
      <c r="J1319" s="11" t="s">
        <v>673</v>
      </c>
    </row>
    <row r="1320" customFormat="false" ht="15" hidden="false" customHeight="false" outlineLevel="0" collapsed="false">
      <c r="A1320" s="11" t="s">
        <v>400</v>
      </c>
      <c r="B1320" s="11" t="s">
        <v>401</v>
      </c>
      <c r="C1320" s="11" t="n">
        <v>2012</v>
      </c>
      <c r="D1320" s="11" t="s">
        <v>26</v>
      </c>
      <c r="E1320" s="17" t="n">
        <v>413011</v>
      </c>
      <c r="F1320" s="11" t="s">
        <v>119</v>
      </c>
      <c r="G1320" s="11" t="s">
        <v>405</v>
      </c>
      <c r="H1320" s="11" t="s">
        <v>121</v>
      </c>
      <c r="I1320" s="11" t="s">
        <v>667</v>
      </c>
      <c r="J1320" s="11" t="s">
        <v>673</v>
      </c>
    </row>
    <row r="1321" customFormat="false" ht="15" hidden="false" customHeight="false" outlineLevel="0" collapsed="false">
      <c r="A1321" s="11" t="s">
        <v>400</v>
      </c>
      <c r="B1321" s="11" t="s">
        <v>401</v>
      </c>
      <c r="C1321" s="11" t="n">
        <v>2013</v>
      </c>
      <c r="D1321" s="11" t="s">
        <v>26</v>
      </c>
      <c r="E1321" s="17" t="n">
        <v>393908</v>
      </c>
      <c r="F1321" s="11" t="s">
        <v>119</v>
      </c>
      <c r="G1321" s="11" t="s">
        <v>405</v>
      </c>
      <c r="H1321" s="11" t="s">
        <v>121</v>
      </c>
      <c r="I1321" s="11" t="s">
        <v>667</v>
      </c>
      <c r="J1321" s="11" t="s">
        <v>673</v>
      </c>
    </row>
    <row r="1322" customFormat="false" ht="15" hidden="false" customHeight="false" outlineLevel="0" collapsed="false">
      <c r="A1322" s="11" t="s">
        <v>400</v>
      </c>
      <c r="B1322" s="11" t="s">
        <v>401</v>
      </c>
      <c r="C1322" s="11" t="n">
        <v>2014</v>
      </c>
      <c r="D1322" s="11" t="s">
        <v>26</v>
      </c>
      <c r="E1322" s="17" t="n">
        <v>377436</v>
      </c>
      <c r="F1322" s="11" t="s">
        <v>119</v>
      </c>
      <c r="G1322" s="11" t="s">
        <v>405</v>
      </c>
      <c r="H1322" s="11" t="s">
        <v>121</v>
      </c>
      <c r="I1322" s="11" t="s">
        <v>667</v>
      </c>
      <c r="J1322" s="11" t="s">
        <v>673</v>
      </c>
    </row>
    <row r="1323" customFormat="false" ht="15" hidden="false" customHeight="false" outlineLevel="0" collapsed="false">
      <c r="A1323" s="11" t="s">
        <v>400</v>
      </c>
      <c r="B1323" s="11" t="s">
        <v>401</v>
      </c>
      <c r="C1323" s="11" t="n">
        <v>2015</v>
      </c>
      <c r="D1323" s="11" t="s">
        <v>26</v>
      </c>
      <c r="E1323" s="17" t="n">
        <v>366869</v>
      </c>
      <c r="F1323" s="11" t="s">
        <v>119</v>
      </c>
      <c r="G1323" s="11" t="s">
        <v>405</v>
      </c>
      <c r="H1323" s="11" t="s">
        <v>121</v>
      </c>
      <c r="I1323" s="11" t="s">
        <v>667</v>
      </c>
      <c r="J1323" s="11" t="s">
        <v>673</v>
      </c>
    </row>
    <row r="1324" customFormat="false" ht="15" hidden="false" customHeight="false" outlineLevel="0" collapsed="false">
      <c r="A1324" s="11" t="s">
        <v>400</v>
      </c>
      <c r="B1324" s="11" t="s">
        <v>401</v>
      </c>
      <c r="C1324" s="11" t="n">
        <v>2016</v>
      </c>
      <c r="D1324" s="11" t="s">
        <v>26</v>
      </c>
      <c r="E1324" s="17" t="n">
        <v>360961</v>
      </c>
      <c r="F1324" s="11" t="s">
        <v>119</v>
      </c>
      <c r="G1324" s="11" t="s">
        <v>405</v>
      </c>
      <c r="H1324" s="11" t="s">
        <v>121</v>
      </c>
      <c r="I1324" s="11" t="s">
        <v>667</v>
      </c>
      <c r="J1324" s="11" t="s">
        <v>673</v>
      </c>
    </row>
    <row r="1325" customFormat="false" ht="15" hidden="false" customHeight="false" outlineLevel="0" collapsed="false">
      <c r="A1325" s="11" t="s">
        <v>400</v>
      </c>
      <c r="B1325" s="11" t="s">
        <v>401</v>
      </c>
      <c r="C1325" s="11" t="n">
        <v>2017</v>
      </c>
      <c r="D1325" s="11" t="s">
        <v>26</v>
      </c>
      <c r="E1325" s="17" t="n">
        <v>370080</v>
      </c>
      <c r="F1325" s="11" t="s">
        <v>119</v>
      </c>
      <c r="G1325" s="11" t="s">
        <v>405</v>
      </c>
      <c r="H1325" s="11" t="s">
        <v>121</v>
      </c>
      <c r="I1325" s="11" t="s">
        <v>667</v>
      </c>
      <c r="J1325" s="11" t="s">
        <v>673</v>
      </c>
    </row>
    <row r="1326" customFormat="false" ht="15" hidden="false" customHeight="false" outlineLevel="0" collapsed="false">
      <c r="A1326" s="11" t="s">
        <v>400</v>
      </c>
      <c r="B1326" s="11" t="s">
        <v>401</v>
      </c>
      <c r="C1326" s="11" t="n">
        <v>2018</v>
      </c>
      <c r="D1326" s="11" t="s">
        <v>26</v>
      </c>
      <c r="E1326" s="17" t="n">
        <v>387943</v>
      </c>
      <c r="F1326" s="11" t="s">
        <v>119</v>
      </c>
      <c r="G1326" s="11" t="s">
        <v>405</v>
      </c>
      <c r="H1326" s="11" t="s">
        <v>121</v>
      </c>
      <c r="I1326" s="11" t="s">
        <v>667</v>
      </c>
      <c r="J1326" s="11" t="s">
        <v>673</v>
      </c>
    </row>
    <row r="1327" customFormat="false" ht="15" hidden="false" customHeight="false" outlineLevel="0" collapsed="false">
      <c r="A1327" s="11" t="s">
        <v>400</v>
      </c>
      <c r="B1327" s="11" t="s">
        <v>401</v>
      </c>
      <c r="C1327" s="11" t="n">
        <v>2019</v>
      </c>
      <c r="D1327" s="11" t="s">
        <v>26</v>
      </c>
      <c r="E1327" s="17" t="n">
        <v>441863</v>
      </c>
      <c r="F1327" s="11" t="s">
        <v>119</v>
      </c>
      <c r="G1327" s="11" t="s">
        <v>405</v>
      </c>
      <c r="H1327" s="11" t="s">
        <v>121</v>
      </c>
      <c r="I1327" s="11" t="s">
        <v>667</v>
      </c>
      <c r="J1327" s="11" t="s">
        <v>673</v>
      </c>
    </row>
    <row r="1328" customFormat="false" ht="15" hidden="false" customHeight="false" outlineLevel="0" collapsed="false">
      <c r="A1328" s="11" t="s">
        <v>400</v>
      </c>
      <c r="B1328" s="11" t="s">
        <v>401</v>
      </c>
      <c r="C1328" s="11" t="n">
        <v>2020</v>
      </c>
      <c r="D1328" s="11" t="s">
        <v>26</v>
      </c>
      <c r="E1328" s="17" t="n">
        <v>520487</v>
      </c>
      <c r="F1328" s="11" t="s">
        <v>119</v>
      </c>
      <c r="G1328" s="11" t="s">
        <v>405</v>
      </c>
      <c r="H1328" s="11" t="s">
        <v>121</v>
      </c>
      <c r="I1328" s="11" t="s">
        <v>667</v>
      </c>
      <c r="J1328" s="11" t="s">
        <v>673</v>
      </c>
    </row>
    <row r="1329" customFormat="false" ht="15" hidden="false" customHeight="false" outlineLevel="0" collapsed="false">
      <c r="A1329" s="11" t="s">
        <v>400</v>
      </c>
      <c r="B1329" s="11" t="s">
        <v>401</v>
      </c>
      <c r="C1329" s="11" t="n">
        <v>2021</v>
      </c>
      <c r="D1329" s="11" t="s">
        <v>26</v>
      </c>
      <c r="E1329" s="17" t="n">
        <v>595794</v>
      </c>
      <c r="F1329" s="11" t="s">
        <v>119</v>
      </c>
      <c r="G1329" s="11" t="s">
        <v>405</v>
      </c>
      <c r="H1329" s="11" t="s">
        <v>121</v>
      </c>
      <c r="I1329" s="11" t="s">
        <v>667</v>
      </c>
      <c r="J1329" s="11" t="s">
        <v>673</v>
      </c>
    </row>
    <row r="1330" customFormat="false" ht="15" hidden="false" customHeight="false" outlineLevel="0" collapsed="false">
      <c r="A1330" s="11" t="s">
        <v>400</v>
      </c>
      <c r="B1330" s="11" t="s">
        <v>401</v>
      </c>
      <c r="C1330" s="11" t="n">
        <v>2022</v>
      </c>
      <c r="D1330" s="11" t="s">
        <v>26</v>
      </c>
      <c r="E1330" s="17" t="n">
        <v>643347</v>
      </c>
      <c r="F1330" s="11" t="s">
        <v>119</v>
      </c>
      <c r="G1330" s="11" t="s">
        <v>405</v>
      </c>
      <c r="H1330" s="11" t="s">
        <v>121</v>
      </c>
      <c r="I1330" s="11" t="s">
        <v>667</v>
      </c>
      <c r="J1330" s="11" t="s">
        <v>673</v>
      </c>
    </row>
    <row r="1331" customFormat="false" ht="15" hidden="false" customHeight="false" outlineLevel="0" collapsed="false">
      <c r="A1331" s="11" t="s">
        <v>400</v>
      </c>
      <c r="B1331" s="11" t="s">
        <v>401</v>
      </c>
      <c r="C1331" s="11" t="n">
        <v>2010</v>
      </c>
      <c r="D1331" s="11" t="s">
        <v>38</v>
      </c>
      <c r="E1331" s="17" t="n">
        <v>9230</v>
      </c>
      <c r="F1331" s="11" t="s">
        <v>123</v>
      </c>
      <c r="G1331" s="11" t="s">
        <v>124</v>
      </c>
      <c r="H1331" s="11" t="s">
        <v>125</v>
      </c>
      <c r="I1331" s="11" t="s">
        <v>667</v>
      </c>
      <c r="J1331" s="11" t="s">
        <v>674</v>
      </c>
    </row>
    <row r="1332" customFormat="false" ht="15" hidden="false" customHeight="false" outlineLevel="0" collapsed="false">
      <c r="A1332" s="11" t="s">
        <v>400</v>
      </c>
      <c r="B1332" s="11" t="s">
        <v>401</v>
      </c>
      <c r="C1332" s="11" t="n">
        <v>2011</v>
      </c>
      <c r="D1332" s="11" t="s">
        <v>38</v>
      </c>
      <c r="E1332" s="17" t="n">
        <v>9110</v>
      </c>
      <c r="F1332" s="11" t="s">
        <v>123</v>
      </c>
      <c r="G1332" s="11" t="s">
        <v>124</v>
      </c>
      <c r="H1332" s="11" t="s">
        <v>125</v>
      </c>
      <c r="I1332" s="11" t="s">
        <v>667</v>
      </c>
      <c r="J1332" s="11" t="s">
        <v>674</v>
      </c>
    </row>
    <row r="1333" customFormat="false" ht="15" hidden="false" customHeight="false" outlineLevel="0" collapsed="false">
      <c r="A1333" s="11" t="s">
        <v>400</v>
      </c>
      <c r="B1333" s="11" t="s">
        <v>401</v>
      </c>
      <c r="C1333" s="11" t="n">
        <v>2012</v>
      </c>
      <c r="D1333" s="11" t="s">
        <v>38</v>
      </c>
      <c r="E1333" s="17" t="n">
        <v>5155</v>
      </c>
      <c r="F1333" s="11" t="s">
        <v>123</v>
      </c>
      <c r="G1333" s="11" t="s">
        <v>124</v>
      </c>
      <c r="H1333" s="11" t="s">
        <v>125</v>
      </c>
      <c r="I1333" s="11" t="s">
        <v>667</v>
      </c>
      <c r="J1333" s="11" t="s">
        <v>674</v>
      </c>
    </row>
    <row r="1334" customFormat="false" ht="15" hidden="false" customHeight="false" outlineLevel="0" collapsed="false">
      <c r="A1334" s="11" t="s">
        <v>400</v>
      </c>
      <c r="B1334" s="11" t="s">
        <v>401</v>
      </c>
      <c r="C1334" s="11" t="n">
        <v>2013</v>
      </c>
      <c r="D1334" s="11" t="s">
        <v>38</v>
      </c>
      <c r="E1334" s="17" t="n">
        <v>4530</v>
      </c>
      <c r="F1334" s="11" t="s">
        <v>123</v>
      </c>
      <c r="G1334" s="11" t="s">
        <v>124</v>
      </c>
      <c r="H1334" s="11" t="s">
        <v>125</v>
      </c>
      <c r="I1334" s="11" t="s">
        <v>667</v>
      </c>
      <c r="J1334" s="11" t="s">
        <v>674</v>
      </c>
    </row>
    <row r="1335" customFormat="false" ht="15" hidden="false" customHeight="false" outlineLevel="0" collapsed="false">
      <c r="A1335" s="11" t="s">
        <v>400</v>
      </c>
      <c r="B1335" s="11" t="s">
        <v>401</v>
      </c>
      <c r="C1335" s="11" t="n">
        <v>2014</v>
      </c>
      <c r="D1335" s="11" t="s">
        <v>38</v>
      </c>
      <c r="E1335" s="17" t="n">
        <v>5145</v>
      </c>
      <c r="F1335" s="11" t="s">
        <v>123</v>
      </c>
      <c r="G1335" s="11" t="s">
        <v>124</v>
      </c>
      <c r="H1335" s="11" t="s">
        <v>125</v>
      </c>
      <c r="I1335" s="11" t="s">
        <v>667</v>
      </c>
      <c r="J1335" s="11" t="s">
        <v>674</v>
      </c>
    </row>
    <row r="1336" customFormat="false" ht="15" hidden="false" customHeight="false" outlineLevel="0" collapsed="false">
      <c r="A1336" s="11" t="s">
        <v>400</v>
      </c>
      <c r="B1336" s="11" t="s">
        <v>401</v>
      </c>
      <c r="C1336" s="11" t="n">
        <v>2015</v>
      </c>
      <c r="D1336" s="11" t="s">
        <v>38</v>
      </c>
      <c r="E1336" s="17" t="n">
        <v>6500</v>
      </c>
      <c r="F1336" s="11" t="s">
        <v>123</v>
      </c>
      <c r="G1336" s="11" t="s">
        <v>124</v>
      </c>
      <c r="H1336" s="11" t="s">
        <v>125</v>
      </c>
      <c r="I1336" s="11" t="s">
        <v>667</v>
      </c>
      <c r="J1336" s="11" t="s">
        <v>674</v>
      </c>
    </row>
    <row r="1337" customFormat="false" ht="15" hidden="false" customHeight="false" outlineLevel="0" collapsed="false">
      <c r="A1337" s="11" t="s">
        <v>400</v>
      </c>
      <c r="B1337" s="11" t="s">
        <v>401</v>
      </c>
      <c r="C1337" s="11" t="n">
        <v>2016</v>
      </c>
      <c r="D1337" s="11" t="s">
        <v>38</v>
      </c>
      <c r="E1337" s="17" t="n">
        <v>6005</v>
      </c>
      <c r="F1337" s="11" t="s">
        <v>123</v>
      </c>
      <c r="G1337" s="11" t="s">
        <v>124</v>
      </c>
      <c r="H1337" s="11" t="s">
        <v>125</v>
      </c>
      <c r="I1337" s="11" t="s">
        <v>667</v>
      </c>
      <c r="J1337" s="11" t="s">
        <v>674</v>
      </c>
    </row>
    <row r="1338" customFormat="false" ht="15" hidden="false" customHeight="false" outlineLevel="0" collapsed="false">
      <c r="A1338" s="11" t="s">
        <v>400</v>
      </c>
      <c r="B1338" s="11" t="s">
        <v>401</v>
      </c>
      <c r="C1338" s="11" t="n">
        <v>2017</v>
      </c>
      <c r="D1338" s="11" t="s">
        <v>38</v>
      </c>
      <c r="E1338" s="17" t="n">
        <v>4760</v>
      </c>
      <c r="F1338" s="11" t="s">
        <v>123</v>
      </c>
      <c r="G1338" s="11" t="s">
        <v>124</v>
      </c>
      <c r="H1338" s="11" t="s">
        <v>125</v>
      </c>
      <c r="I1338" s="11" t="s">
        <v>667</v>
      </c>
      <c r="J1338" s="11" t="s">
        <v>674</v>
      </c>
    </row>
    <row r="1339" customFormat="false" ht="15" hidden="false" customHeight="false" outlineLevel="0" collapsed="false">
      <c r="A1339" s="11" t="s">
        <v>400</v>
      </c>
      <c r="B1339" s="11" t="s">
        <v>401</v>
      </c>
      <c r="C1339" s="11" t="n">
        <v>2018</v>
      </c>
      <c r="D1339" s="11" t="s">
        <v>38</v>
      </c>
      <c r="E1339" s="17" t="n">
        <v>5890</v>
      </c>
      <c r="F1339" s="11" t="s">
        <v>123</v>
      </c>
      <c r="G1339" s="11" t="s">
        <v>124</v>
      </c>
      <c r="H1339" s="11" t="s">
        <v>125</v>
      </c>
      <c r="I1339" s="11" t="s">
        <v>667</v>
      </c>
      <c r="J1339" s="11" t="s">
        <v>674</v>
      </c>
    </row>
    <row r="1340" customFormat="false" ht="15" hidden="false" customHeight="false" outlineLevel="0" collapsed="false">
      <c r="A1340" s="11" t="s">
        <v>400</v>
      </c>
      <c r="B1340" s="11" t="s">
        <v>401</v>
      </c>
      <c r="C1340" s="11" t="n">
        <v>2019</v>
      </c>
      <c r="D1340" s="11" t="s">
        <v>38</v>
      </c>
      <c r="E1340" s="17" t="n">
        <v>3145</v>
      </c>
      <c r="F1340" s="11" t="s">
        <v>123</v>
      </c>
      <c r="G1340" s="11" t="s">
        <v>124</v>
      </c>
      <c r="H1340" s="11" t="s">
        <v>125</v>
      </c>
      <c r="I1340" s="11" t="s">
        <v>667</v>
      </c>
      <c r="J1340" s="11" t="s">
        <v>674</v>
      </c>
    </row>
    <row r="1341" customFormat="false" ht="15" hidden="false" customHeight="false" outlineLevel="0" collapsed="false">
      <c r="A1341" s="11" t="s">
        <v>400</v>
      </c>
      <c r="B1341" s="11" t="s">
        <v>401</v>
      </c>
      <c r="C1341" s="11" t="n">
        <v>2020</v>
      </c>
      <c r="D1341" s="11" t="s">
        <v>38</v>
      </c>
      <c r="E1341" s="17" t="n">
        <v>1855</v>
      </c>
      <c r="F1341" s="11" t="s">
        <v>123</v>
      </c>
      <c r="G1341" s="11" t="s">
        <v>124</v>
      </c>
      <c r="H1341" s="11" t="s">
        <v>125</v>
      </c>
      <c r="I1341" s="11" t="s">
        <v>667</v>
      </c>
      <c r="J1341" s="11" t="s">
        <v>674</v>
      </c>
    </row>
    <row r="1342" customFormat="false" ht="15" hidden="false" customHeight="false" outlineLevel="0" collapsed="false">
      <c r="A1342" s="11" t="s">
        <v>400</v>
      </c>
      <c r="B1342" s="11" t="s">
        <v>401</v>
      </c>
      <c r="C1342" s="11" t="n">
        <v>2021</v>
      </c>
      <c r="D1342" s="11" t="s">
        <v>38</v>
      </c>
      <c r="E1342" s="17" t="n">
        <v>2170</v>
      </c>
      <c r="F1342" s="11" t="s">
        <v>123</v>
      </c>
      <c r="G1342" s="11" t="s">
        <v>124</v>
      </c>
      <c r="H1342" s="11" t="s">
        <v>125</v>
      </c>
      <c r="I1342" s="11" t="s">
        <v>667</v>
      </c>
      <c r="J1342" s="11" t="s">
        <v>674</v>
      </c>
    </row>
    <row r="1343" customFormat="false" ht="15" hidden="false" customHeight="false" outlineLevel="0" collapsed="false">
      <c r="A1343" s="11" t="s">
        <v>400</v>
      </c>
      <c r="B1343" s="11" t="s">
        <v>401</v>
      </c>
      <c r="C1343" s="11" t="n">
        <v>2022</v>
      </c>
      <c r="D1343" s="11" t="s">
        <v>38</v>
      </c>
      <c r="E1343" s="17" t="n">
        <v>1615</v>
      </c>
      <c r="F1343" s="11" t="s">
        <v>123</v>
      </c>
      <c r="G1343" s="11" t="s">
        <v>124</v>
      </c>
      <c r="H1343" s="11" t="s">
        <v>125</v>
      </c>
      <c r="I1343" s="11" t="s">
        <v>667</v>
      </c>
      <c r="J1343" s="11" t="s">
        <v>674</v>
      </c>
    </row>
    <row r="1344" customFormat="false" ht="15" hidden="false" customHeight="false" outlineLevel="0" collapsed="false">
      <c r="A1344" s="11" t="s">
        <v>400</v>
      </c>
      <c r="B1344" s="11" t="s">
        <v>401</v>
      </c>
      <c r="C1344" s="11" t="n">
        <v>2010</v>
      </c>
      <c r="D1344" s="11" t="s">
        <v>18</v>
      </c>
      <c r="E1344" s="17" t="n">
        <v>10573100</v>
      </c>
      <c r="F1344" s="11" t="s">
        <v>98</v>
      </c>
      <c r="G1344" s="11" t="s">
        <v>99</v>
      </c>
      <c r="H1344" s="11" t="s">
        <v>671</v>
      </c>
      <c r="I1344" s="11" t="s">
        <v>667</v>
      </c>
      <c r="J1344" s="11" t="s">
        <v>672</v>
      </c>
    </row>
    <row r="1345" customFormat="false" ht="15" hidden="false" customHeight="false" outlineLevel="0" collapsed="false">
      <c r="A1345" s="11" t="s">
        <v>400</v>
      </c>
      <c r="B1345" s="11" t="s">
        <v>401</v>
      </c>
      <c r="C1345" s="11" t="n">
        <v>2011</v>
      </c>
      <c r="D1345" s="11" t="s">
        <v>18</v>
      </c>
      <c r="E1345" s="17" t="n">
        <v>10557560</v>
      </c>
      <c r="F1345" s="11" t="s">
        <v>98</v>
      </c>
      <c r="G1345" s="11" t="s">
        <v>99</v>
      </c>
      <c r="H1345" s="11" t="s">
        <v>671</v>
      </c>
      <c r="I1345" s="11" t="s">
        <v>667</v>
      </c>
      <c r="J1345" s="11" t="s">
        <v>672</v>
      </c>
    </row>
    <row r="1346" customFormat="false" ht="15" hidden="false" customHeight="false" outlineLevel="0" collapsed="false">
      <c r="A1346" s="11" t="s">
        <v>400</v>
      </c>
      <c r="B1346" s="11" t="s">
        <v>401</v>
      </c>
      <c r="C1346" s="11" t="n">
        <v>2012</v>
      </c>
      <c r="D1346" s="11" t="s">
        <v>18</v>
      </c>
      <c r="E1346" s="17" t="n">
        <v>10514844</v>
      </c>
      <c r="F1346" s="11" t="s">
        <v>98</v>
      </c>
      <c r="G1346" s="11" t="s">
        <v>99</v>
      </c>
      <c r="H1346" s="11" t="s">
        <v>671</v>
      </c>
      <c r="I1346" s="11" t="s">
        <v>667</v>
      </c>
      <c r="J1346" s="11" t="s">
        <v>672</v>
      </c>
    </row>
    <row r="1347" customFormat="false" ht="15" hidden="false" customHeight="false" outlineLevel="0" collapsed="false">
      <c r="A1347" s="11" t="s">
        <v>400</v>
      </c>
      <c r="B1347" s="11" t="s">
        <v>401</v>
      </c>
      <c r="C1347" s="11" t="n">
        <v>2013</v>
      </c>
      <c r="D1347" s="11" t="s">
        <v>18</v>
      </c>
      <c r="E1347" s="17" t="n">
        <v>10457295</v>
      </c>
      <c r="F1347" s="11" t="s">
        <v>98</v>
      </c>
      <c r="G1347" s="11" t="s">
        <v>99</v>
      </c>
      <c r="H1347" s="11" t="s">
        <v>671</v>
      </c>
      <c r="I1347" s="11" t="s">
        <v>667</v>
      </c>
      <c r="J1347" s="11" t="s">
        <v>672</v>
      </c>
    </row>
    <row r="1348" customFormat="false" ht="15" hidden="false" customHeight="false" outlineLevel="0" collapsed="false">
      <c r="A1348" s="11" t="s">
        <v>400</v>
      </c>
      <c r="B1348" s="11" t="s">
        <v>401</v>
      </c>
      <c r="C1348" s="11" t="n">
        <v>2014</v>
      </c>
      <c r="D1348" s="11" t="s">
        <v>18</v>
      </c>
      <c r="E1348" s="17" t="n">
        <v>10401062</v>
      </c>
      <c r="F1348" s="11" t="s">
        <v>98</v>
      </c>
      <c r="G1348" s="11" t="s">
        <v>99</v>
      </c>
      <c r="H1348" s="11" t="s">
        <v>671</v>
      </c>
      <c r="I1348" s="11" t="s">
        <v>667</v>
      </c>
      <c r="J1348" s="11" t="s">
        <v>672</v>
      </c>
    </row>
    <row r="1349" customFormat="false" ht="15" hidden="false" customHeight="false" outlineLevel="0" collapsed="false">
      <c r="A1349" s="11" t="s">
        <v>400</v>
      </c>
      <c r="B1349" s="11" t="s">
        <v>401</v>
      </c>
      <c r="C1349" s="11" t="n">
        <v>2015</v>
      </c>
      <c r="D1349" s="11" t="s">
        <v>18</v>
      </c>
      <c r="E1349" s="17" t="n">
        <v>10358076</v>
      </c>
      <c r="F1349" s="11" t="s">
        <v>98</v>
      </c>
      <c r="G1349" s="11" t="s">
        <v>99</v>
      </c>
      <c r="H1349" s="11" t="s">
        <v>671</v>
      </c>
      <c r="I1349" s="11" t="s">
        <v>667</v>
      </c>
      <c r="J1349" s="11" t="s">
        <v>672</v>
      </c>
    </row>
    <row r="1350" customFormat="false" ht="15" hidden="false" customHeight="false" outlineLevel="0" collapsed="false">
      <c r="A1350" s="11" t="s">
        <v>400</v>
      </c>
      <c r="B1350" s="11" t="s">
        <v>401</v>
      </c>
      <c r="C1350" s="11" t="n">
        <v>2016</v>
      </c>
      <c r="D1350" s="11" t="s">
        <v>18</v>
      </c>
      <c r="E1350" s="17" t="n">
        <v>10325452</v>
      </c>
      <c r="F1350" s="11" t="s">
        <v>98</v>
      </c>
      <c r="G1350" s="11" t="s">
        <v>99</v>
      </c>
      <c r="H1350" s="11" t="s">
        <v>671</v>
      </c>
      <c r="I1350" s="11" t="s">
        <v>667</v>
      </c>
      <c r="J1350" s="11" t="s">
        <v>672</v>
      </c>
    </row>
    <row r="1351" customFormat="false" ht="15" hidden="false" customHeight="false" outlineLevel="0" collapsed="false">
      <c r="A1351" s="11" t="s">
        <v>400</v>
      </c>
      <c r="B1351" s="11" t="s">
        <v>401</v>
      </c>
      <c r="C1351" s="11" t="n">
        <v>2017</v>
      </c>
      <c r="D1351" s="11" t="s">
        <v>18</v>
      </c>
      <c r="E1351" s="17" t="n">
        <v>10300300</v>
      </c>
      <c r="F1351" s="11" t="s">
        <v>98</v>
      </c>
      <c r="G1351" s="11" t="s">
        <v>99</v>
      </c>
      <c r="H1351" s="11" t="s">
        <v>671</v>
      </c>
      <c r="I1351" s="11" t="s">
        <v>667</v>
      </c>
      <c r="J1351" s="11" t="s">
        <v>672</v>
      </c>
    </row>
    <row r="1352" customFormat="false" ht="15" hidden="false" customHeight="false" outlineLevel="0" collapsed="false">
      <c r="A1352" s="11" t="s">
        <v>400</v>
      </c>
      <c r="B1352" s="11" t="s">
        <v>401</v>
      </c>
      <c r="C1352" s="11" t="n">
        <v>2018</v>
      </c>
      <c r="D1352" s="11" t="s">
        <v>18</v>
      </c>
      <c r="E1352" s="17" t="n">
        <v>10283822</v>
      </c>
      <c r="F1352" s="11" t="s">
        <v>98</v>
      </c>
      <c r="G1352" s="11" t="s">
        <v>99</v>
      </c>
      <c r="H1352" s="11" t="s">
        <v>671</v>
      </c>
      <c r="I1352" s="11" t="s">
        <v>667</v>
      </c>
      <c r="J1352" s="11" t="s">
        <v>672</v>
      </c>
    </row>
    <row r="1353" customFormat="false" ht="15" hidden="false" customHeight="false" outlineLevel="0" collapsed="false">
      <c r="A1353" s="11" t="s">
        <v>400</v>
      </c>
      <c r="B1353" s="11" t="s">
        <v>401</v>
      </c>
      <c r="C1353" s="11" t="n">
        <v>2019</v>
      </c>
      <c r="D1353" s="11" t="s">
        <v>18</v>
      </c>
      <c r="E1353" s="17" t="n">
        <v>10286263</v>
      </c>
      <c r="F1353" s="11" t="s">
        <v>98</v>
      </c>
      <c r="G1353" s="11" t="s">
        <v>99</v>
      </c>
      <c r="H1353" s="11" t="s">
        <v>671</v>
      </c>
      <c r="I1353" s="11" t="s">
        <v>667</v>
      </c>
      <c r="J1353" s="11" t="s">
        <v>672</v>
      </c>
    </row>
    <row r="1354" customFormat="false" ht="15" hidden="false" customHeight="false" outlineLevel="0" collapsed="false">
      <c r="A1354" s="11" t="s">
        <v>400</v>
      </c>
      <c r="B1354" s="11" t="s">
        <v>401</v>
      </c>
      <c r="C1354" s="11" t="n">
        <v>2020</v>
      </c>
      <c r="D1354" s="11" t="s">
        <v>18</v>
      </c>
      <c r="E1354" s="17" t="n">
        <v>10297081</v>
      </c>
      <c r="F1354" s="11" t="s">
        <v>98</v>
      </c>
      <c r="G1354" s="11" t="s">
        <v>99</v>
      </c>
      <c r="H1354" s="11" t="s">
        <v>671</v>
      </c>
      <c r="I1354" s="11" t="s">
        <v>667</v>
      </c>
      <c r="J1354" s="11" t="s">
        <v>672</v>
      </c>
    </row>
    <row r="1355" customFormat="false" ht="15" hidden="false" customHeight="false" outlineLevel="0" collapsed="false">
      <c r="A1355" s="11" t="s">
        <v>400</v>
      </c>
      <c r="B1355" s="11" t="s">
        <v>401</v>
      </c>
      <c r="C1355" s="11" t="n">
        <v>2021</v>
      </c>
      <c r="D1355" s="11" t="s">
        <v>18</v>
      </c>
      <c r="E1355" s="17" t="n">
        <v>10361831</v>
      </c>
      <c r="F1355" s="11" t="s">
        <v>98</v>
      </c>
      <c r="G1355" s="11" t="s">
        <v>99</v>
      </c>
      <c r="H1355" s="11" t="s">
        <v>671</v>
      </c>
      <c r="I1355" s="11" t="s">
        <v>667</v>
      </c>
      <c r="J1355" s="11" t="s">
        <v>672</v>
      </c>
    </row>
    <row r="1356" customFormat="false" ht="15" hidden="false" customHeight="false" outlineLevel="0" collapsed="false">
      <c r="A1356" s="11" t="s">
        <v>400</v>
      </c>
      <c r="B1356" s="11" t="s">
        <v>401</v>
      </c>
      <c r="C1356" s="11" t="n">
        <v>2022</v>
      </c>
      <c r="D1356" s="11" t="s">
        <v>18</v>
      </c>
      <c r="E1356" s="17" t="n">
        <v>10434332</v>
      </c>
      <c r="F1356" s="11" t="s">
        <v>98</v>
      </c>
      <c r="G1356" s="11" t="s">
        <v>99</v>
      </c>
      <c r="H1356" s="11" t="s">
        <v>671</v>
      </c>
      <c r="I1356" s="11" t="s">
        <v>667</v>
      </c>
      <c r="J1356" s="11" t="s">
        <v>672</v>
      </c>
    </row>
    <row r="1357" customFormat="false" ht="15" hidden="false" customHeight="false" outlineLevel="0" collapsed="false">
      <c r="A1357" s="11" t="s">
        <v>406</v>
      </c>
      <c r="B1357" s="11" t="s">
        <v>407</v>
      </c>
      <c r="C1357" s="11" t="n">
        <v>2010</v>
      </c>
      <c r="D1357" s="11" t="s">
        <v>22</v>
      </c>
      <c r="E1357" s="17" t="n">
        <v>11199727</v>
      </c>
      <c r="F1357" s="11" t="s">
        <v>167</v>
      </c>
      <c r="G1357" s="11" t="s">
        <v>168</v>
      </c>
      <c r="H1357" s="11" t="s">
        <v>410</v>
      </c>
      <c r="I1357" s="11" t="s">
        <v>667</v>
      </c>
      <c r="J1357" s="11" t="s">
        <v>676</v>
      </c>
    </row>
    <row r="1358" customFormat="false" ht="15" hidden="false" customHeight="false" outlineLevel="0" collapsed="false">
      <c r="A1358" s="11" t="s">
        <v>406</v>
      </c>
      <c r="B1358" s="11" t="s">
        <v>407</v>
      </c>
      <c r="C1358" s="11" t="n">
        <v>2015</v>
      </c>
      <c r="D1358" s="11" t="s">
        <v>22</v>
      </c>
      <c r="E1358" s="17" t="n">
        <v>9098229</v>
      </c>
      <c r="F1358" s="11" t="s">
        <v>167</v>
      </c>
      <c r="G1358" s="11" t="s">
        <v>168</v>
      </c>
      <c r="H1358" s="11" t="s">
        <v>410</v>
      </c>
      <c r="I1358" s="11" t="s">
        <v>667</v>
      </c>
      <c r="J1358" s="11" t="s">
        <v>676</v>
      </c>
    </row>
    <row r="1359" customFormat="false" ht="15" hidden="false" customHeight="false" outlineLevel="0" collapsed="false">
      <c r="A1359" s="11" t="s">
        <v>406</v>
      </c>
      <c r="B1359" s="11" t="s">
        <v>407</v>
      </c>
      <c r="C1359" s="11" t="n">
        <v>2020</v>
      </c>
      <c r="D1359" s="11" t="s">
        <v>22</v>
      </c>
      <c r="E1359" s="17" t="n">
        <v>7297611</v>
      </c>
      <c r="F1359" s="11" t="s">
        <v>167</v>
      </c>
      <c r="G1359" s="11" t="s">
        <v>168</v>
      </c>
      <c r="H1359" s="11" t="s">
        <v>411</v>
      </c>
      <c r="I1359" s="11" t="s">
        <v>667</v>
      </c>
      <c r="J1359" s="11" t="s">
        <v>676</v>
      </c>
    </row>
    <row r="1360" customFormat="false" ht="15" hidden="false" customHeight="false" outlineLevel="0" collapsed="false">
      <c r="A1360" s="11" t="s">
        <v>406</v>
      </c>
      <c r="B1360" s="11" t="s">
        <v>407</v>
      </c>
      <c r="C1360" s="11" t="n">
        <v>2020</v>
      </c>
      <c r="D1360" s="11" t="s">
        <v>30</v>
      </c>
      <c r="E1360" s="17" t="n">
        <v>1200000</v>
      </c>
      <c r="F1360" s="11" t="s">
        <v>412</v>
      </c>
      <c r="G1360" s="11" t="s">
        <v>413</v>
      </c>
      <c r="H1360" s="11" t="s">
        <v>414</v>
      </c>
      <c r="I1360" s="11" t="s">
        <v>667</v>
      </c>
      <c r="J1360" s="11" t="s">
        <v>677</v>
      </c>
    </row>
    <row r="1361" customFormat="false" ht="15" hidden="false" customHeight="false" outlineLevel="0" collapsed="false">
      <c r="A1361" s="11" t="s">
        <v>406</v>
      </c>
      <c r="B1361" s="11" t="s">
        <v>407</v>
      </c>
      <c r="C1361" s="11" t="n">
        <v>2010</v>
      </c>
      <c r="D1361" s="11" t="s">
        <v>18</v>
      </c>
      <c r="E1361" s="17" t="n">
        <v>142849468</v>
      </c>
      <c r="F1361" s="11" t="s">
        <v>98</v>
      </c>
      <c r="G1361" s="11" t="s">
        <v>99</v>
      </c>
      <c r="H1361" s="11" t="s">
        <v>671</v>
      </c>
      <c r="I1361" s="11" t="s">
        <v>667</v>
      </c>
      <c r="J1361" s="11" t="s">
        <v>672</v>
      </c>
    </row>
    <row r="1362" customFormat="false" ht="15" hidden="false" customHeight="false" outlineLevel="0" collapsed="false">
      <c r="A1362" s="11" t="s">
        <v>406</v>
      </c>
      <c r="B1362" s="11" t="s">
        <v>407</v>
      </c>
      <c r="C1362" s="11" t="n">
        <v>2011</v>
      </c>
      <c r="D1362" s="11" t="s">
        <v>18</v>
      </c>
      <c r="E1362" s="17" t="n">
        <v>143018195</v>
      </c>
      <c r="F1362" s="11" t="s">
        <v>98</v>
      </c>
      <c r="G1362" s="11" t="s">
        <v>99</v>
      </c>
      <c r="H1362" s="11" t="s">
        <v>671</v>
      </c>
      <c r="I1362" s="11" t="s">
        <v>667</v>
      </c>
      <c r="J1362" s="11" t="s">
        <v>672</v>
      </c>
    </row>
    <row r="1363" customFormat="false" ht="15" hidden="false" customHeight="false" outlineLevel="0" collapsed="false">
      <c r="A1363" s="11" t="s">
        <v>406</v>
      </c>
      <c r="B1363" s="11" t="s">
        <v>407</v>
      </c>
      <c r="C1363" s="11" t="n">
        <v>2012</v>
      </c>
      <c r="D1363" s="11" t="s">
        <v>18</v>
      </c>
      <c r="E1363" s="17" t="n">
        <v>143378447</v>
      </c>
      <c r="F1363" s="11" t="s">
        <v>98</v>
      </c>
      <c r="G1363" s="11" t="s">
        <v>99</v>
      </c>
      <c r="H1363" s="11" t="s">
        <v>671</v>
      </c>
      <c r="I1363" s="11" t="s">
        <v>667</v>
      </c>
      <c r="J1363" s="11" t="s">
        <v>672</v>
      </c>
    </row>
    <row r="1364" customFormat="false" ht="15" hidden="false" customHeight="false" outlineLevel="0" collapsed="false">
      <c r="A1364" s="11" t="s">
        <v>406</v>
      </c>
      <c r="B1364" s="11" t="s">
        <v>407</v>
      </c>
      <c r="C1364" s="11" t="n">
        <v>2013</v>
      </c>
      <c r="D1364" s="11" t="s">
        <v>18</v>
      </c>
      <c r="E1364" s="17" t="n">
        <v>143805638</v>
      </c>
      <c r="F1364" s="11" t="s">
        <v>98</v>
      </c>
      <c r="G1364" s="11" t="s">
        <v>99</v>
      </c>
      <c r="H1364" s="11" t="s">
        <v>671</v>
      </c>
      <c r="I1364" s="11" t="s">
        <v>667</v>
      </c>
      <c r="J1364" s="11" t="s">
        <v>672</v>
      </c>
    </row>
    <row r="1365" customFormat="false" ht="15" hidden="false" customHeight="false" outlineLevel="0" collapsed="false">
      <c r="A1365" s="11" t="s">
        <v>406</v>
      </c>
      <c r="B1365" s="11" t="s">
        <v>407</v>
      </c>
      <c r="C1365" s="11" t="n">
        <v>2014</v>
      </c>
      <c r="D1365" s="11" t="s">
        <v>18</v>
      </c>
      <c r="E1365" s="17" t="n">
        <v>144237223</v>
      </c>
      <c r="F1365" s="11" t="s">
        <v>98</v>
      </c>
      <c r="G1365" s="11" t="s">
        <v>99</v>
      </c>
      <c r="H1365" s="11" t="s">
        <v>671</v>
      </c>
      <c r="I1365" s="11" t="s">
        <v>667</v>
      </c>
      <c r="J1365" s="11" t="s">
        <v>672</v>
      </c>
    </row>
    <row r="1366" customFormat="false" ht="15" hidden="false" customHeight="false" outlineLevel="0" collapsed="false">
      <c r="A1366" s="11" t="s">
        <v>406</v>
      </c>
      <c r="B1366" s="11" t="s">
        <v>407</v>
      </c>
      <c r="C1366" s="11" t="n">
        <v>2015</v>
      </c>
      <c r="D1366" s="11" t="s">
        <v>18</v>
      </c>
      <c r="E1366" s="17" t="n">
        <v>144640716</v>
      </c>
      <c r="F1366" s="11" t="s">
        <v>98</v>
      </c>
      <c r="G1366" s="11" t="s">
        <v>99</v>
      </c>
      <c r="H1366" s="11" t="s">
        <v>671</v>
      </c>
      <c r="I1366" s="11" t="s">
        <v>667</v>
      </c>
      <c r="J1366" s="11" t="s">
        <v>672</v>
      </c>
    </row>
    <row r="1367" customFormat="false" ht="15" hidden="false" customHeight="false" outlineLevel="0" collapsed="false">
      <c r="A1367" s="11" t="s">
        <v>406</v>
      </c>
      <c r="B1367" s="11" t="s">
        <v>407</v>
      </c>
      <c r="C1367" s="11" t="n">
        <v>2016</v>
      </c>
      <c r="D1367" s="11" t="s">
        <v>18</v>
      </c>
      <c r="E1367" s="17" t="n">
        <v>145015460</v>
      </c>
      <c r="F1367" s="11" t="s">
        <v>98</v>
      </c>
      <c r="G1367" s="11" t="s">
        <v>99</v>
      </c>
      <c r="H1367" s="11" t="s">
        <v>671</v>
      </c>
      <c r="I1367" s="11" t="s">
        <v>667</v>
      </c>
      <c r="J1367" s="11" t="s">
        <v>672</v>
      </c>
    </row>
    <row r="1368" customFormat="false" ht="15" hidden="false" customHeight="false" outlineLevel="0" collapsed="false">
      <c r="A1368" s="11" t="s">
        <v>406</v>
      </c>
      <c r="B1368" s="11" t="s">
        <v>407</v>
      </c>
      <c r="C1368" s="11" t="n">
        <v>2017</v>
      </c>
      <c r="D1368" s="11" t="s">
        <v>18</v>
      </c>
      <c r="E1368" s="17" t="n">
        <v>145293260</v>
      </c>
      <c r="F1368" s="11" t="s">
        <v>98</v>
      </c>
      <c r="G1368" s="11" t="s">
        <v>99</v>
      </c>
      <c r="H1368" s="11" t="s">
        <v>671</v>
      </c>
      <c r="I1368" s="11" t="s">
        <v>667</v>
      </c>
      <c r="J1368" s="11" t="s">
        <v>672</v>
      </c>
    </row>
    <row r="1369" customFormat="false" ht="15" hidden="false" customHeight="false" outlineLevel="0" collapsed="false">
      <c r="A1369" s="11" t="s">
        <v>406</v>
      </c>
      <c r="B1369" s="11" t="s">
        <v>407</v>
      </c>
      <c r="C1369" s="11" t="n">
        <v>2018</v>
      </c>
      <c r="D1369" s="11" t="s">
        <v>18</v>
      </c>
      <c r="E1369" s="17" t="n">
        <v>145398106</v>
      </c>
      <c r="F1369" s="11" t="s">
        <v>98</v>
      </c>
      <c r="G1369" s="11" t="s">
        <v>99</v>
      </c>
      <c r="H1369" s="11" t="s">
        <v>671</v>
      </c>
      <c r="I1369" s="11" t="s">
        <v>667</v>
      </c>
      <c r="J1369" s="11" t="s">
        <v>672</v>
      </c>
    </row>
    <row r="1370" customFormat="false" ht="15" hidden="false" customHeight="false" outlineLevel="0" collapsed="false">
      <c r="A1370" s="11" t="s">
        <v>406</v>
      </c>
      <c r="B1370" s="11" t="s">
        <v>407</v>
      </c>
      <c r="C1370" s="11" t="n">
        <v>2019</v>
      </c>
      <c r="D1370" s="11" t="s">
        <v>18</v>
      </c>
      <c r="E1370" s="17" t="n">
        <v>145453291</v>
      </c>
      <c r="F1370" s="11" t="s">
        <v>98</v>
      </c>
      <c r="G1370" s="11" t="s">
        <v>99</v>
      </c>
      <c r="H1370" s="11" t="s">
        <v>671</v>
      </c>
      <c r="I1370" s="11" t="s">
        <v>667</v>
      </c>
      <c r="J1370" s="11" t="s">
        <v>672</v>
      </c>
    </row>
    <row r="1371" customFormat="false" ht="15" hidden="false" customHeight="false" outlineLevel="0" collapsed="false">
      <c r="A1371" s="11" t="s">
        <v>406</v>
      </c>
      <c r="B1371" s="11" t="s">
        <v>407</v>
      </c>
      <c r="C1371" s="11" t="n">
        <v>2020</v>
      </c>
      <c r="D1371" s="11" t="s">
        <v>18</v>
      </c>
      <c r="E1371" s="17" t="n">
        <v>145245148</v>
      </c>
      <c r="F1371" s="11" t="s">
        <v>98</v>
      </c>
      <c r="G1371" s="11" t="s">
        <v>99</v>
      </c>
      <c r="H1371" s="11" t="s">
        <v>671</v>
      </c>
      <c r="I1371" s="11" t="s">
        <v>667</v>
      </c>
      <c r="J1371" s="11" t="s">
        <v>672</v>
      </c>
    </row>
    <row r="1372" customFormat="false" ht="15" hidden="false" customHeight="false" outlineLevel="0" collapsed="false">
      <c r="A1372" s="11" t="s">
        <v>406</v>
      </c>
      <c r="B1372" s="11" t="s">
        <v>407</v>
      </c>
      <c r="C1372" s="11" t="n">
        <v>2021</v>
      </c>
      <c r="D1372" s="11" t="s">
        <v>18</v>
      </c>
      <c r="E1372" s="17" t="n">
        <v>144746762</v>
      </c>
      <c r="F1372" s="11" t="s">
        <v>98</v>
      </c>
      <c r="G1372" s="11" t="s">
        <v>99</v>
      </c>
      <c r="H1372" s="11" t="s">
        <v>671</v>
      </c>
      <c r="I1372" s="11" t="s">
        <v>667</v>
      </c>
      <c r="J1372" s="11" t="s">
        <v>672</v>
      </c>
    </row>
    <row r="1373" customFormat="false" ht="15" hidden="false" customHeight="false" outlineLevel="0" collapsed="false">
      <c r="A1373" s="11" t="s">
        <v>406</v>
      </c>
      <c r="B1373" s="11" t="s">
        <v>407</v>
      </c>
      <c r="C1373" s="11" t="n">
        <v>2022</v>
      </c>
      <c r="D1373" s="11" t="s">
        <v>18</v>
      </c>
      <c r="E1373" s="17" t="n">
        <v>144236933</v>
      </c>
      <c r="F1373" s="11" t="s">
        <v>98</v>
      </c>
      <c r="G1373" s="11" t="s">
        <v>99</v>
      </c>
      <c r="H1373" s="11" t="s">
        <v>671</v>
      </c>
      <c r="I1373" s="11" t="s">
        <v>667</v>
      </c>
      <c r="J1373" s="11" t="s">
        <v>672</v>
      </c>
    </row>
    <row r="1374" customFormat="false" ht="15" hidden="false" customHeight="false" outlineLevel="0" collapsed="false">
      <c r="A1374" s="11" t="s">
        <v>455</v>
      </c>
      <c r="B1374" s="11" t="s">
        <v>456</v>
      </c>
      <c r="C1374" s="11" t="n">
        <v>2010</v>
      </c>
      <c r="D1374" s="11" t="s">
        <v>22</v>
      </c>
      <c r="E1374" s="17" t="n">
        <v>39713</v>
      </c>
      <c r="F1374" s="11" t="s">
        <v>167</v>
      </c>
      <c r="G1374" s="11" t="s">
        <v>168</v>
      </c>
      <c r="H1374" s="11" t="s">
        <v>174</v>
      </c>
      <c r="I1374" s="11" t="s">
        <v>667</v>
      </c>
      <c r="J1374" s="11" t="s">
        <v>676</v>
      </c>
    </row>
    <row r="1375" customFormat="false" ht="15" hidden="false" customHeight="false" outlineLevel="0" collapsed="false">
      <c r="A1375" s="11" t="s">
        <v>455</v>
      </c>
      <c r="B1375" s="11" t="s">
        <v>456</v>
      </c>
      <c r="C1375" s="11" t="n">
        <v>2012</v>
      </c>
      <c r="D1375" s="11" t="s">
        <v>22</v>
      </c>
      <c r="E1375" s="17" t="n">
        <v>35040</v>
      </c>
      <c r="F1375" s="11" t="s">
        <v>459</v>
      </c>
      <c r="G1375" s="11" t="s">
        <v>460</v>
      </c>
      <c r="H1375" s="11" t="s">
        <v>461</v>
      </c>
      <c r="I1375" s="11" t="s">
        <v>667</v>
      </c>
      <c r="J1375" s="11" t="s">
        <v>676</v>
      </c>
    </row>
    <row r="1376" customFormat="false" ht="15" hidden="false" customHeight="false" outlineLevel="0" collapsed="false">
      <c r="A1376" s="11" t="s">
        <v>455</v>
      </c>
      <c r="B1376" s="11" t="s">
        <v>456</v>
      </c>
      <c r="C1376" s="11" t="n">
        <v>2015</v>
      </c>
      <c r="D1376" s="11" t="s">
        <v>22</v>
      </c>
      <c r="E1376" s="17" t="n">
        <v>43127</v>
      </c>
      <c r="F1376" s="11" t="s">
        <v>167</v>
      </c>
      <c r="G1376" s="11" t="s">
        <v>168</v>
      </c>
      <c r="H1376" s="11" t="s">
        <v>174</v>
      </c>
      <c r="I1376" s="11" t="s">
        <v>667</v>
      </c>
      <c r="J1376" s="11" t="s">
        <v>676</v>
      </c>
    </row>
    <row r="1377" customFormat="false" ht="15" hidden="false" customHeight="false" outlineLevel="0" collapsed="false">
      <c r="A1377" s="11" t="s">
        <v>455</v>
      </c>
      <c r="B1377" s="11" t="s">
        <v>456</v>
      </c>
      <c r="C1377" s="11" t="n">
        <v>2020</v>
      </c>
      <c r="D1377" s="11" t="s">
        <v>22</v>
      </c>
      <c r="E1377" s="17" t="n">
        <v>47801</v>
      </c>
      <c r="F1377" s="11" t="s">
        <v>167</v>
      </c>
      <c r="G1377" s="11" t="s">
        <v>168</v>
      </c>
      <c r="H1377" s="11" t="s">
        <v>174</v>
      </c>
      <c r="I1377" s="11" t="s">
        <v>667</v>
      </c>
      <c r="J1377" s="11" t="s">
        <v>676</v>
      </c>
    </row>
    <row r="1378" customFormat="false" ht="15" hidden="false" customHeight="false" outlineLevel="0" collapsed="false">
      <c r="A1378" s="11" t="s">
        <v>455</v>
      </c>
      <c r="B1378" s="11" t="s">
        <v>456</v>
      </c>
      <c r="C1378" s="11" t="n">
        <v>2012</v>
      </c>
      <c r="D1378" s="11" t="s">
        <v>26</v>
      </c>
      <c r="E1378" s="17" t="n">
        <v>36393</v>
      </c>
      <c r="F1378" s="11" t="s">
        <v>459</v>
      </c>
      <c r="G1378" s="11" t="s">
        <v>460</v>
      </c>
      <c r="H1378" s="11" t="s">
        <v>462</v>
      </c>
      <c r="I1378" s="11" t="s">
        <v>667</v>
      </c>
      <c r="J1378" s="11" t="s">
        <v>676</v>
      </c>
    </row>
    <row r="1379" customFormat="false" ht="15" hidden="false" customHeight="false" outlineLevel="0" collapsed="false">
      <c r="A1379" s="11" t="s">
        <v>455</v>
      </c>
      <c r="B1379" s="11" t="s">
        <v>456</v>
      </c>
      <c r="C1379" s="11" t="n">
        <v>2010</v>
      </c>
      <c r="D1379" s="11" t="s">
        <v>18</v>
      </c>
      <c r="E1379" s="17" t="n">
        <v>549923</v>
      </c>
      <c r="F1379" s="11" t="s">
        <v>98</v>
      </c>
      <c r="G1379" s="11" t="s">
        <v>99</v>
      </c>
      <c r="H1379" s="11" t="s">
        <v>671</v>
      </c>
      <c r="I1379" s="11" t="s">
        <v>667</v>
      </c>
      <c r="J1379" s="11" t="s">
        <v>672</v>
      </c>
    </row>
    <row r="1380" customFormat="false" ht="15" hidden="false" customHeight="false" outlineLevel="0" collapsed="false">
      <c r="A1380" s="11" t="s">
        <v>455</v>
      </c>
      <c r="B1380" s="11" t="s">
        <v>456</v>
      </c>
      <c r="C1380" s="11" t="n">
        <v>2011</v>
      </c>
      <c r="D1380" s="11" t="s">
        <v>18</v>
      </c>
      <c r="E1380" s="17" t="n">
        <v>556269</v>
      </c>
      <c r="F1380" s="11" t="s">
        <v>98</v>
      </c>
      <c r="G1380" s="11" t="s">
        <v>99</v>
      </c>
      <c r="H1380" s="11" t="s">
        <v>671</v>
      </c>
      <c r="I1380" s="11" t="s">
        <v>667</v>
      </c>
      <c r="J1380" s="11" t="s">
        <v>672</v>
      </c>
    </row>
    <row r="1381" customFormat="false" ht="15" hidden="false" customHeight="false" outlineLevel="0" collapsed="false">
      <c r="A1381" s="11" t="s">
        <v>455</v>
      </c>
      <c r="B1381" s="11" t="s">
        <v>456</v>
      </c>
      <c r="C1381" s="11" t="n">
        <v>2012</v>
      </c>
      <c r="D1381" s="11" t="s">
        <v>18</v>
      </c>
      <c r="E1381" s="17" t="n">
        <v>562633</v>
      </c>
      <c r="F1381" s="11" t="s">
        <v>98</v>
      </c>
      <c r="G1381" s="11" t="s">
        <v>99</v>
      </c>
      <c r="H1381" s="11" t="s">
        <v>671</v>
      </c>
      <c r="I1381" s="11" t="s">
        <v>667</v>
      </c>
      <c r="J1381" s="11" t="s">
        <v>672</v>
      </c>
    </row>
    <row r="1382" customFormat="false" ht="15" hidden="false" customHeight="false" outlineLevel="0" collapsed="false">
      <c r="A1382" s="11" t="s">
        <v>455</v>
      </c>
      <c r="B1382" s="11" t="s">
        <v>456</v>
      </c>
      <c r="C1382" s="11" t="n">
        <v>2013</v>
      </c>
      <c r="D1382" s="11" t="s">
        <v>18</v>
      </c>
      <c r="E1382" s="17" t="n">
        <v>569020</v>
      </c>
      <c r="F1382" s="11" t="s">
        <v>98</v>
      </c>
      <c r="G1382" s="11" t="s">
        <v>99</v>
      </c>
      <c r="H1382" s="11" t="s">
        <v>671</v>
      </c>
      <c r="I1382" s="11" t="s">
        <v>667</v>
      </c>
      <c r="J1382" s="11" t="s">
        <v>672</v>
      </c>
    </row>
    <row r="1383" customFormat="false" ht="15" hidden="false" customHeight="false" outlineLevel="0" collapsed="false">
      <c r="A1383" s="11" t="s">
        <v>455</v>
      </c>
      <c r="B1383" s="11" t="s">
        <v>456</v>
      </c>
      <c r="C1383" s="11" t="n">
        <v>2014</v>
      </c>
      <c r="D1383" s="11" t="s">
        <v>18</v>
      </c>
      <c r="E1383" s="17" t="n">
        <v>575373</v>
      </c>
      <c r="F1383" s="11" t="s">
        <v>98</v>
      </c>
      <c r="G1383" s="11" t="s">
        <v>99</v>
      </c>
      <c r="H1383" s="11" t="s">
        <v>671</v>
      </c>
      <c r="I1383" s="11" t="s">
        <v>667</v>
      </c>
      <c r="J1383" s="11" t="s">
        <v>672</v>
      </c>
    </row>
    <row r="1384" customFormat="false" ht="15" hidden="false" customHeight="false" outlineLevel="0" collapsed="false">
      <c r="A1384" s="11" t="s">
        <v>455</v>
      </c>
      <c r="B1384" s="11" t="s">
        <v>456</v>
      </c>
      <c r="C1384" s="11" t="n">
        <v>2015</v>
      </c>
      <c r="D1384" s="11" t="s">
        <v>18</v>
      </c>
      <c r="E1384" s="17" t="n">
        <v>581627</v>
      </c>
      <c r="F1384" s="11" t="s">
        <v>98</v>
      </c>
      <c r="G1384" s="11" t="s">
        <v>99</v>
      </c>
      <c r="H1384" s="11" t="s">
        <v>671</v>
      </c>
      <c r="I1384" s="11" t="s">
        <v>667</v>
      </c>
      <c r="J1384" s="11" t="s">
        <v>672</v>
      </c>
    </row>
    <row r="1385" customFormat="false" ht="15" hidden="false" customHeight="false" outlineLevel="0" collapsed="false">
      <c r="A1385" s="11" t="s">
        <v>455</v>
      </c>
      <c r="B1385" s="11" t="s">
        <v>456</v>
      </c>
      <c r="C1385" s="11" t="n">
        <v>2016</v>
      </c>
      <c r="D1385" s="11" t="s">
        <v>18</v>
      </c>
      <c r="E1385" s="17" t="n">
        <v>587757</v>
      </c>
      <c r="F1385" s="11" t="s">
        <v>98</v>
      </c>
      <c r="G1385" s="11" t="s">
        <v>99</v>
      </c>
      <c r="H1385" s="11" t="s">
        <v>671</v>
      </c>
      <c r="I1385" s="11" t="s">
        <v>667</v>
      </c>
      <c r="J1385" s="11" t="s">
        <v>672</v>
      </c>
    </row>
    <row r="1386" customFormat="false" ht="15" hidden="false" customHeight="false" outlineLevel="0" collapsed="false">
      <c r="A1386" s="11" t="s">
        <v>455</v>
      </c>
      <c r="B1386" s="11" t="s">
        <v>456</v>
      </c>
      <c r="C1386" s="11" t="n">
        <v>2017</v>
      </c>
      <c r="D1386" s="11" t="s">
        <v>18</v>
      </c>
      <c r="E1386" s="17" t="n">
        <v>593713</v>
      </c>
      <c r="F1386" s="11" t="s">
        <v>98</v>
      </c>
      <c r="G1386" s="11" t="s">
        <v>99</v>
      </c>
      <c r="H1386" s="11" t="s">
        <v>671</v>
      </c>
      <c r="I1386" s="11" t="s">
        <v>667</v>
      </c>
      <c r="J1386" s="11" t="s">
        <v>672</v>
      </c>
    </row>
    <row r="1387" customFormat="false" ht="15" hidden="false" customHeight="false" outlineLevel="0" collapsed="false">
      <c r="A1387" s="11" t="s">
        <v>455</v>
      </c>
      <c r="B1387" s="11" t="s">
        <v>456</v>
      </c>
      <c r="C1387" s="11" t="n">
        <v>2018</v>
      </c>
      <c r="D1387" s="11" t="s">
        <v>18</v>
      </c>
      <c r="E1387" s="17" t="n">
        <v>599513</v>
      </c>
      <c r="F1387" s="11" t="s">
        <v>98</v>
      </c>
      <c r="G1387" s="11" t="s">
        <v>99</v>
      </c>
      <c r="H1387" s="11" t="s">
        <v>671</v>
      </c>
      <c r="I1387" s="11" t="s">
        <v>667</v>
      </c>
      <c r="J1387" s="11" t="s">
        <v>672</v>
      </c>
    </row>
    <row r="1388" customFormat="false" ht="15" hidden="false" customHeight="false" outlineLevel="0" collapsed="false">
      <c r="A1388" s="11" t="s">
        <v>455</v>
      </c>
      <c r="B1388" s="11" t="s">
        <v>456</v>
      </c>
      <c r="C1388" s="11" t="n">
        <v>2019</v>
      </c>
      <c r="D1388" s="11" t="s">
        <v>18</v>
      </c>
      <c r="E1388" s="17" t="n">
        <v>605768</v>
      </c>
      <c r="F1388" s="11" t="s">
        <v>98</v>
      </c>
      <c r="G1388" s="11" t="s">
        <v>99</v>
      </c>
      <c r="H1388" s="11" t="s">
        <v>671</v>
      </c>
      <c r="I1388" s="11" t="s">
        <v>667</v>
      </c>
      <c r="J1388" s="11" t="s">
        <v>672</v>
      </c>
    </row>
    <row r="1389" customFormat="false" ht="15" hidden="false" customHeight="false" outlineLevel="0" collapsed="false">
      <c r="A1389" s="11" t="s">
        <v>455</v>
      </c>
      <c r="B1389" s="11" t="s">
        <v>456</v>
      </c>
      <c r="C1389" s="11" t="n">
        <v>2020</v>
      </c>
      <c r="D1389" s="11" t="s">
        <v>18</v>
      </c>
      <c r="E1389" s="17" t="n">
        <v>612317</v>
      </c>
      <c r="F1389" s="11" t="s">
        <v>98</v>
      </c>
      <c r="G1389" s="11" t="s">
        <v>99</v>
      </c>
      <c r="H1389" s="11" t="s">
        <v>671</v>
      </c>
      <c r="I1389" s="11" t="s">
        <v>667</v>
      </c>
      <c r="J1389" s="11" t="s">
        <v>672</v>
      </c>
    </row>
    <row r="1390" customFormat="false" ht="15" hidden="false" customHeight="false" outlineLevel="0" collapsed="false">
      <c r="A1390" s="11" t="s">
        <v>455</v>
      </c>
      <c r="B1390" s="11" t="s">
        <v>456</v>
      </c>
      <c r="C1390" s="11" t="n">
        <v>2021</v>
      </c>
      <c r="D1390" s="11" t="s">
        <v>18</v>
      </c>
      <c r="E1390" s="17" t="n">
        <v>617896</v>
      </c>
      <c r="F1390" s="11" t="s">
        <v>98</v>
      </c>
      <c r="G1390" s="11" t="s">
        <v>99</v>
      </c>
      <c r="H1390" s="11" t="s">
        <v>671</v>
      </c>
      <c r="I1390" s="11" t="s">
        <v>667</v>
      </c>
      <c r="J1390" s="11" t="s">
        <v>672</v>
      </c>
    </row>
    <row r="1391" customFormat="false" ht="15" hidden="false" customHeight="false" outlineLevel="0" collapsed="false">
      <c r="A1391" s="11" t="s">
        <v>455</v>
      </c>
      <c r="B1391" s="11" t="s">
        <v>456</v>
      </c>
      <c r="C1391" s="11" t="n">
        <v>2022</v>
      </c>
      <c r="D1391" s="11" t="s">
        <v>18</v>
      </c>
      <c r="E1391" s="17" t="n">
        <v>623164</v>
      </c>
      <c r="F1391" s="11" t="s">
        <v>98</v>
      </c>
      <c r="G1391" s="11" t="s">
        <v>99</v>
      </c>
      <c r="H1391" s="11" t="s">
        <v>671</v>
      </c>
      <c r="I1391" s="11" t="s">
        <v>667</v>
      </c>
      <c r="J1391" s="11" t="s">
        <v>672</v>
      </c>
    </row>
    <row r="1392" customFormat="false" ht="15" hidden="false" customHeight="false" outlineLevel="0" collapsed="false">
      <c r="A1392" s="11" t="s">
        <v>415</v>
      </c>
      <c r="B1392" s="11" t="s">
        <v>416</v>
      </c>
      <c r="C1392" s="11" t="n">
        <v>2010</v>
      </c>
      <c r="D1392" s="11" t="s">
        <v>22</v>
      </c>
      <c r="E1392" s="17" t="n">
        <v>64422</v>
      </c>
      <c r="F1392" s="11" t="s">
        <v>116</v>
      </c>
      <c r="G1392" s="11" t="s">
        <v>419</v>
      </c>
      <c r="H1392" s="11" t="s">
        <v>118</v>
      </c>
      <c r="I1392" s="11" t="s">
        <v>667</v>
      </c>
      <c r="J1392" s="11" t="s">
        <v>673</v>
      </c>
    </row>
    <row r="1393" customFormat="false" ht="15" hidden="false" customHeight="false" outlineLevel="0" collapsed="false">
      <c r="A1393" s="11" t="s">
        <v>415</v>
      </c>
      <c r="B1393" s="11" t="s">
        <v>416</v>
      </c>
      <c r="C1393" s="11" t="n">
        <v>2011</v>
      </c>
      <c r="D1393" s="11" t="s">
        <v>22</v>
      </c>
      <c r="E1393" s="17" t="n">
        <v>68135</v>
      </c>
      <c r="F1393" s="11" t="s">
        <v>116</v>
      </c>
      <c r="G1393" s="11" t="s">
        <v>419</v>
      </c>
      <c r="H1393" s="11" t="s">
        <v>118</v>
      </c>
      <c r="I1393" s="11" t="s">
        <v>667</v>
      </c>
      <c r="J1393" s="11" t="s">
        <v>673</v>
      </c>
    </row>
    <row r="1394" customFormat="false" ht="15" hidden="false" customHeight="false" outlineLevel="0" collapsed="false">
      <c r="A1394" s="11" t="s">
        <v>415</v>
      </c>
      <c r="B1394" s="11" t="s">
        <v>416</v>
      </c>
      <c r="C1394" s="11" t="n">
        <v>2012</v>
      </c>
      <c r="D1394" s="11" t="s">
        <v>22</v>
      </c>
      <c r="E1394" s="17" t="n">
        <v>156883</v>
      </c>
      <c r="F1394" s="11" t="s">
        <v>116</v>
      </c>
      <c r="G1394" s="11" t="s">
        <v>419</v>
      </c>
      <c r="H1394" s="11" t="s">
        <v>200</v>
      </c>
      <c r="I1394" s="11" t="s">
        <v>667</v>
      </c>
      <c r="J1394" s="11" t="s">
        <v>673</v>
      </c>
    </row>
    <row r="1395" customFormat="false" ht="15" hidden="false" customHeight="false" outlineLevel="0" collapsed="false">
      <c r="A1395" s="11" t="s">
        <v>415</v>
      </c>
      <c r="B1395" s="11" t="s">
        <v>416</v>
      </c>
      <c r="C1395" s="11" t="n">
        <v>2013</v>
      </c>
      <c r="D1395" s="11" t="s">
        <v>22</v>
      </c>
      <c r="E1395" s="17" t="n">
        <v>158164</v>
      </c>
      <c r="F1395" s="11" t="s">
        <v>116</v>
      </c>
      <c r="G1395" s="11" t="s">
        <v>419</v>
      </c>
      <c r="H1395" s="11" t="s">
        <v>118</v>
      </c>
      <c r="I1395" s="11" t="s">
        <v>667</v>
      </c>
      <c r="J1395" s="11" t="s">
        <v>673</v>
      </c>
    </row>
    <row r="1396" customFormat="false" ht="15" hidden="false" customHeight="false" outlineLevel="0" collapsed="false">
      <c r="A1396" s="11" t="s">
        <v>415</v>
      </c>
      <c r="B1396" s="11" t="s">
        <v>416</v>
      </c>
      <c r="C1396" s="11" t="n">
        <v>2014</v>
      </c>
      <c r="D1396" s="11" t="s">
        <v>22</v>
      </c>
      <c r="E1396" s="17" t="n">
        <v>174908</v>
      </c>
      <c r="F1396" s="11" t="s">
        <v>116</v>
      </c>
      <c r="G1396" s="11" t="s">
        <v>419</v>
      </c>
      <c r="H1396" s="11" t="s">
        <v>118</v>
      </c>
      <c r="I1396" s="11" t="s">
        <v>667</v>
      </c>
      <c r="J1396" s="11" t="s">
        <v>673</v>
      </c>
    </row>
    <row r="1397" customFormat="false" ht="15" hidden="false" customHeight="false" outlineLevel="0" collapsed="false">
      <c r="A1397" s="11" t="s">
        <v>415</v>
      </c>
      <c r="B1397" s="11" t="s">
        <v>416</v>
      </c>
      <c r="C1397" s="11" t="n">
        <v>2015</v>
      </c>
      <c r="D1397" s="11" t="s">
        <v>22</v>
      </c>
      <c r="E1397" s="17" t="n">
        <v>177624</v>
      </c>
      <c r="F1397" s="11" t="s">
        <v>116</v>
      </c>
      <c r="G1397" s="11" t="s">
        <v>419</v>
      </c>
      <c r="H1397" s="11" t="s">
        <v>118</v>
      </c>
      <c r="I1397" s="11" t="s">
        <v>667</v>
      </c>
      <c r="J1397" s="11" t="s">
        <v>673</v>
      </c>
    </row>
    <row r="1398" customFormat="false" ht="15" hidden="false" customHeight="false" outlineLevel="0" collapsed="false">
      <c r="A1398" s="11" t="s">
        <v>415</v>
      </c>
      <c r="B1398" s="11" t="s">
        <v>416</v>
      </c>
      <c r="C1398" s="11" t="n">
        <v>2016</v>
      </c>
      <c r="D1398" s="11" t="s">
        <v>22</v>
      </c>
      <c r="E1398" s="17" t="n">
        <v>181642</v>
      </c>
      <c r="F1398" s="11" t="s">
        <v>116</v>
      </c>
      <c r="G1398" s="11" t="s">
        <v>419</v>
      </c>
      <c r="H1398" s="11" t="s">
        <v>118</v>
      </c>
      <c r="I1398" s="11" t="s">
        <v>667</v>
      </c>
      <c r="J1398" s="11" t="s">
        <v>673</v>
      </c>
    </row>
    <row r="1399" customFormat="false" ht="15" hidden="false" customHeight="false" outlineLevel="0" collapsed="false">
      <c r="A1399" s="11" t="s">
        <v>415</v>
      </c>
      <c r="B1399" s="11" t="s">
        <v>416</v>
      </c>
      <c r="C1399" s="11" t="n">
        <v>2017</v>
      </c>
      <c r="D1399" s="11" t="s">
        <v>22</v>
      </c>
      <c r="E1399" s="17" t="n">
        <v>186217</v>
      </c>
      <c r="F1399" s="11" t="s">
        <v>116</v>
      </c>
      <c r="G1399" s="11" t="s">
        <v>419</v>
      </c>
      <c r="H1399" s="11" t="s">
        <v>118</v>
      </c>
      <c r="I1399" s="11" t="s">
        <v>667</v>
      </c>
      <c r="J1399" s="11" t="s">
        <v>673</v>
      </c>
    </row>
    <row r="1400" customFormat="false" ht="15" hidden="false" customHeight="false" outlineLevel="0" collapsed="false">
      <c r="A1400" s="11" t="s">
        <v>415</v>
      </c>
      <c r="B1400" s="11" t="s">
        <v>416</v>
      </c>
      <c r="C1400" s="11" t="n">
        <v>2018</v>
      </c>
      <c r="D1400" s="11" t="s">
        <v>22</v>
      </c>
      <c r="E1400" s="17" t="n">
        <v>190308</v>
      </c>
      <c r="F1400" s="11" t="s">
        <v>116</v>
      </c>
      <c r="G1400" s="11" t="s">
        <v>419</v>
      </c>
      <c r="H1400" s="11" t="s">
        <v>118</v>
      </c>
      <c r="I1400" s="11" t="s">
        <v>667</v>
      </c>
      <c r="J1400" s="11" t="s">
        <v>673</v>
      </c>
    </row>
    <row r="1401" customFormat="false" ht="15" hidden="false" customHeight="false" outlineLevel="0" collapsed="false">
      <c r="A1401" s="11" t="s">
        <v>415</v>
      </c>
      <c r="B1401" s="11" t="s">
        <v>416</v>
      </c>
      <c r="C1401" s="11" t="n">
        <v>2019</v>
      </c>
      <c r="D1401" s="11" t="s">
        <v>22</v>
      </c>
      <c r="E1401" s="17" t="n">
        <v>194389</v>
      </c>
      <c r="F1401" s="11" t="s">
        <v>116</v>
      </c>
      <c r="G1401" s="11" t="s">
        <v>419</v>
      </c>
      <c r="H1401" s="11" t="s">
        <v>118</v>
      </c>
      <c r="I1401" s="11" t="s">
        <v>667</v>
      </c>
      <c r="J1401" s="11" t="s">
        <v>673</v>
      </c>
    </row>
    <row r="1402" customFormat="false" ht="15" hidden="false" customHeight="false" outlineLevel="0" collapsed="false">
      <c r="A1402" s="11" t="s">
        <v>415</v>
      </c>
      <c r="B1402" s="11" t="s">
        <v>416</v>
      </c>
      <c r="C1402" s="11" t="n">
        <v>2020</v>
      </c>
      <c r="D1402" s="11" t="s">
        <v>22</v>
      </c>
      <c r="E1402" s="17" t="n">
        <v>198429</v>
      </c>
      <c r="F1402" s="11" t="s">
        <v>116</v>
      </c>
      <c r="G1402" s="11" t="s">
        <v>419</v>
      </c>
      <c r="H1402" s="11" t="s">
        <v>118</v>
      </c>
      <c r="I1402" s="11" t="s">
        <v>667</v>
      </c>
      <c r="J1402" s="11" t="s">
        <v>673</v>
      </c>
    </row>
    <row r="1403" customFormat="false" ht="15" hidden="false" customHeight="false" outlineLevel="0" collapsed="false">
      <c r="A1403" s="11" t="s">
        <v>415</v>
      </c>
      <c r="B1403" s="11" t="s">
        <v>416</v>
      </c>
      <c r="C1403" s="11" t="n">
        <v>2021</v>
      </c>
      <c r="D1403" s="11" t="s">
        <v>22</v>
      </c>
      <c r="E1403" s="17" t="n">
        <v>201941</v>
      </c>
      <c r="F1403" s="11" t="s">
        <v>116</v>
      </c>
      <c r="G1403" s="11" t="s">
        <v>419</v>
      </c>
      <c r="H1403" s="11" t="s">
        <v>118</v>
      </c>
      <c r="I1403" s="11" t="s">
        <v>667</v>
      </c>
      <c r="J1403" s="11" t="s">
        <v>673</v>
      </c>
    </row>
    <row r="1404" customFormat="false" ht="15" hidden="false" customHeight="false" outlineLevel="0" collapsed="false">
      <c r="A1404" s="11" t="s">
        <v>415</v>
      </c>
      <c r="B1404" s="11" t="s">
        <v>416</v>
      </c>
      <c r="C1404" s="11" t="n">
        <v>2022</v>
      </c>
      <c r="D1404" s="11" t="s">
        <v>22</v>
      </c>
      <c r="E1404" s="17" t="n">
        <v>213171</v>
      </c>
      <c r="F1404" s="11" t="s">
        <v>116</v>
      </c>
      <c r="G1404" s="11" t="s">
        <v>419</v>
      </c>
      <c r="H1404" s="11" t="s">
        <v>118</v>
      </c>
      <c r="I1404" s="11" t="s">
        <v>667</v>
      </c>
      <c r="J1404" s="11" t="s">
        <v>673</v>
      </c>
    </row>
    <row r="1405" customFormat="false" ht="15" hidden="false" customHeight="false" outlineLevel="0" collapsed="false">
      <c r="A1405" s="11" t="s">
        <v>415</v>
      </c>
      <c r="B1405" s="11" t="s">
        <v>416</v>
      </c>
      <c r="C1405" s="11" t="n">
        <v>2010</v>
      </c>
      <c r="D1405" s="11" t="s">
        <v>26</v>
      </c>
      <c r="E1405" s="17" t="n">
        <v>65894</v>
      </c>
      <c r="F1405" s="11" t="s">
        <v>119</v>
      </c>
      <c r="G1405" s="11" t="s">
        <v>420</v>
      </c>
      <c r="H1405" s="11" t="s">
        <v>121</v>
      </c>
      <c r="I1405" s="11" t="s">
        <v>667</v>
      </c>
      <c r="J1405" s="11" t="s">
        <v>673</v>
      </c>
    </row>
    <row r="1406" customFormat="false" ht="15" hidden="false" customHeight="false" outlineLevel="0" collapsed="false">
      <c r="A1406" s="11" t="s">
        <v>415</v>
      </c>
      <c r="B1406" s="11" t="s">
        <v>416</v>
      </c>
      <c r="C1406" s="11" t="n">
        <v>2011</v>
      </c>
      <c r="D1406" s="11" t="s">
        <v>26</v>
      </c>
      <c r="E1406" s="17" t="n">
        <v>69607</v>
      </c>
      <c r="F1406" s="11" t="s">
        <v>119</v>
      </c>
      <c r="G1406" s="11" t="s">
        <v>420</v>
      </c>
      <c r="H1406" s="11" t="s">
        <v>121</v>
      </c>
      <c r="I1406" s="11" t="s">
        <v>667</v>
      </c>
      <c r="J1406" s="11" t="s">
        <v>673</v>
      </c>
    </row>
    <row r="1407" customFormat="false" ht="15" hidden="false" customHeight="false" outlineLevel="0" collapsed="false">
      <c r="A1407" s="11" t="s">
        <v>415</v>
      </c>
      <c r="B1407" s="11" t="s">
        <v>416</v>
      </c>
      <c r="C1407" s="11" t="n">
        <v>2012</v>
      </c>
      <c r="D1407" s="11" t="s">
        <v>26</v>
      </c>
      <c r="E1407" s="17" t="n">
        <v>70727</v>
      </c>
      <c r="F1407" s="11" t="s">
        <v>119</v>
      </c>
      <c r="G1407" s="11" t="s">
        <v>420</v>
      </c>
      <c r="H1407" s="11" t="s">
        <v>121</v>
      </c>
      <c r="I1407" s="11" t="s">
        <v>667</v>
      </c>
      <c r="J1407" s="11" t="s">
        <v>673</v>
      </c>
    </row>
    <row r="1408" customFormat="false" ht="15" hidden="false" customHeight="false" outlineLevel="0" collapsed="false">
      <c r="A1408" s="11" t="s">
        <v>415</v>
      </c>
      <c r="B1408" s="11" t="s">
        <v>416</v>
      </c>
      <c r="C1408" s="11" t="n">
        <v>2013</v>
      </c>
      <c r="D1408" s="11" t="s">
        <v>26</v>
      </c>
      <c r="E1408" s="17" t="n">
        <v>72925</v>
      </c>
      <c r="F1408" s="11" t="s">
        <v>119</v>
      </c>
      <c r="G1408" s="11" t="s">
        <v>420</v>
      </c>
      <c r="H1408" s="11" t="s">
        <v>121</v>
      </c>
      <c r="I1408" s="11" t="s">
        <v>667</v>
      </c>
      <c r="J1408" s="11" t="s">
        <v>673</v>
      </c>
    </row>
    <row r="1409" customFormat="false" ht="15" hidden="false" customHeight="false" outlineLevel="0" collapsed="false">
      <c r="A1409" s="11" t="s">
        <v>415</v>
      </c>
      <c r="B1409" s="11" t="s">
        <v>416</v>
      </c>
      <c r="C1409" s="11" t="n">
        <v>2014</v>
      </c>
      <c r="D1409" s="11" t="s">
        <v>26</v>
      </c>
      <c r="E1409" s="17" t="n">
        <v>59151</v>
      </c>
      <c r="F1409" s="11" t="s">
        <v>119</v>
      </c>
      <c r="G1409" s="11" t="s">
        <v>420</v>
      </c>
      <c r="H1409" s="11" t="s">
        <v>121</v>
      </c>
      <c r="I1409" s="11" t="s">
        <v>667</v>
      </c>
      <c r="J1409" s="11" t="s">
        <v>673</v>
      </c>
    </row>
    <row r="1410" customFormat="false" ht="15" hidden="false" customHeight="false" outlineLevel="0" collapsed="false">
      <c r="A1410" s="11" t="s">
        <v>415</v>
      </c>
      <c r="B1410" s="11" t="s">
        <v>416</v>
      </c>
      <c r="C1410" s="11" t="n">
        <v>2015</v>
      </c>
      <c r="D1410" s="11" t="s">
        <v>26</v>
      </c>
      <c r="E1410" s="17" t="n">
        <v>61766</v>
      </c>
      <c r="F1410" s="11" t="s">
        <v>119</v>
      </c>
      <c r="G1410" s="11" t="s">
        <v>420</v>
      </c>
      <c r="H1410" s="11" t="s">
        <v>121</v>
      </c>
      <c r="I1410" s="11" t="s">
        <v>667</v>
      </c>
      <c r="J1410" s="11" t="s">
        <v>673</v>
      </c>
    </row>
    <row r="1411" customFormat="false" ht="15" hidden="false" customHeight="false" outlineLevel="0" collapsed="false">
      <c r="A1411" s="11" t="s">
        <v>415</v>
      </c>
      <c r="B1411" s="11" t="s">
        <v>416</v>
      </c>
      <c r="C1411" s="11" t="n">
        <v>2016</v>
      </c>
      <c r="D1411" s="11" t="s">
        <v>26</v>
      </c>
      <c r="E1411" s="17" t="n">
        <v>65840</v>
      </c>
      <c r="F1411" s="11" t="s">
        <v>119</v>
      </c>
      <c r="G1411" s="11" t="s">
        <v>420</v>
      </c>
      <c r="H1411" s="11" t="s">
        <v>121</v>
      </c>
      <c r="I1411" s="11" t="s">
        <v>667</v>
      </c>
      <c r="J1411" s="11" t="s">
        <v>673</v>
      </c>
    </row>
    <row r="1412" customFormat="false" ht="15" hidden="false" customHeight="false" outlineLevel="0" collapsed="false">
      <c r="A1412" s="11" t="s">
        <v>415</v>
      </c>
      <c r="B1412" s="11" t="s">
        <v>416</v>
      </c>
      <c r="C1412" s="11" t="n">
        <v>2017</v>
      </c>
      <c r="D1412" s="11" t="s">
        <v>26</v>
      </c>
      <c r="E1412" s="17" t="n">
        <v>69695</v>
      </c>
      <c r="F1412" s="11" t="s">
        <v>119</v>
      </c>
      <c r="G1412" s="11" t="s">
        <v>420</v>
      </c>
      <c r="H1412" s="11" t="s">
        <v>121</v>
      </c>
      <c r="I1412" s="11" t="s">
        <v>667</v>
      </c>
      <c r="J1412" s="11" t="s">
        <v>673</v>
      </c>
    </row>
    <row r="1413" customFormat="false" ht="15" hidden="false" customHeight="false" outlineLevel="0" collapsed="false">
      <c r="A1413" s="11" t="s">
        <v>415</v>
      </c>
      <c r="B1413" s="11" t="s">
        <v>416</v>
      </c>
      <c r="C1413" s="11" t="n">
        <v>2018</v>
      </c>
      <c r="D1413" s="11" t="s">
        <v>26</v>
      </c>
      <c r="E1413" s="17" t="n">
        <v>72883</v>
      </c>
      <c r="F1413" s="11" t="s">
        <v>119</v>
      </c>
      <c r="G1413" s="11" t="s">
        <v>420</v>
      </c>
      <c r="H1413" s="11" t="s">
        <v>121</v>
      </c>
      <c r="I1413" s="11" t="s">
        <v>667</v>
      </c>
      <c r="J1413" s="11" t="s">
        <v>673</v>
      </c>
    </row>
    <row r="1414" customFormat="false" ht="15" hidden="false" customHeight="false" outlineLevel="0" collapsed="false">
      <c r="A1414" s="11" t="s">
        <v>415</v>
      </c>
      <c r="B1414" s="11" t="s">
        <v>416</v>
      </c>
      <c r="C1414" s="11" t="n">
        <v>2019</v>
      </c>
      <c r="D1414" s="11" t="s">
        <v>26</v>
      </c>
      <c r="E1414" s="17" t="n">
        <v>76116</v>
      </c>
      <c r="F1414" s="11" t="s">
        <v>119</v>
      </c>
      <c r="G1414" s="11" t="s">
        <v>420</v>
      </c>
      <c r="H1414" s="11" t="s">
        <v>121</v>
      </c>
      <c r="I1414" s="11" t="s">
        <v>667</v>
      </c>
      <c r="J1414" s="11" t="s">
        <v>673</v>
      </c>
    </row>
    <row r="1415" customFormat="false" ht="15" hidden="false" customHeight="false" outlineLevel="0" collapsed="false">
      <c r="A1415" s="11" t="s">
        <v>415</v>
      </c>
      <c r="B1415" s="11" t="s">
        <v>416</v>
      </c>
      <c r="C1415" s="11" t="n">
        <v>2020</v>
      </c>
      <c r="D1415" s="11" t="s">
        <v>26</v>
      </c>
      <c r="E1415" s="17" t="n">
        <v>78936</v>
      </c>
      <c r="F1415" s="11" t="s">
        <v>119</v>
      </c>
      <c r="G1415" s="11" t="s">
        <v>420</v>
      </c>
      <c r="H1415" s="11" t="s">
        <v>121</v>
      </c>
      <c r="I1415" s="11" t="s">
        <v>667</v>
      </c>
      <c r="J1415" s="11" t="s">
        <v>673</v>
      </c>
    </row>
    <row r="1416" customFormat="false" ht="15" hidden="false" customHeight="false" outlineLevel="0" collapsed="false">
      <c r="A1416" s="11" t="s">
        <v>415</v>
      </c>
      <c r="B1416" s="11" t="s">
        <v>416</v>
      </c>
      <c r="C1416" s="11" t="n">
        <v>2021</v>
      </c>
      <c r="D1416" s="11" t="s">
        <v>26</v>
      </c>
      <c r="E1416" s="17" t="n">
        <v>82075</v>
      </c>
      <c r="F1416" s="11" t="s">
        <v>119</v>
      </c>
      <c r="G1416" s="11" t="s">
        <v>420</v>
      </c>
      <c r="H1416" s="11" t="s">
        <v>121</v>
      </c>
      <c r="I1416" s="11" t="s">
        <v>667</v>
      </c>
      <c r="J1416" s="11" t="s">
        <v>673</v>
      </c>
    </row>
    <row r="1417" customFormat="false" ht="15" hidden="false" customHeight="false" outlineLevel="0" collapsed="false">
      <c r="A1417" s="11" t="s">
        <v>415</v>
      </c>
      <c r="B1417" s="11" t="s">
        <v>416</v>
      </c>
      <c r="C1417" s="11" t="n">
        <v>2022</v>
      </c>
      <c r="D1417" s="11" t="s">
        <v>26</v>
      </c>
      <c r="E1417" s="17" t="n">
        <v>60142</v>
      </c>
      <c r="F1417" s="11" t="s">
        <v>119</v>
      </c>
      <c r="G1417" s="11" t="s">
        <v>420</v>
      </c>
      <c r="H1417" s="11" t="s">
        <v>144</v>
      </c>
      <c r="I1417" s="11" t="s">
        <v>667</v>
      </c>
      <c r="J1417" s="11" t="s">
        <v>673</v>
      </c>
    </row>
    <row r="1418" customFormat="false" ht="15" hidden="false" customHeight="false" outlineLevel="0" collapsed="false">
      <c r="A1418" s="11" t="s">
        <v>415</v>
      </c>
      <c r="B1418" s="11" t="s">
        <v>416</v>
      </c>
      <c r="C1418" s="11" t="n">
        <v>2010</v>
      </c>
      <c r="D1418" s="11" t="s">
        <v>38</v>
      </c>
      <c r="E1418" s="17" t="n">
        <v>1440</v>
      </c>
      <c r="F1418" s="11" t="s">
        <v>123</v>
      </c>
      <c r="G1418" s="11" t="s">
        <v>124</v>
      </c>
      <c r="H1418" s="11" t="s">
        <v>125</v>
      </c>
      <c r="I1418" s="11" t="s">
        <v>667</v>
      </c>
      <c r="J1418" s="11" t="s">
        <v>674</v>
      </c>
    </row>
    <row r="1419" customFormat="false" ht="15" hidden="false" customHeight="false" outlineLevel="0" collapsed="false">
      <c r="A1419" s="11" t="s">
        <v>415</v>
      </c>
      <c r="B1419" s="11" t="s">
        <v>416</v>
      </c>
      <c r="C1419" s="11" t="n">
        <v>2011</v>
      </c>
      <c r="D1419" s="11" t="s">
        <v>38</v>
      </c>
      <c r="E1419" s="17" t="n">
        <v>1145</v>
      </c>
      <c r="F1419" s="11" t="s">
        <v>123</v>
      </c>
      <c r="G1419" s="11" t="s">
        <v>124</v>
      </c>
      <c r="H1419" s="11" t="s">
        <v>125</v>
      </c>
      <c r="I1419" s="11" t="s">
        <v>667</v>
      </c>
      <c r="J1419" s="11" t="s">
        <v>674</v>
      </c>
    </row>
    <row r="1420" customFormat="false" ht="15" hidden="false" customHeight="false" outlineLevel="0" collapsed="false">
      <c r="A1420" s="11" t="s">
        <v>415</v>
      </c>
      <c r="B1420" s="11" t="s">
        <v>416</v>
      </c>
      <c r="C1420" s="11" t="n">
        <v>2012</v>
      </c>
      <c r="D1420" s="11" t="s">
        <v>38</v>
      </c>
      <c r="E1420" s="17" t="n">
        <v>1395</v>
      </c>
      <c r="F1420" s="11" t="s">
        <v>123</v>
      </c>
      <c r="G1420" s="11" t="s">
        <v>124</v>
      </c>
      <c r="H1420" s="11" t="s">
        <v>125</v>
      </c>
      <c r="I1420" s="11" t="s">
        <v>667</v>
      </c>
      <c r="J1420" s="11" t="s">
        <v>674</v>
      </c>
    </row>
    <row r="1421" customFormat="false" ht="15" hidden="false" customHeight="false" outlineLevel="0" collapsed="false">
      <c r="A1421" s="11" t="s">
        <v>415</v>
      </c>
      <c r="B1421" s="11" t="s">
        <v>416</v>
      </c>
      <c r="C1421" s="11" t="n">
        <v>2013</v>
      </c>
      <c r="D1421" s="11" t="s">
        <v>38</v>
      </c>
      <c r="E1421" s="17" t="n">
        <v>1025</v>
      </c>
      <c r="F1421" s="11" t="s">
        <v>123</v>
      </c>
      <c r="G1421" s="11" t="s">
        <v>124</v>
      </c>
      <c r="H1421" s="11" t="s">
        <v>125</v>
      </c>
      <c r="I1421" s="11" t="s">
        <v>667</v>
      </c>
      <c r="J1421" s="11" t="s">
        <v>674</v>
      </c>
    </row>
    <row r="1422" customFormat="false" ht="15" hidden="false" customHeight="false" outlineLevel="0" collapsed="false">
      <c r="A1422" s="11" t="s">
        <v>415</v>
      </c>
      <c r="B1422" s="11" t="s">
        <v>416</v>
      </c>
      <c r="C1422" s="11" t="n">
        <v>2014</v>
      </c>
      <c r="D1422" s="11" t="s">
        <v>38</v>
      </c>
      <c r="E1422" s="17" t="n">
        <v>1155</v>
      </c>
      <c r="F1422" s="11" t="s">
        <v>123</v>
      </c>
      <c r="G1422" s="11" t="s">
        <v>124</v>
      </c>
      <c r="H1422" s="11" t="s">
        <v>125</v>
      </c>
      <c r="I1422" s="11" t="s">
        <v>667</v>
      </c>
      <c r="J1422" s="11" t="s">
        <v>674</v>
      </c>
    </row>
    <row r="1423" customFormat="false" ht="15" hidden="false" customHeight="false" outlineLevel="0" collapsed="false">
      <c r="A1423" s="11" t="s">
        <v>415</v>
      </c>
      <c r="B1423" s="11" t="s">
        <v>416</v>
      </c>
      <c r="C1423" s="11" t="n">
        <v>2015</v>
      </c>
      <c r="D1423" s="11" t="s">
        <v>38</v>
      </c>
      <c r="E1423" s="17" t="n">
        <v>1985</v>
      </c>
      <c r="F1423" s="11" t="s">
        <v>123</v>
      </c>
      <c r="G1423" s="11" t="s">
        <v>124</v>
      </c>
      <c r="H1423" s="11" t="s">
        <v>125</v>
      </c>
      <c r="I1423" s="11" t="s">
        <v>667</v>
      </c>
      <c r="J1423" s="11" t="s">
        <v>674</v>
      </c>
    </row>
    <row r="1424" customFormat="false" ht="15" hidden="false" customHeight="false" outlineLevel="0" collapsed="false">
      <c r="A1424" s="11" t="s">
        <v>415</v>
      </c>
      <c r="B1424" s="11" t="s">
        <v>416</v>
      </c>
      <c r="C1424" s="11" t="n">
        <v>2016</v>
      </c>
      <c r="D1424" s="11" t="s">
        <v>38</v>
      </c>
      <c r="E1424" s="17" t="n">
        <v>2035</v>
      </c>
      <c r="F1424" s="11" t="s">
        <v>123</v>
      </c>
      <c r="G1424" s="11" t="s">
        <v>124</v>
      </c>
      <c r="H1424" s="11" t="s">
        <v>125</v>
      </c>
      <c r="I1424" s="11" t="s">
        <v>667</v>
      </c>
      <c r="J1424" s="11" t="s">
        <v>674</v>
      </c>
    </row>
    <row r="1425" customFormat="false" ht="15" hidden="false" customHeight="false" outlineLevel="0" collapsed="false">
      <c r="A1425" s="11" t="s">
        <v>415</v>
      </c>
      <c r="B1425" s="11" t="s">
        <v>416</v>
      </c>
      <c r="C1425" s="11" t="n">
        <v>2017</v>
      </c>
      <c r="D1425" s="11" t="s">
        <v>38</v>
      </c>
      <c r="E1425" s="17" t="n">
        <v>2590</v>
      </c>
      <c r="F1425" s="11" t="s">
        <v>123</v>
      </c>
      <c r="G1425" s="11" t="s">
        <v>124</v>
      </c>
      <c r="H1425" s="11" t="s">
        <v>125</v>
      </c>
      <c r="I1425" s="11" t="s">
        <v>667</v>
      </c>
      <c r="J1425" s="11" t="s">
        <v>674</v>
      </c>
    </row>
    <row r="1426" customFormat="false" ht="15" hidden="false" customHeight="false" outlineLevel="0" collapsed="false">
      <c r="A1426" s="11" t="s">
        <v>415</v>
      </c>
      <c r="B1426" s="11" t="s">
        <v>416</v>
      </c>
      <c r="C1426" s="11" t="n">
        <v>2018</v>
      </c>
      <c r="D1426" s="11" t="s">
        <v>38</v>
      </c>
      <c r="E1426" s="17" t="n">
        <v>2635</v>
      </c>
      <c r="F1426" s="11" t="s">
        <v>123</v>
      </c>
      <c r="G1426" s="11" t="s">
        <v>124</v>
      </c>
      <c r="H1426" s="11" t="s">
        <v>125</v>
      </c>
      <c r="I1426" s="11" t="s">
        <v>667</v>
      </c>
      <c r="J1426" s="11" t="s">
        <v>674</v>
      </c>
    </row>
    <row r="1427" customFormat="false" ht="15" hidden="false" customHeight="false" outlineLevel="0" collapsed="false">
      <c r="A1427" s="11" t="s">
        <v>415</v>
      </c>
      <c r="B1427" s="11" t="s">
        <v>416</v>
      </c>
      <c r="C1427" s="11" t="n">
        <v>2019</v>
      </c>
      <c r="D1427" s="11" t="s">
        <v>38</v>
      </c>
      <c r="E1427" s="17" t="n">
        <v>2005</v>
      </c>
      <c r="F1427" s="11" t="s">
        <v>123</v>
      </c>
      <c r="G1427" s="11" t="s">
        <v>124</v>
      </c>
      <c r="H1427" s="11" t="s">
        <v>125</v>
      </c>
      <c r="I1427" s="11" t="s">
        <v>667</v>
      </c>
      <c r="J1427" s="11" t="s">
        <v>674</v>
      </c>
    </row>
    <row r="1428" customFormat="false" ht="15" hidden="false" customHeight="false" outlineLevel="0" collapsed="false">
      <c r="A1428" s="11" t="s">
        <v>415</v>
      </c>
      <c r="B1428" s="11" t="s">
        <v>416</v>
      </c>
      <c r="C1428" s="11" t="n">
        <v>2020</v>
      </c>
      <c r="D1428" s="11" t="s">
        <v>38</v>
      </c>
      <c r="E1428" s="17" t="n">
        <v>1215</v>
      </c>
      <c r="F1428" s="11" t="s">
        <v>123</v>
      </c>
      <c r="G1428" s="11" t="s">
        <v>124</v>
      </c>
      <c r="H1428" s="11" t="s">
        <v>125</v>
      </c>
      <c r="I1428" s="11" t="s">
        <v>667</v>
      </c>
      <c r="J1428" s="11" t="s">
        <v>674</v>
      </c>
    </row>
    <row r="1429" customFormat="false" ht="15" hidden="false" customHeight="false" outlineLevel="0" collapsed="false">
      <c r="A1429" s="11" t="s">
        <v>415</v>
      </c>
      <c r="B1429" s="11" t="s">
        <v>416</v>
      </c>
      <c r="C1429" s="11" t="n">
        <v>2021</v>
      </c>
      <c r="D1429" s="11" t="s">
        <v>38</v>
      </c>
      <c r="E1429" s="17" t="n">
        <v>1715</v>
      </c>
      <c r="F1429" s="11" t="s">
        <v>123</v>
      </c>
      <c r="G1429" s="11" t="s">
        <v>124</v>
      </c>
      <c r="H1429" s="11" t="s">
        <v>125</v>
      </c>
      <c r="I1429" s="11" t="s">
        <v>667</v>
      </c>
      <c r="J1429" s="11" t="s">
        <v>674</v>
      </c>
    </row>
    <row r="1430" customFormat="false" ht="15" hidden="false" customHeight="false" outlineLevel="0" collapsed="false">
      <c r="A1430" s="11" t="s">
        <v>415</v>
      </c>
      <c r="B1430" s="11" t="s">
        <v>416</v>
      </c>
      <c r="C1430" s="11" t="n">
        <v>2022</v>
      </c>
      <c r="D1430" s="11" t="s">
        <v>38</v>
      </c>
      <c r="E1430" s="17" t="n">
        <v>11705</v>
      </c>
      <c r="F1430" s="11" t="s">
        <v>123</v>
      </c>
      <c r="G1430" s="11" t="s">
        <v>124</v>
      </c>
      <c r="H1430" s="11" t="s">
        <v>125</v>
      </c>
      <c r="I1430" s="11" t="s">
        <v>667</v>
      </c>
      <c r="J1430" s="11" t="s">
        <v>674</v>
      </c>
    </row>
    <row r="1431" customFormat="false" ht="15" hidden="false" customHeight="false" outlineLevel="0" collapsed="false">
      <c r="A1431" s="11" t="s">
        <v>415</v>
      </c>
      <c r="B1431" s="11" t="s">
        <v>416</v>
      </c>
      <c r="C1431" s="11" t="n">
        <v>2010</v>
      </c>
      <c r="D1431" s="11" t="s">
        <v>18</v>
      </c>
      <c r="E1431" s="17" t="n">
        <v>5391428</v>
      </c>
      <c r="F1431" s="11" t="s">
        <v>98</v>
      </c>
      <c r="G1431" s="11" t="s">
        <v>99</v>
      </c>
      <c r="H1431" s="11" t="s">
        <v>671</v>
      </c>
      <c r="I1431" s="11" t="s">
        <v>667</v>
      </c>
      <c r="J1431" s="11" t="s">
        <v>672</v>
      </c>
    </row>
    <row r="1432" customFormat="false" ht="15" hidden="false" customHeight="false" outlineLevel="0" collapsed="false">
      <c r="A1432" s="11" t="s">
        <v>415</v>
      </c>
      <c r="B1432" s="11" t="s">
        <v>416</v>
      </c>
      <c r="C1432" s="11" t="n">
        <v>2011</v>
      </c>
      <c r="D1432" s="11" t="s">
        <v>18</v>
      </c>
      <c r="E1432" s="17" t="n">
        <v>5398384</v>
      </c>
      <c r="F1432" s="11" t="s">
        <v>98</v>
      </c>
      <c r="G1432" s="11" t="s">
        <v>99</v>
      </c>
      <c r="H1432" s="11" t="s">
        <v>671</v>
      </c>
      <c r="I1432" s="11" t="s">
        <v>667</v>
      </c>
      <c r="J1432" s="11" t="s">
        <v>672</v>
      </c>
    </row>
    <row r="1433" customFormat="false" ht="15" hidden="false" customHeight="false" outlineLevel="0" collapsed="false">
      <c r="A1433" s="11" t="s">
        <v>415</v>
      </c>
      <c r="B1433" s="11" t="s">
        <v>416</v>
      </c>
      <c r="C1433" s="11" t="n">
        <v>2012</v>
      </c>
      <c r="D1433" s="11" t="s">
        <v>18</v>
      </c>
      <c r="E1433" s="17" t="n">
        <v>5407579</v>
      </c>
      <c r="F1433" s="11" t="s">
        <v>98</v>
      </c>
      <c r="G1433" s="11" t="s">
        <v>99</v>
      </c>
      <c r="H1433" s="11" t="s">
        <v>671</v>
      </c>
      <c r="I1433" s="11" t="s">
        <v>667</v>
      </c>
      <c r="J1433" s="11" t="s">
        <v>672</v>
      </c>
    </row>
    <row r="1434" customFormat="false" ht="15" hidden="false" customHeight="false" outlineLevel="0" collapsed="false">
      <c r="A1434" s="11" t="s">
        <v>415</v>
      </c>
      <c r="B1434" s="11" t="s">
        <v>416</v>
      </c>
      <c r="C1434" s="11" t="n">
        <v>2013</v>
      </c>
      <c r="D1434" s="11" t="s">
        <v>18</v>
      </c>
      <c r="E1434" s="17" t="n">
        <v>5413393</v>
      </c>
      <c r="F1434" s="11" t="s">
        <v>98</v>
      </c>
      <c r="G1434" s="11" t="s">
        <v>99</v>
      </c>
      <c r="H1434" s="11" t="s">
        <v>671</v>
      </c>
      <c r="I1434" s="11" t="s">
        <v>667</v>
      </c>
      <c r="J1434" s="11" t="s">
        <v>672</v>
      </c>
    </row>
    <row r="1435" customFormat="false" ht="15" hidden="false" customHeight="false" outlineLevel="0" collapsed="false">
      <c r="A1435" s="11" t="s">
        <v>415</v>
      </c>
      <c r="B1435" s="11" t="s">
        <v>416</v>
      </c>
      <c r="C1435" s="11" t="n">
        <v>2014</v>
      </c>
      <c r="D1435" s="11" t="s">
        <v>18</v>
      </c>
      <c r="E1435" s="17" t="n">
        <v>5418649</v>
      </c>
      <c r="F1435" s="11" t="s">
        <v>98</v>
      </c>
      <c r="G1435" s="11" t="s">
        <v>99</v>
      </c>
      <c r="H1435" s="11" t="s">
        <v>671</v>
      </c>
      <c r="I1435" s="11" t="s">
        <v>667</v>
      </c>
      <c r="J1435" s="11" t="s">
        <v>672</v>
      </c>
    </row>
    <row r="1436" customFormat="false" ht="15" hidden="false" customHeight="false" outlineLevel="0" collapsed="false">
      <c r="A1436" s="11" t="s">
        <v>415</v>
      </c>
      <c r="B1436" s="11" t="s">
        <v>416</v>
      </c>
      <c r="C1436" s="11" t="n">
        <v>2015</v>
      </c>
      <c r="D1436" s="11" t="s">
        <v>18</v>
      </c>
      <c r="E1436" s="17" t="n">
        <v>5423801</v>
      </c>
      <c r="F1436" s="11" t="s">
        <v>98</v>
      </c>
      <c r="G1436" s="11" t="s">
        <v>99</v>
      </c>
      <c r="H1436" s="11" t="s">
        <v>671</v>
      </c>
      <c r="I1436" s="11" t="s">
        <v>667</v>
      </c>
      <c r="J1436" s="11" t="s">
        <v>672</v>
      </c>
    </row>
    <row r="1437" customFormat="false" ht="15" hidden="false" customHeight="false" outlineLevel="0" collapsed="false">
      <c r="A1437" s="11" t="s">
        <v>415</v>
      </c>
      <c r="B1437" s="11" t="s">
        <v>416</v>
      </c>
      <c r="C1437" s="11" t="n">
        <v>2016</v>
      </c>
      <c r="D1437" s="11" t="s">
        <v>18</v>
      </c>
      <c r="E1437" s="17" t="n">
        <v>5430798</v>
      </c>
      <c r="F1437" s="11" t="s">
        <v>98</v>
      </c>
      <c r="G1437" s="11" t="s">
        <v>99</v>
      </c>
      <c r="H1437" s="11" t="s">
        <v>671</v>
      </c>
      <c r="I1437" s="11" t="s">
        <v>667</v>
      </c>
      <c r="J1437" s="11" t="s">
        <v>672</v>
      </c>
    </row>
    <row r="1438" customFormat="false" ht="15" hidden="false" customHeight="false" outlineLevel="0" collapsed="false">
      <c r="A1438" s="11" t="s">
        <v>415</v>
      </c>
      <c r="B1438" s="11" t="s">
        <v>416</v>
      </c>
      <c r="C1438" s="11" t="n">
        <v>2017</v>
      </c>
      <c r="D1438" s="11" t="s">
        <v>18</v>
      </c>
      <c r="E1438" s="17" t="n">
        <v>5439232</v>
      </c>
      <c r="F1438" s="11" t="s">
        <v>98</v>
      </c>
      <c r="G1438" s="11" t="s">
        <v>99</v>
      </c>
      <c r="H1438" s="11" t="s">
        <v>671</v>
      </c>
      <c r="I1438" s="11" t="s">
        <v>667</v>
      </c>
      <c r="J1438" s="11" t="s">
        <v>672</v>
      </c>
    </row>
    <row r="1439" customFormat="false" ht="15" hidden="false" customHeight="false" outlineLevel="0" collapsed="false">
      <c r="A1439" s="11" t="s">
        <v>415</v>
      </c>
      <c r="B1439" s="11" t="s">
        <v>416</v>
      </c>
      <c r="C1439" s="11" t="n">
        <v>2018</v>
      </c>
      <c r="D1439" s="11" t="s">
        <v>18</v>
      </c>
      <c r="E1439" s="17" t="n">
        <v>5446771</v>
      </c>
      <c r="F1439" s="11" t="s">
        <v>98</v>
      </c>
      <c r="G1439" s="11" t="s">
        <v>99</v>
      </c>
      <c r="H1439" s="11" t="s">
        <v>671</v>
      </c>
      <c r="I1439" s="11" t="s">
        <v>667</v>
      </c>
      <c r="J1439" s="11" t="s">
        <v>672</v>
      </c>
    </row>
    <row r="1440" customFormat="false" ht="15" hidden="false" customHeight="false" outlineLevel="0" collapsed="false">
      <c r="A1440" s="11" t="s">
        <v>415</v>
      </c>
      <c r="B1440" s="11" t="s">
        <v>416</v>
      </c>
      <c r="C1440" s="11" t="n">
        <v>2019</v>
      </c>
      <c r="D1440" s="11" t="s">
        <v>18</v>
      </c>
      <c r="E1440" s="17" t="n">
        <v>5454147</v>
      </c>
      <c r="F1440" s="11" t="s">
        <v>98</v>
      </c>
      <c r="G1440" s="11" t="s">
        <v>99</v>
      </c>
      <c r="H1440" s="11" t="s">
        <v>671</v>
      </c>
      <c r="I1440" s="11" t="s">
        <v>667</v>
      </c>
      <c r="J1440" s="11" t="s">
        <v>672</v>
      </c>
    </row>
    <row r="1441" customFormat="false" ht="15" hidden="false" customHeight="false" outlineLevel="0" collapsed="false">
      <c r="A1441" s="11" t="s">
        <v>415</v>
      </c>
      <c r="B1441" s="11" t="s">
        <v>416</v>
      </c>
      <c r="C1441" s="11" t="n">
        <v>2020</v>
      </c>
      <c r="D1441" s="11" t="s">
        <v>18</v>
      </c>
      <c r="E1441" s="17" t="n">
        <v>5458827</v>
      </c>
      <c r="F1441" s="11" t="s">
        <v>98</v>
      </c>
      <c r="G1441" s="11" t="s">
        <v>99</v>
      </c>
      <c r="H1441" s="11" t="s">
        <v>671</v>
      </c>
      <c r="I1441" s="11" t="s">
        <v>667</v>
      </c>
      <c r="J1441" s="11" t="s">
        <v>672</v>
      </c>
    </row>
    <row r="1442" customFormat="false" ht="15" hidden="false" customHeight="false" outlineLevel="0" collapsed="false">
      <c r="A1442" s="11" t="s">
        <v>415</v>
      </c>
      <c r="B1442" s="11" t="s">
        <v>416</v>
      </c>
      <c r="C1442" s="11" t="n">
        <v>2021</v>
      </c>
      <c r="D1442" s="11" t="s">
        <v>18</v>
      </c>
      <c r="E1442" s="17" t="n">
        <v>5447247</v>
      </c>
      <c r="F1442" s="11" t="s">
        <v>98</v>
      </c>
      <c r="G1442" s="11" t="s">
        <v>99</v>
      </c>
      <c r="H1442" s="11" t="s">
        <v>671</v>
      </c>
      <c r="I1442" s="11" t="s">
        <v>667</v>
      </c>
      <c r="J1442" s="11" t="s">
        <v>672</v>
      </c>
    </row>
    <row r="1443" customFormat="false" ht="15" hidden="false" customHeight="false" outlineLevel="0" collapsed="false">
      <c r="A1443" s="11" t="s">
        <v>415</v>
      </c>
      <c r="B1443" s="11" t="s">
        <v>416</v>
      </c>
      <c r="C1443" s="11" t="n">
        <v>2022</v>
      </c>
      <c r="D1443" s="11" t="s">
        <v>18</v>
      </c>
      <c r="E1443" s="17" t="n">
        <v>5431752</v>
      </c>
      <c r="F1443" s="11" t="s">
        <v>98</v>
      </c>
      <c r="G1443" s="11" t="s">
        <v>99</v>
      </c>
      <c r="H1443" s="11" t="s">
        <v>671</v>
      </c>
      <c r="I1443" s="11" t="s">
        <v>667</v>
      </c>
      <c r="J1443" s="11" t="s">
        <v>672</v>
      </c>
    </row>
    <row r="1444" customFormat="false" ht="15" hidden="false" customHeight="false" outlineLevel="0" collapsed="false">
      <c r="A1444" s="11" t="s">
        <v>421</v>
      </c>
      <c r="B1444" s="11" t="s">
        <v>422</v>
      </c>
      <c r="C1444" s="11" t="n">
        <v>2010</v>
      </c>
      <c r="D1444" s="11" t="s">
        <v>22</v>
      </c>
      <c r="E1444" s="17" t="n">
        <v>253786</v>
      </c>
      <c r="F1444" s="11" t="s">
        <v>116</v>
      </c>
      <c r="G1444" s="11" t="s">
        <v>425</v>
      </c>
      <c r="H1444" s="11" t="s">
        <v>118</v>
      </c>
      <c r="I1444" s="11" t="s">
        <v>667</v>
      </c>
      <c r="J1444" s="11" t="s">
        <v>673</v>
      </c>
    </row>
    <row r="1445" customFormat="false" ht="15" hidden="false" customHeight="false" outlineLevel="0" collapsed="false">
      <c r="A1445" s="11" t="s">
        <v>421</v>
      </c>
      <c r="B1445" s="11" t="s">
        <v>422</v>
      </c>
      <c r="C1445" s="11" t="n">
        <v>2011</v>
      </c>
      <c r="D1445" s="11" t="s">
        <v>22</v>
      </c>
      <c r="E1445" s="17" t="n">
        <v>228588</v>
      </c>
      <c r="F1445" s="11" t="s">
        <v>116</v>
      </c>
      <c r="G1445" s="11" t="s">
        <v>425</v>
      </c>
      <c r="H1445" s="11" t="s">
        <v>200</v>
      </c>
      <c r="I1445" s="11" t="s">
        <v>667</v>
      </c>
      <c r="J1445" s="11" t="s">
        <v>673</v>
      </c>
    </row>
    <row r="1446" customFormat="false" ht="15" hidden="false" customHeight="false" outlineLevel="0" collapsed="false">
      <c r="A1446" s="11" t="s">
        <v>421</v>
      </c>
      <c r="B1446" s="11" t="s">
        <v>422</v>
      </c>
      <c r="C1446" s="11" t="n">
        <v>2012</v>
      </c>
      <c r="D1446" s="11" t="s">
        <v>22</v>
      </c>
      <c r="E1446" s="17" t="n">
        <v>230109</v>
      </c>
      <c r="F1446" s="11" t="s">
        <v>116</v>
      </c>
      <c r="G1446" s="11" t="s">
        <v>425</v>
      </c>
      <c r="H1446" s="11" t="s">
        <v>118</v>
      </c>
      <c r="I1446" s="11" t="s">
        <v>667</v>
      </c>
      <c r="J1446" s="11" t="s">
        <v>673</v>
      </c>
    </row>
    <row r="1447" customFormat="false" ht="15" hidden="false" customHeight="false" outlineLevel="0" collapsed="false">
      <c r="A1447" s="11" t="s">
        <v>421</v>
      </c>
      <c r="B1447" s="11" t="s">
        <v>422</v>
      </c>
      <c r="C1447" s="11" t="n">
        <v>2013</v>
      </c>
      <c r="D1447" s="11" t="s">
        <v>22</v>
      </c>
      <c r="E1447" s="17" t="n">
        <v>232703</v>
      </c>
      <c r="F1447" s="11" t="s">
        <v>116</v>
      </c>
      <c r="G1447" s="11" t="s">
        <v>425</v>
      </c>
      <c r="H1447" s="11" t="s">
        <v>118</v>
      </c>
      <c r="I1447" s="11" t="s">
        <v>667</v>
      </c>
      <c r="J1447" s="11" t="s">
        <v>673</v>
      </c>
    </row>
    <row r="1448" customFormat="false" ht="15" hidden="false" customHeight="false" outlineLevel="0" collapsed="false">
      <c r="A1448" s="11" t="s">
        <v>421</v>
      </c>
      <c r="B1448" s="11" t="s">
        <v>422</v>
      </c>
      <c r="C1448" s="11" t="n">
        <v>2014</v>
      </c>
      <c r="D1448" s="11" t="s">
        <v>22</v>
      </c>
      <c r="E1448" s="17" t="n">
        <v>235310</v>
      </c>
      <c r="F1448" s="11" t="s">
        <v>116</v>
      </c>
      <c r="G1448" s="11" t="s">
        <v>425</v>
      </c>
      <c r="H1448" s="11" t="s">
        <v>118</v>
      </c>
      <c r="I1448" s="11" t="s">
        <v>667</v>
      </c>
      <c r="J1448" s="11" t="s">
        <v>673</v>
      </c>
    </row>
    <row r="1449" customFormat="false" ht="15" hidden="false" customHeight="false" outlineLevel="0" collapsed="false">
      <c r="A1449" s="11" t="s">
        <v>421</v>
      </c>
      <c r="B1449" s="11" t="s">
        <v>422</v>
      </c>
      <c r="C1449" s="11" t="n">
        <v>2015</v>
      </c>
      <c r="D1449" s="11" t="s">
        <v>22</v>
      </c>
      <c r="E1449" s="17" t="n">
        <v>237616</v>
      </c>
      <c r="F1449" s="11" t="s">
        <v>116</v>
      </c>
      <c r="G1449" s="11" t="s">
        <v>425</v>
      </c>
      <c r="H1449" s="11" t="s">
        <v>118</v>
      </c>
      <c r="I1449" s="11" t="s">
        <v>667</v>
      </c>
      <c r="J1449" s="11" t="s">
        <v>673</v>
      </c>
    </row>
    <row r="1450" customFormat="false" ht="15" hidden="false" customHeight="false" outlineLevel="0" collapsed="false">
      <c r="A1450" s="11" t="s">
        <v>421</v>
      </c>
      <c r="B1450" s="11" t="s">
        <v>422</v>
      </c>
      <c r="C1450" s="11" t="n">
        <v>2016</v>
      </c>
      <c r="D1450" s="11" t="s">
        <v>22</v>
      </c>
      <c r="E1450" s="17" t="n">
        <v>241203</v>
      </c>
      <c r="F1450" s="11" t="s">
        <v>116</v>
      </c>
      <c r="G1450" s="11" t="s">
        <v>425</v>
      </c>
      <c r="H1450" s="11" t="s">
        <v>118</v>
      </c>
      <c r="I1450" s="11" t="s">
        <v>667</v>
      </c>
      <c r="J1450" s="11" t="s">
        <v>673</v>
      </c>
    </row>
    <row r="1451" customFormat="false" ht="15" hidden="false" customHeight="false" outlineLevel="0" collapsed="false">
      <c r="A1451" s="11" t="s">
        <v>421</v>
      </c>
      <c r="B1451" s="11" t="s">
        <v>422</v>
      </c>
      <c r="C1451" s="11" t="n">
        <v>2017</v>
      </c>
      <c r="D1451" s="11" t="s">
        <v>22</v>
      </c>
      <c r="E1451" s="17" t="n">
        <v>245369</v>
      </c>
      <c r="F1451" s="11" t="s">
        <v>116</v>
      </c>
      <c r="G1451" s="11" t="s">
        <v>425</v>
      </c>
      <c r="H1451" s="11" t="s">
        <v>118</v>
      </c>
      <c r="I1451" s="11" t="s">
        <v>667</v>
      </c>
      <c r="J1451" s="11" t="s">
        <v>673</v>
      </c>
    </row>
    <row r="1452" customFormat="false" ht="15" hidden="false" customHeight="false" outlineLevel="0" collapsed="false">
      <c r="A1452" s="11" t="s">
        <v>421</v>
      </c>
      <c r="B1452" s="11" t="s">
        <v>422</v>
      </c>
      <c r="C1452" s="11" t="n">
        <v>2018</v>
      </c>
      <c r="D1452" s="11" t="s">
        <v>22</v>
      </c>
      <c r="E1452" s="17" t="n">
        <v>250226</v>
      </c>
      <c r="F1452" s="11" t="s">
        <v>116</v>
      </c>
      <c r="G1452" s="11" t="s">
        <v>425</v>
      </c>
      <c r="H1452" s="11" t="s">
        <v>118</v>
      </c>
      <c r="I1452" s="11" t="s">
        <v>667</v>
      </c>
      <c r="J1452" s="11" t="s">
        <v>673</v>
      </c>
    </row>
    <row r="1453" customFormat="false" ht="15" hidden="false" customHeight="false" outlineLevel="0" collapsed="false">
      <c r="A1453" s="11" t="s">
        <v>421</v>
      </c>
      <c r="B1453" s="11" t="s">
        <v>422</v>
      </c>
      <c r="C1453" s="11" t="n">
        <v>2019</v>
      </c>
      <c r="D1453" s="11" t="s">
        <v>22</v>
      </c>
      <c r="E1453" s="17" t="n">
        <v>265072</v>
      </c>
      <c r="F1453" s="11" t="s">
        <v>116</v>
      </c>
      <c r="G1453" s="11" t="s">
        <v>425</v>
      </c>
      <c r="H1453" s="11" t="s">
        <v>118</v>
      </c>
      <c r="I1453" s="11" t="s">
        <v>667</v>
      </c>
      <c r="J1453" s="11" t="s">
        <v>673</v>
      </c>
    </row>
    <row r="1454" customFormat="false" ht="15" hidden="false" customHeight="false" outlineLevel="0" collapsed="false">
      <c r="A1454" s="11" t="s">
        <v>421</v>
      </c>
      <c r="B1454" s="11" t="s">
        <v>422</v>
      </c>
      <c r="C1454" s="11" t="n">
        <v>2020</v>
      </c>
      <c r="D1454" s="11" t="s">
        <v>22</v>
      </c>
      <c r="E1454" s="17" t="n">
        <v>281621</v>
      </c>
      <c r="F1454" s="11" t="s">
        <v>116</v>
      </c>
      <c r="G1454" s="11" t="s">
        <v>425</v>
      </c>
      <c r="H1454" s="11" t="s">
        <v>118</v>
      </c>
      <c r="I1454" s="11" t="s">
        <v>667</v>
      </c>
      <c r="J1454" s="11" t="s">
        <v>673</v>
      </c>
    </row>
    <row r="1455" customFormat="false" ht="15" hidden="false" customHeight="false" outlineLevel="0" collapsed="false">
      <c r="A1455" s="11" t="s">
        <v>421</v>
      </c>
      <c r="B1455" s="11" t="s">
        <v>422</v>
      </c>
      <c r="C1455" s="11" t="n">
        <v>2021</v>
      </c>
      <c r="D1455" s="11" t="s">
        <v>22</v>
      </c>
      <c r="E1455" s="17" t="n">
        <v>292824</v>
      </c>
      <c r="F1455" s="11" t="s">
        <v>116</v>
      </c>
      <c r="G1455" s="11" t="s">
        <v>425</v>
      </c>
      <c r="H1455" s="11" t="s">
        <v>118</v>
      </c>
      <c r="I1455" s="11" t="s">
        <v>667</v>
      </c>
      <c r="J1455" s="11" t="s">
        <v>673</v>
      </c>
    </row>
    <row r="1456" customFormat="false" ht="15" hidden="false" customHeight="false" outlineLevel="0" collapsed="false">
      <c r="A1456" s="11" t="s">
        <v>421</v>
      </c>
      <c r="B1456" s="11" t="s">
        <v>422</v>
      </c>
      <c r="C1456" s="11" t="n">
        <v>2022</v>
      </c>
      <c r="D1456" s="11" t="s">
        <v>22</v>
      </c>
      <c r="E1456" s="17" t="n">
        <v>294533</v>
      </c>
      <c r="F1456" s="11" t="s">
        <v>116</v>
      </c>
      <c r="G1456" s="11" t="s">
        <v>425</v>
      </c>
      <c r="H1456" s="11" t="s">
        <v>118</v>
      </c>
      <c r="I1456" s="11" t="s">
        <v>667</v>
      </c>
      <c r="J1456" s="11" t="s">
        <v>673</v>
      </c>
    </row>
    <row r="1457" customFormat="false" ht="15" hidden="false" customHeight="false" outlineLevel="0" collapsed="false">
      <c r="A1457" s="11" t="s">
        <v>421</v>
      </c>
      <c r="B1457" s="11" t="s">
        <v>422</v>
      </c>
      <c r="C1457" s="11" t="n">
        <v>2010</v>
      </c>
      <c r="D1457" s="11" t="s">
        <v>26</v>
      </c>
      <c r="E1457" s="17" t="n">
        <v>82176</v>
      </c>
      <c r="F1457" s="11" t="s">
        <v>119</v>
      </c>
      <c r="G1457" s="11" t="s">
        <v>426</v>
      </c>
      <c r="H1457" s="11" t="s">
        <v>121</v>
      </c>
      <c r="I1457" s="11" t="s">
        <v>667</v>
      </c>
      <c r="J1457" s="11" t="s">
        <v>673</v>
      </c>
    </row>
    <row r="1458" customFormat="false" ht="15" hidden="false" customHeight="false" outlineLevel="0" collapsed="false">
      <c r="A1458" s="11" t="s">
        <v>421</v>
      </c>
      <c r="B1458" s="11" t="s">
        <v>422</v>
      </c>
      <c r="C1458" s="11" t="n">
        <v>2011</v>
      </c>
      <c r="D1458" s="11" t="s">
        <v>26</v>
      </c>
      <c r="E1458" s="17" t="n">
        <v>82746</v>
      </c>
      <c r="F1458" s="11" t="s">
        <v>119</v>
      </c>
      <c r="G1458" s="11" t="s">
        <v>426</v>
      </c>
      <c r="H1458" s="11" t="s">
        <v>121</v>
      </c>
      <c r="I1458" s="11" t="s">
        <v>667</v>
      </c>
      <c r="J1458" s="11" t="s">
        <v>673</v>
      </c>
    </row>
    <row r="1459" customFormat="false" ht="15" hidden="false" customHeight="false" outlineLevel="0" collapsed="false">
      <c r="A1459" s="11" t="s">
        <v>421</v>
      </c>
      <c r="B1459" s="11" t="s">
        <v>422</v>
      </c>
      <c r="C1459" s="11" t="n">
        <v>2012</v>
      </c>
      <c r="D1459" s="11" t="s">
        <v>26</v>
      </c>
      <c r="E1459" s="17" t="n">
        <v>85555</v>
      </c>
      <c r="F1459" s="11" t="s">
        <v>119</v>
      </c>
      <c r="G1459" s="11" t="s">
        <v>426</v>
      </c>
      <c r="H1459" s="11" t="s">
        <v>121</v>
      </c>
      <c r="I1459" s="11" t="s">
        <v>667</v>
      </c>
      <c r="J1459" s="11" t="s">
        <v>673</v>
      </c>
    </row>
    <row r="1460" customFormat="false" ht="15" hidden="false" customHeight="false" outlineLevel="0" collapsed="false">
      <c r="A1460" s="11" t="s">
        <v>421</v>
      </c>
      <c r="B1460" s="11" t="s">
        <v>422</v>
      </c>
      <c r="C1460" s="11" t="n">
        <v>2013</v>
      </c>
      <c r="D1460" s="11" t="s">
        <v>26</v>
      </c>
      <c r="E1460" s="17" t="n">
        <v>91385</v>
      </c>
      <c r="F1460" s="11" t="s">
        <v>119</v>
      </c>
      <c r="G1460" s="11" t="s">
        <v>426</v>
      </c>
      <c r="H1460" s="11" t="s">
        <v>121</v>
      </c>
      <c r="I1460" s="11" t="s">
        <v>667</v>
      </c>
      <c r="J1460" s="11" t="s">
        <v>673</v>
      </c>
    </row>
    <row r="1461" customFormat="false" ht="15" hidden="false" customHeight="false" outlineLevel="0" collapsed="false">
      <c r="A1461" s="11" t="s">
        <v>421</v>
      </c>
      <c r="B1461" s="11" t="s">
        <v>422</v>
      </c>
      <c r="C1461" s="11" t="n">
        <v>2014</v>
      </c>
      <c r="D1461" s="11" t="s">
        <v>26</v>
      </c>
      <c r="E1461" s="17" t="n">
        <v>96608</v>
      </c>
      <c r="F1461" s="11" t="s">
        <v>119</v>
      </c>
      <c r="G1461" s="11" t="s">
        <v>426</v>
      </c>
      <c r="H1461" s="11" t="s">
        <v>121</v>
      </c>
      <c r="I1461" s="11" t="s">
        <v>667</v>
      </c>
      <c r="J1461" s="11" t="s">
        <v>673</v>
      </c>
    </row>
    <row r="1462" customFormat="false" ht="15" hidden="false" customHeight="false" outlineLevel="0" collapsed="false">
      <c r="A1462" s="11" t="s">
        <v>421</v>
      </c>
      <c r="B1462" s="11" t="s">
        <v>422</v>
      </c>
      <c r="C1462" s="11" t="n">
        <v>2015</v>
      </c>
      <c r="D1462" s="11" t="s">
        <v>26</v>
      </c>
      <c r="E1462" s="17" t="n">
        <v>101532</v>
      </c>
      <c r="F1462" s="11" t="s">
        <v>119</v>
      </c>
      <c r="G1462" s="11" t="s">
        <v>426</v>
      </c>
      <c r="H1462" s="11" t="s">
        <v>121</v>
      </c>
      <c r="I1462" s="11" t="s">
        <v>667</v>
      </c>
      <c r="J1462" s="11" t="s">
        <v>673</v>
      </c>
    </row>
    <row r="1463" customFormat="false" ht="15" hidden="false" customHeight="false" outlineLevel="0" collapsed="false">
      <c r="A1463" s="11" t="s">
        <v>421</v>
      </c>
      <c r="B1463" s="11" t="s">
        <v>422</v>
      </c>
      <c r="C1463" s="11" t="n">
        <v>2016</v>
      </c>
      <c r="D1463" s="11" t="s">
        <v>26</v>
      </c>
      <c r="E1463" s="17" t="n">
        <v>107766</v>
      </c>
      <c r="F1463" s="11" t="s">
        <v>119</v>
      </c>
      <c r="G1463" s="11" t="s">
        <v>426</v>
      </c>
      <c r="H1463" s="11" t="s">
        <v>121</v>
      </c>
      <c r="I1463" s="11" t="s">
        <v>667</v>
      </c>
      <c r="J1463" s="11" t="s">
        <v>673</v>
      </c>
    </row>
    <row r="1464" customFormat="false" ht="15" hidden="false" customHeight="false" outlineLevel="0" collapsed="false">
      <c r="A1464" s="11" t="s">
        <v>421</v>
      </c>
      <c r="B1464" s="11" t="s">
        <v>422</v>
      </c>
      <c r="C1464" s="11" t="n">
        <v>2017</v>
      </c>
      <c r="D1464" s="11" t="s">
        <v>26</v>
      </c>
      <c r="E1464" s="17" t="n">
        <v>114438</v>
      </c>
      <c r="F1464" s="11" t="s">
        <v>119</v>
      </c>
      <c r="G1464" s="11" t="s">
        <v>426</v>
      </c>
      <c r="H1464" s="11" t="s">
        <v>121</v>
      </c>
      <c r="I1464" s="11" t="s">
        <v>667</v>
      </c>
      <c r="J1464" s="11" t="s">
        <v>673</v>
      </c>
    </row>
    <row r="1465" customFormat="false" ht="15" hidden="false" customHeight="false" outlineLevel="0" collapsed="false">
      <c r="A1465" s="11" t="s">
        <v>421</v>
      </c>
      <c r="B1465" s="11" t="s">
        <v>422</v>
      </c>
      <c r="C1465" s="11" t="n">
        <v>2018</v>
      </c>
      <c r="D1465" s="11" t="s">
        <v>26</v>
      </c>
      <c r="E1465" s="17" t="n">
        <v>121875</v>
      </c>
      <c r="F1465" s="11" t="s">
        <v>119</v>
      </c>
      <c r="G1465" s="11" t="s">
        <v>426</v>
      </c>
      <c r="H1465" s="11" t="s">
        <v>121</v>
      </c>
      <c r="I1465" s="11" t="s">
        <v>667</v>
      </c>
      <c r="J1465" s="11" t="s">
        <v>673</v>
      </c>
    </row>
    <row r="1466" customFormat="false" ht="15" hidden="false" customHeight="false" outlineLevel="0" collapsed="false">
      <c r="A1466" s="11" t="s">
        <v>421</v>
      </c>
      <c r="B1466" s="11" t="s">
        <v>422</v>
      </c>
      <c r="C1466" s="11" t="n">
        <v>2019</v>
      </c>
      <c r="D1466" s="11" t="s">
        <v>26</v>
      </c>
      <c r="E1466" s="17" t="n">
        <v>138193</v>
      </c>
      <c r="F1466" s="11" t="s">
        <v>119</v>
      </c>
      <c r="G1466" s="11" t="s">
        <v>426</v>
      </c>
      <c r="H1466" s="11" t="s">
        <v>121</v>
      </c>
      <c r="I1466" s="11" t="s">
        <v>667</v>
      </c>
      <c r="J1466" s="11" t="s">
        <v>673</v>
      </c>
    </row>
    <row r="1467" customFormat="false" ht="15" hidden="false" customHeight="false" outlineLevel="0" collapsed="false">
      <c r="A1467" s="11" t="s">
        <v>421</v>
      </c>
      <c r="B1467" s="11" t="s">
        <v>422</v>
      </c>
      <c r="C1467" s="11" t="n">
        <v>2020</v>
      </c>
      <c r="D1467" s="11" t="s">
        <v>26</v>
      </c>
      <c r="E1467" s="17" t="n">
        <v>156351</v>
      </c>
      <c r="F1467" s="11" t="s">
        <v>119</v>
      </c>
      <c r="G1467" s="11" t="s">
        <v>426</v>
      </c>
      <c r="H1467" s="11" t="s">
        <v>121</v>
      </c>
      <c r="I1467" s="11" t="s">
        <v>667</v>
      </c>
      <c r="J1467" s="11" t="s">
        <v>673</v>
      </c>
    </row>
    <row r="1468" customFormat="false" ht="15" hidden="false" customHeight="false" outlineLevel="0" collapsed="false">
      <c r="A1468" s="11" t="s">
        <v>421</v>
      </c>
      <c r="B1468" s="11" t="s">
        <v>422</v>
      </c>
      <c r="C1468" s="11" t="n">
        <v>2021</v>
      </c>
      <c r="D1468" s="11" t="s">
        <v>26</v>
      </c>
      <c r="E1468" s="17" t="n">
        <v>168651</v>
      </c>
      <c r="F1468" s="11" t="s">
        <v>119</v>
      </c>
      <c r="G1468" s="11" t="s">
        <v>426</v>
      </c>
      <c r="H1468" s="11" t="s">
        <v>121</v>
      </c>
      <c r="I1468" s="11" t="s">
        <v>667</v>
      </c>
      <c r="J1468" s="11" t="s">
        <v>673</v>
      </c>
    </row>
    <row r="1469" customFormat="false" ht="15" hidden="false" customHeight="false" outlineLevel="0" collapsed="false">
      <c r="A1469" s="11" t="s">
        <v>421</v>
      </c>
      <c r="B1469" s="11" t="s">
        <v>422</v>
      </c>
      <c r="C1469" s="11" t="n">
        <v>2022</v>
      </c>
      <c r="D1469" s="11" t="s">
        <v>26</v>
      </c>
      <c r="E1469" s="17" t="n">
        <v>172442</v>
      </c>
      <c r="F1469" s="11" t="s">
        <v>119</v>
      </c>
      <c r="G1469" s="11" t="s">
        <v>426</v>
      </c>
      <c r="H1469" s="11" t="s">
        <v>121</v>
      </c>
      <c r="I1469" s="11" t="s">
        <v>667</v>
      </c>
      <c r="J1469" s="11" t="s">
        <v>673</v>
      </c>
    </row>
    <row r="1470" customFormat="false" ht="15" hidden="false" customHeight="false" outlineLevel="0" collapsed="false">
      <c r="A1470" s="11" t="s">
        <v>421</v>
      </c>
      <c r="B1470" s="11" t="s">
        <v>422</v>
      </c>
      <c r="C1470" s="11" t="n">
        <v>2010</v>
      </c>
      <c r="D1470" s="11" t="s">
        <v>38</v>
      </c>
      <c r="E1470" s="17" t="n">
        <v>3415</v>
      </c>
      <c r="F1470" s="11" t="s">
        <v>123</v>
      </c>
      <c r="G1470" s="11" t="s">
        <v>124</v>
      </c>
      <c r="H1470" s="11" t="s">
        <v>125</v>
      </c>
      <c r="I1470" s="11" t="s">
        <v>667</v>
      </c>
      <c r="J1470" s="11" t="s">
        <v>674</v>
      </c>
    </row>
    <row r="1471" customFormat="false" ht="15" hidden="false" customHeight="false" outlineLevel="0" collapsed="false">
      <c r="A1471" s="11" t="s">
        <v>421</v>
      </c>
      <c r="B1471" s="11" t="s">
        <v>422</v>
      </c>
      <c r="C1471" s="11" t="n">
        <v>2011</v>
      </c>
      <c r="D1471" s="11" t="s">
        <v>38</v>
      </c>
      <c r="E1471" s="17" t="n">
        <v>4350</v>
      </c>
      <c r="F1471" s="11" t="s">
        <v>123</v>
      </c>
      <c r="G1471" s="11" t="s">
        <v>124</v>
      </c>
      <c r="H1471" s="11" t="s">
        <v>125</v>
      </c>
      <c r="I1471" s="11" t="s">
        <v>667</v>
      </c>
      <c r="J1471" s="11" t="s">
        <v>674</v>
      </c>
    </row>
    <row r="1472" customFormat="false" ht="15" hidden="false" customHeight="false" outlineLevel="0" collapsed="false">
      <c r="A1472" s="11" t="s">
        <v>421</v>
      </c>
      <c r="B1472" s="11" t="s">
        <v>422</v>
      </c>
      <c r="C1472" s="11" t="n">
        <v>2012</v>
      </c>
      <c r="D1472" s="11" t="s">
        <v>38</v>
      </c>
      <c r="E1472" s="17" t="n">
        <v>1555</v>
      </c>
      <c r="F1472" s="11" t="s">
        <v>123</v>
      </c>
      <c r="G1472" s="11" t="s">
        <v>124</v>
      </c>
      <c r="H1472" s="11" t="s">
        <v>125</v>
      </c>
      <c r="I1472" s="11" t="s">
        <v>667</v>
      </c>
      <c r="J1472" s="11" t="s">
        <v>674</v>
      </c>
    </row>
    <row r="1473" customFormat="false" ht="15" hidden="false" customHeight="false" outlineLevel="0" collapsed="false">
      <c r="A1473" s="11" t="s">
        <v>421</v>
      </c>
      <c r="B1473" s="11" t="s">
        <v>422</v>
      </c>
      <c r="C1473" s="11" t="n">
        <v>2013</v>
      </c>
      <c r="D1473" s="11" t="s">
        <v>38</v>
      </c>
      <c r="E1473" s="17" t="n">
        <v>1040</v>
      </c>
      <c r="F1473" s="11" t="s">
        <v>123</v>
      </c>
      <c r="G1473" s="11" t="s">
        <v>124</v>
      </c>
      <c r="H1473" s="11" t="s">
        <v>125</v>
      </c>
      <c r="I1473" s="11" t="s">
        <v>667</v>
      </c>
      <c r="J1473" s="11" t="s">
        <v>674</v>
      </c>
    </row>
    <row r="1474" customFormat="false" ht="15" hidden="false" customHeight="false" outlineLevel="0" collapsed="false">
      <c r="A1474" s="11" t="s">
        <v>421</v>
      </c>
      <c r="B1474" s="11" t="s">
        <v>422</v>
      </c>
      <c r="C1474" s="11" t="n">
        <v>2014</v>
      </c>
      <c r="D1474" s="11" t="s">
        <v>38</v>
      </c>
      <c r="E1474" s="17" t="n">
        <v>1025</v>
      </c>
      <c r="F1474" s="11" t="s">
        <v>123</v>
      </c>
      <c r="G1474" s="11" t="s">
        <v>124</v>
      </c>
      <c r="H1474" s="11" t="s">
        <v>125</v>
      </c>
      <c r="I1474" s="11" t="s">
        <v>667</v>
      </c>
      <c r="J1474" s="11" t="s">
        <v>674</v>
      </c>
    </row>
    <row r="1475" customFormat="false" ht="15" hidden="false" customHeight="false" outlineLevel="0" collapsed="false">
      <c r="A1475" s="11" t="s">
        <v>421</v>
      </c>
      <c r="B1475" s="11" t="s">
        <v>422</v>
      </c>
      <c r="C1475" s="11" t="n">
        <v>2015</v>
      </c>
      <c r="D1475" s="11" t="s">
        <v>38</v>
      </c>
      <c r="E1475" s="17" t="n">
        <v>1025</v>
      </c>
      <c r="F1475" s="11" t="s">
        <v>123</v>
      </c>
      <c r="G1475" s="11" t="s">
        <v>124</v>
      </c>
      <c r="H1475" s="11" t="s">
        <v>125</v>
      </c>
      <c r="I1475" s="11" t="s">
        <v>667</v>
      </c>
      <c r="J1475" s="11" t="s">
        <v>674</v>
      </c>
    </row>
    <row r="1476" customFormat="false" ht="15" hidden="false" customHeight="false" outlineLevel="0" collapsed="false">
      <c r="A1476" s="11" t="s">
        <v>421</v>
      </c>
      <c r="B1476" s="11" t="s">
        <v>422</v>
      </c>
      <c r="C1476" s="11" t="n">
        <v>2016</v>
      </c>
      <c r="D1476" s="11" t="s">
        <v>38</v>
      </c>
      <c r="E1476" s="17" t="n">
        <v>2475</v>
      </c>
      <c r="F1476" s="11" t="s">
        <v>123</v>
      </c>
      <c r="G1476" s="11" t="s">
        <v>124</v>
      </c>
      <c r="H1476" s="11" t="s">
        <v>125</v>
      </c>
      <c r="I1476" s="11" t="s">
        <v>667</v>
      </c>
      <c r="J1476" s="11" t="s">
        <v>674</v>
      </c>
    </row>
    <row r="1477" customFormat="false" ht="15" hidden="false" customHeight="false" outlineLevel="0" collapsed="false">
      <c r="A1477" s="11" t="s">
        <v>421</v>
      </c>
      <c r="B1477" s="11" t="s">
        <v>422</v>
      </c>
      <c r="C1477" s="11" t="n">
        <v>2017</v>
      </c>
      <c r="D1477" s="11" t="s">
        <v>38</v>
      </c>
      <c r="E1477" s="17" t="n">
        <v>4180</v>
      </c>
      <c r="F1477" s="11" t="s">
        <v>123</v>
      </c>
      <c r="G1477" s="11" t="s">
        <v>124</v>
      </c>
      <c r="H1477" s="11" t="s">
        <v>125</v>
      </c>
      <c r="I1477" s="11" t="s">
        <v>667</v>
      </c>
      <c r="J1477" s="11" t="s">
        <v>674</v>
      </c>
    </row>
    <row r="1478" customFormat="false" ht="15" hidden="false" customHeight="false" outlineLevel="0" collapsed="false">
      <c r="A1478" s="11" t="s">
        <v>421</v>
      </c>
      <c r="B1478" s="11" t="s">
        <v>422</v>
      </c>
      <c r="C1478" s="11" t="n">
        <v>2018</v>
      </c>
      <c r="D1478" s="11" t="s">
        <v>38</v>
      </c>
      <c r="E1478" s="17" t="n">
        <v>4345</v>
      </c>
      <c r="F1478" s="11" t="s">
        <v>123</v>
      </c>
      <c r="G1478" s="11" t="s">
        <v>124</v>
      </c>
      <c r="H1478" s="11" t="s">
        <v>125</v>
      </c>
      <c r="I1478" s="11" t="s">
        <v>667</v>
      </c>
      <c r="J1478" s="11" t="s">
        <v>674</v>
      </c>
    </row>
    <row r="1479" customFormat="false" ht="15" hidden="false" customHeight="false" outlineLevel="0" collapsed="false">
      <c r="A1479" s="11" t="s">
        <v>421</v>
      </c>
      <c r="B1479" s="11" t="s">
        <v>422</v>
      </c>
      <c r="C1479" s="11" t="n">
        <v>2019</v>
      </c>
      <c r="D1479" s="11" t="s">
        <v>38</v>
      </c>
      <c r="E1479" s="17" t="n">
        <v>5765</v>
      </c>
      <c r="F1479" s="11" t="s">
        <v>123</v>
      </c>
      <c r="G1479" s="11" t="s">
        <v>124</v>
      </c>
      <c r="H1479" s="11" t="s">
        <v>125</v>
      </c>
      <c r="I1479" s="11" t="s">
        <v>667</v>
      </c>
      <c r="J1479" s="11" t="s">
        <v>674</v>
      </c>
    </row>
    <row r="1480" customFormat="false" ht="15" hidden="false" customHeight="false" outlineLevel="0" collapsed="false">
      <c r="A1480" s="11" t="s">
        <v>421</v>
      </c>
      <c r="B1480" s="11" t="s">
        <v>422</v>
      </c>
      <c r="C1480" s="11" t="n">
        <v>2020</v>
      </c>
      <c r="D1480" s="11" t="s">
        <v>38</v>
      </c>
      <c r="E1480" s="17" t="n">
        <v>4605</v>
      </c>
      <c r="F1480" s="11" t="s">
        <v>123</v>
      </c>
      <c r="G1480" s="11" t="s">
        <v>124</v>
      </c>
      <c r="H1480" s="11" t="s">
        <v>125</v>
      </c>
      <c r="I1480" s="11" t="s">
        <v>667</v>
      </c>
      <c r="J1480" s="11" t="s">
        <v>674</v>
      </c>
    </row>
    <row r="1481" customFormat="false" ht="15" hidden="false" customHeight="false" outlineLevel="0" collapsed="false">
      <c r="A1481" s="11" t="s">
        <v>421</v>
      </c>
      <c r="B1481" s="11" t="s">
        <v>422</v>
      </c>
      <c r="C1481" s="11" t="n">
        <v>2021</v>
      </c>
      <c r="D1481" s="11" t="s">
        <v>38</v>
      </c>
      <c r="E1481" s="17" t="n">
        <v>14430</v>
      </c>
      <c r="F1481" s="11" t="s">
        <v>123</v>
      </c>
      <c r="G1481" s="11" t="s">
        <v>124</v>
      </c>
      <c r="H1481" s="11" t="s">
        <v>125</v>
      </c>
      <c r="I1481" s="11" t="s">
        <v>667</v>
      </c>
      <c r="J1481" s="11" t="s">
        <v>674</v>
      </c>
    </row>
    <row r="1482" customFormat="false" ht="15" hidden="false" customHeight="false" outlineLevel="0" collapsed="false">
      <c r="A1482" s="11" t="s">
        <v>421</v>
      </c>
      <c r="B1482" s="11" t="s">
        <v>422</v>
      </c>
      <c r="C1482" s="11" t="n">
        <v>2022</v>
      </c>
      <c r="D1482" s="11" t="s">
        <v>38</v>
      </c>
      <c r="E1482" s="17" t="n">
        <v>35215</v>
      </c>
      <c r="F1482" s="11" t="s">
        <v>123</v>
      </c>
      <c r="G1482" s="11" t="s">
        <v>124</v>
      </c>
      <c r="H1482" s="11" t="s">
        <v>125</v>
      </c>
      <c r="I1482" s="11" t="s">
        <v>667</v>
      </c>
      <c r="J1482" s="11" t="s">
        <v>674</v>
      </c>
    </row>
    <row r="1483" customFormat="false" ht="15" hidden="false" customHeight="false" outlineLevel="0" collapsed="false">
      <c r="A1483" s="11" t="s">
        <v>421</v>
      </c>
      <c r="B1483" s="11" t="s">
        <v>422</v>
      </c>
      <c r="C1483" s="11" t="n">
        <v>2010</v>
      </c>
      <c r="D1483" s="11" t="s">
        <v>18</v>
      </c>
      <c r="E1483" s="17" t="n">
        <v>2048583</v>
      </c>
      <c r="F1483" s="11" t="s">
        <v>98</v>
      </c>
      <c r="G1483" s="11" t="s">
        <v>99</v>
      </c>
      <c r="H1483" s="11" t="s">
        <v>671</v>
      </c>
      <c r="I1483" s="11" t="s">
        <v>667</v>
      </c>
      <c r="J1483" s="11" t="s">
        <v>672</v>
      </c>
    </row>
    <row r="1484" customFormat="false" ht="15" hidden="false" customHeight="false" outlineLevel="0" collapsed="false">
      <c r="A1484" s="11" t="s">
        <v>421</v>
      </c>
      <c r="B1484" s="11" t="s">
        <v>422</v>
      </c>
      <c r="C1484" s="11" t="n">
        <v>2011</v>
      </c>
      <c r="D1484" s="11" t="s">
        <v>18</v>
      </c>
      <c r="E1484" s="17" t="n">
        <v>2052843</v>
      </c>
      <c r="F1484" s="11" t="s">
        <v>98</v>
      </c>
      <c r="G1484" s="11" t="s">
        <v>99</v>
      </c>
      <c r="H1484" s="11" t="s">
        <v>671</v>
      </c>
      <c r="I1484" s="11" t="s">
        <v>667</v>
      </c>
      <c r="J1484" s="11" t="s">
        <v>672</v>
      </c>
    </row>
    <row r="1485" customFormat="false" ht="15" hidden="false" customHeight="false" outlineLevel="0" collapsed="false">
      <c r="A1485" s="11" t="s">
        <v>421</v>
      </c>
      <c r="B1485" s="11" t="s">
        <v>422</v>
      </c>
      <c r="C1485" s="11" t="n">
        <v>2012</v>
      </c>
      <c r="D1485" s="11" t="s">
        <v>18</v>
      </c>
      <c r="E1485" s="17" t="n">
        <v>2057159</v>
      </c>
      <c r="F1485" s="11" t="s">
        <v>98</v>
      </c>
      <c r="G1485" s="11" t="s">
        <v>99</v>
      </c>
      <c r="H1485" s="11" t="s">
        <v>671</v>
      </c>
      <c r="I1485" s="11" t="s">
        <v>667</v>
      </c>
      <c r="J1485" s="11" t="s">
        <v>672</v>
      </c>
    </row>
    <row r="1486" customFormat="false" ht="15" hidden="false" customHeight="false" outlineLevel="0" collapsed="false">
      <c r="A1486" s="11" t="s">
        <v>421</v>
      </c>
      <c r="B1486" s="11" t="s">
        <v>422</v>
      </c>
      <c r="C1486" s="11" t="n">
        <v>2013</v>
      </c>
      <c r="D1486" s="11" t="s">
        <v>18</v>
      </c>
      <c r="E1486" s="17" t="n">
        <v>2059953</v>
      </c>
      <c r="F1486" s="11" t="s">
        <v>98</v>
      </c>
      <c r="G1486" s="11" t="s">
        <v>99</v>
      </c>
      <c r="H1486" s="11" t="s">
        <v>671</v>
      </c>
      <c r="I1486" s="11" t="s">
        <v>667</v>
      </c>
      <c r="J1486" s="11" t="s">
        <v>672</v>
      </c>
    </row>
    <row r="1487" customFormat="false" ht="15" hidden="false" customHeight="false" outlineLevel="0" collapsed="false">
      <c r="A1487" s="11" t="s">
        <v>421</v>
      </c>
      <c r="B1487" s="11" t="s">
        <v>422</v>
      </c>
      <c r="C1487" s="11" t="n">
        <v>2014</v>
      </c>
      <c r="D1487" s="11" t="s">
        <v>18</v>
      </c>
      <c r="E1487" s="17" t="n">
        <v>2061980</v>
      </c>
      <c r="F1487" s="11" t="s">
        <v>98</v>
      </c>
      <c r="G1487" s="11" t="s">
        <v>99</v>
      </c>
      <c r="H1487" s="11" t="s">
        <v>671</v>
      </c>
      <c r="I1487" s="11" t="s">
        <v>667</v>
      </c>
      <c r="J1487" s="11" t="s">
        <v>672</v>
      </c>
    </row>
    <row r="1488" customFormat="false" ht="15" hidden="false" customHeight="false" outlineLevel="0" collapsed="false">
      <c r="A1488" s="11" t="s">
        <v>421</v>
      </c>
      <c r="B1488" s="11" t="s">
        <v>422</v>
      </c>
      <c r="C1488" s="11" t="n">
        <v>2015</v>
      </c>
      <c r="D1488" s="11" t="s">
        <v>18</v>
      </c>
      <c r="E1488" s="17" t="n">
        <v>2063531</v>
      </c>
      <c r="F1488" s="11" t="s">
        <v>98</v>
      </c>
      <c r="G1488" s="11" t="s">
        <v>99</v>
      </c>
      <c r="H1488" s="11" t="s">
        <v>671</v>
      </c>
      <c r="I1488" s="11" t="s">
        <v>667</v>
      </c>
      <c r="J1488" s="11" t="s">
        <v>672</v>
      </c>
    </row>
    <row r="1489" customFormat="false" ht="15" hidden="false" customHeight="false" outlineLevel="0" collapsed="false">
      <c r="A1489" s="11" t="s">
        <v>421</v>
      </c>
      <c r="B1489" s="11" t="s">
        <v>422</v>
      </c>
      <c r="C1489" s="11" t="n">
        <v>2016</v>
      </c>
      <c r="D1489" s="11" t="s">
        <v>18</v>
      </c>
      <c r="E1489" s="17" t="n">
        <v>2065042</v>
      </c>
      <c r="F1489" s="11" t="s">
        <v>98</v>
      </c>
      <c r="G1489" s="11" t="s">
        <v>99</v>
      </c>
      <c r="H1489" s="11" t="s">
        <v>671</v>
      </c>
      <c r="I1489" s="11" t="s">
        <v>667</v>
      </c>
      <c r="J1489" s="11" t="s">
        <v>672</v>
      </c>
    </row>
    <row r="1490" customFormat="false" ht="15" hidden="false" customHeight="false" outlineLevel="0" collapsed="false">
      <c r="A1490" s="11" t="s">
        <v>421</v>
      </c>
      <c r="B1490" s="11" t="s">
        <v>422</v>
      </c>
      <c r="C1490" s="11" t="n">
        <v>2017</v>
      </c>
      <c r="D1490" s="11" t="s">
        <v>18</v>
      </c>
      <c r="E1490" s="17" t="n">
        <v>2066388</v>
      </c>
      <c r="F1490" s="11" t="s">
        <v>98</v>
      </c>
      <c r="G1490" s="11" t="s">
        <v>99</v>
      </c>
      <c r="H1490" s="11" t="s">
        <v>671</v>
      </c>
      <c r="I1490" s="11" t="s">
        <v>667</v>
      </c>
      <c r="J1490" s="11" t="s">
        <v>672</v>
      </c>
    </row>
    <row r="1491" customFormat="false" ht="15" hidden="false" customHeight="false" outlineLevel="0" collapsed="false">
      <c r="A1491" s="11" t="s">
        <v>421</v>
      </c>
      <c r="B1491" s="11" t="s">
        <v>422</v>
      </c>
      <c r="C1491" s="11" t="n">
        <v>2018</v>
      </c>
      <c r="D1491" s="11" t="s">
        <v>18</v>
      </c>
      <c r="E1491" s="17" t="n">
        <v>2073894</v>
      </c>
      <c r="F1491" s="11" t="s">
        <v>98</v>
      </c>
      <c r="G1491" s="11" t="s">
        <v>99</v>
      </c>
      <c r="H1491" s="11" t="s">
        <v>671</v>
      </c>
      <c r="I1491" s="11" t="s">
        <v>667</v>
      </c>
      <c r="J1491" s="11" t="s">
        <v>672</v>
      </c>
    </row>
    <row r="1492" customFormat="false" ht="15" hidden="false" customHeight="false" outlineLevel="0" collapsed="false">
      <c r="A1492" s="11" t="s">
        <v>421</v>
      </c>
      <c r="B1492" s="11" t="s">
        <v>422</v>
      </c>
      <c r="C1492" s="11" t="n">
        <v>2019</v>
      </c>
      <c r="D1492" s="11" t="s">
        <v>18</v>
      </c>
      <c r="E1492" s="17" t="n">
        <v>2088385</v>
      </c>
      <c r="F1492" s="11" t="s">
        <v>98</v>
      </c>
      <c r="G1492" s="11" t="s">
        <v>99</v>
      </c>
      <c r="H1492" s="11" t="s">
        <v>671</v>
      </c>
      <c r="I1492" s="11" t="s">
        <v>667</v>
      </c>
      <c r="J1492" s="11" t="s">
        <v>672</v>
      </c>
    </row>
    <row r="1493" customFormat="false" ht="15" hidden="false" customHeight="false" outlineLevel="0" collapsed="false">
      <c r="A1493" s="11" t="s">
        <v>421</v>
      </c>
      <c r="B1493" s="11" t="s">
        <v>422</v>
      </c>
      <c r="C1493" s="11" t="n">
        <v>2020</v>
      </c>
      <c r="D1493" s="11" t="s">
        <v>18</v>
      </c>
      <c r="E1493" s="17" t="n">
        <v>2102419</v>
      </c>
      <c r="F1493" s="11" t="s">
        <v>98</v>
      </c>
      <c r="G1493" s="11" t="s">
        <v>99</v>
      </c>
      <c r="H1493" s="11" t="s">
        <v>671</v>
      </c>
      <c r="I1493" s="11" t="s">
        <v>667</v>
      </c>
      <c r="J1493" s="11" t="s">
        <v>672</v>
      </c>
    </row>
    <row r="1494" customFormat="false" ht="15" hidden="false" customHeight="false" outlineLevel="0" collapsed="false">
      <c r="A1494" s="11" t="s">
        <v>421</v>
      </c>
      <c r="B1494" s="11" t="s">
        <v>422</v>
      </c>
      <c r="C1494" s="11" t="n">
        <v>2021</v>
      </c>
      <c r="D1494" s="11" t="s">
        <v>18</v>
      </c>
      <c r="E1494" s="17" t="n">
        <v>2108079</v>
      </c>
      <c r="F1494" s="11" t="s">
        <v>98</v>
      </c>
      <c r="G1494" s="11" t="s">
        <v>99</v>
      </c>
      <c r="H1494" s="11" t="s">
        <v>671</v>
      </c>
      <c r="I1494" s="11" t="s">
        <v>667</v>
      </c>
      <c r="J1494" s="11" t="s">
        <v>672</v>
      </c>
    </row>
    <row r="1495" customFormat="false" ht="15" hidden="false" customHeight="false" outlineLevel="0" collapsed="false">
      <c r="A1495" s="11" t="s">
        <v>421</v>
      </c>
      <c r="B1495" s="11" t="s">
        <v>422</v>
      </c>
      <c r="C1495" s="11" t="n">
        <v>2022</v>
      </c>
      <c r="D1495" s="11" t="s">
        <v>18</v>
      </c>
      <c r="E1495" s="17" t="n">
        <v>2112076</v>
      </c>
      <c r="F1495" s="11" t="s">
        <v>98</v>
      </c>
      <c r="G1495" s="11" t="s">
        <v>99</v>
      </c>
      <c r="H1495" s="11" t="s">
        <v>671</v>
      </c>
      <c r="I1495" s="11" t="s">
        <v>667</v>
      </c>
      <c r="J1495" s="11" t="s">
        <v>672</v>
      </c>
    </row>
    <row r="1496" customFormat="false" ht="15" hidden="false" customHeight="false" outlineLevel="0" collapsed="false">
      <c r="A1496" s="11" t="s">
        <v>463</v>
      </c>
      <c r="B1496" s="11" t="s">
        <v>464</v>
      </c>
      <c r="C1496" s="11" t="n">
        <v>2010</v>
      </c>
      <c r="D1496" s="11" t="s">
        <v>22</v>
      </c>
      <c r="E1496" s="17" t="n">
        <v>1337214</v>
      </c>
      <c r="F1496" s="11" t="s">
        <v>116</v>
      </c>
      <c r="G1496" s="11" t="s">
        <v>467</v>
      </c>
      <c r="H1496" s="11" t="s">
        <v>118</v>
      </c>
      <c r="I1496" s="11" t="s">
        <v>667</v>
      </c>
      <c r="J1496" s="11" t="s">
        <v>673</v>
      </c>
    </row>
    <row r="1497" customFormat="false" ht="15" hidden="false" customHeight="false" outlineLevel="0" collapsed="false">
      <c r="A1497" s="11" t="s">
        <v>463</v>
      </c>
      <c r="B1497" s="11" t="s">
        <v>464</v>
      </c>
      <c r="C1497" s="11" t="n">
        <v>2011</v>
      </c>
      <c r="D1497" s="11" t="s">
        <v>22</v>
      </c>
      <c r="E1497" s="17" t="n">
        <v>1384111</v>
      </c>
      <c r="F1497" s="11" t="s">
        <v>116</v>
      </c>
      <c r="G1497" s="11" t="s">
        <v>467</v>
      </c>
      <c r="H1497" s="11" t="s">
        <v>118</v>
      </c>
      <c r="I1497" s="11" t="s">
        <v>667</v>
      </c>
      <c r="J1497" s="11" t="s">
        <v>673</v>
      </c>
    </row>
    <row r="1498" customFormat="false" ht="15" hidden="false" customHeight="false" outlineLevel="0" collapsed="false">
      <c r="A1498" s="11" t="s">
        <v>463</v>
      </c>
      <c r="B1498" s="11" t="s">
        <v>464</v>
      </c>
      <c r="C1498" s="11" t="n">
        <v>2012</v>
      </c>
      <c r="D1498" s="11" t="s">
        <v>22</v>
      </c>
      <c r="E1498" s="17" t="n">
        <v>1426402</v>
      </c>
      <c r="F1498" s="11" t="s">
        <v>116</v>
      </c>
      <c r="G1498" s="11" t="s">
        <v>467</v>
      </c>
      <c r="H1498" s="11" t="s">
        <v>118</v>
      </c>
      <c r="I1498" s="11" t="s">
        <v>667</v>
      </c>
      <c r="J1498" s="11" t="s">
        <v>673</v>
      </c>
    </row>
    <row r="1499" customFormat="false" ht="15" hidden="false" customHeight="false" outlineLevel="0" collapsed="false">
      <c r="A1499" s="11" t="s">
        <v>463</v>
      </c>
      <c r="B1499" s="11" t="s">
        <v>464</v>
      </c>
      <c r="C1499" s="11" t="n">
        <v>2013</v>
      </c>
      <c r="D1499" s="11" t="s">
        <v>22</v>
      </c>
      <c r="E1499" s="17" t="n">
        <v>1472353</v>
      </c>
      <c r="F1499" s="11" t="s">
        <v>116</v>
      </c>
      <c r="G1499" s="11" t="s">
        <v>467</v>
      </c>
      <c r="H1499" s="11" t="s">
        <v>118</v>
      </c>
      <c r="I1499" s="11" t="s">
        <v>667</v>
      </c>
      <c r="J1499" s="11" t="s">
        <v>673</v>
      </c>
    </row>
    <row r="1500" customFormat="false" ht="15" hidden="false" customHeight="false" outlineLevel="0" collapsed="false">
      <c r="A1500" s="11" t="s">
        <v>463</v>
      </c>
      <c r="B1500" s="11" t="s">
        <v>464</v>
      </c>
      <c r="C1500" s="11" t="n">
        <v>2014</v>
      </c>
      <c r="D1500" s="11" t="s">
        <v>22</v>
      </c>
      <c r="E1500" s="17" t="n">
        <v>1532563</v>
      </c>
      <c r="F1500" s="11" t="s">
        <v>116</v>
      </c>
      <c r="G1500" s="11" t="s">
        <v>467</v>
      </c>
      <c r="H1500" s="11" t="s">
        <v>118</v>
      </c>
      <c r="I1500" s="11" t="s">
        <v>667</v>
      </c>
      <c r="J1500" s="11" t="s">
        <v>673</v>
      </c>
    </row>
    <row r="1501" customFormat="false" ht="15" hidden="false" customHeight="false" outlineLevel="0" collapsed="false">
      <c r="A1501" s="11" t="s">
        <v>463</v>
      </c>
      <c r="B1501" s="11" t="s">
        <v>464</v>
      </c>
      <c r="C1501" s="11" t="n">
        <v>2015</v>
      </c>
      <c r="D1501" s="11" t="s">
        <v>22</v>
      </c>
      <c r="E1501" s="17" t="n">
        <v>1602522</v>
      </c>
      <c r="F1501" s="11" t="s">
        <v>116</v>
      </c>
      <c r="G1501" s="11" t="s">
        <v>467</v>
      </c>
      <c r="H1501" s="11" t="s">
        <v>118</v>
      </c>
      <c r="I1501" s="11" t="s">
        <v>667</v>
      </c>
      <c r="J1501" s="11" t="s">
        <v>673</v>
      </c>
    </row>
    <row r="1502" customFormat="false" ht="15" hidden="false" customHeight="false" outlineLevel="0" collapsed="false">
      <c r="A1502" s="11" t="s">
        <v>463</v>
      </c>
      <c r="B1502" s="11" t="s">
        <v>464</v>
      </c>
      <c r="C1502" s="11" t="n">
        <v>2016</v>
      </c>
      <c r="D1502" s="11" t="s">
        <v>22</v>
      </c>
      <c r="E1502" s="17" t="n">
        <v>1675116</v>
      </c>
      <c r="F1502" s="11" t="s">
        <v>116</v>
      </c>
      <c r="G1502" s="11" t="s">
        <v>467</v>
      </c>
      <c r="H1502" s="11" t="s">
        <v>118</v>
      </c>
      <c r="I1502" s="11" t="s">
        <v>667</v>
      </c>
      <c r="J1502" s="11" t="s">
        <v>673</v>
      </c>
    </row>
    <row r="1503" customFormat="false" ht="15" hidden="false" customHeight="false" outlineLevel="0" collapsed="false">
      <c r="A1503" s="11" t="s">
        <v>463</v>
      </c>
      <c r="B1503" s="11" t="s">
        <v>464</v>
      </c>
      <c r="C1503" s="11" t="n">
        <v>2017</v>
      </c>
      <c r="D1503" s="11" t="s">
        <v>22</v>
      </c>
      <c r="E1503" s="17" t="n">
        <v>1783179</v>
      </c>
      <c r="F1503" s="11" t="s">
        <v>116</v>
      </c>
      <c r="G1503" s="11" t="s">
        <v>467</v>
      </c>
      <c r="H1503" s="11" t="s">
        <v>118</v>
      </c>
      <c r="I1503" s="11" t="s">
        <v>667</v>
      </c>
      <c r="J1503" s="11" t="s">
        <v>673</v>
      </c>
    </row>
    <row r="1504" customFormat="false" ht="15" hidden="false" customHeight="false" outlineLevel="0" collapsed="false">
      <c r="A1504" s="11" t="s">
        <v>463</v>
      </c>
      <c r="B1504" s="11" t="s">
        <v>464</v>
      </c>
      <c r="C1504" s="11" t="n">
        <v>2018</v>
      </c>
      <c r="D1504" s="11" t="s">
        <v>22</v>
      </c>
      <c r="E1504" s="17" t="n">
        <v>1875637</v>
      </c>
      <c r="F1504" s="11" t="s">
        <v>116</v>
      </c>
      <c r="G1504" s="11" t="s">
        <v>467</v>
      </c>
      <c r="H1504" s="11" t="s">
        <v>118</v>
      </c>
      <c r="I1504" s="11" t="s">
        <v>667</v>
      </c>
      <c r="J1504" s="11" t="s">
        <v>673</v>
      </c>
    </row>
    <row r="1505" customFormat="false" ht="15" hidden="false" customHeight="false" outlineLevel="0" collapsed="false">
      <c r="A1505" s="11" t="s">
        <v>463</v>
      </c>
      <c r="B1505" s="11" t="s">
        <v>464</v>
      </c>
      <c r="C1505" s="11" t="n">
        <v>2019</v>
      </c>
      <c r="D1505" s="11" t="s">
        <v>22</v>
      </c>
      <c r="E1505" s="17" t="n">
        <v>1954065</v>
      </c>
      <c r="F1505" s="11" t="s">
        <v>116</v>
      </c>
      <c r="G1505" s="11" t="s">
        <v>467</v>
      </c>
      <c r="H1505" s="11" t="s">
        <v>118</v>
      </c>
      <c r="I1505" s="11" t="s">
        <v>667</v>
      </c>
      <c r="J1505" s="11" t="s">
        <v>673</v>
      </c>
    </row>
    <row r="1506" customFormat="false" ht="15" hidden="false" customHeight="false" outlineLevel="0" collapsed="false">
      <c r="A1506" s="11" t="s">
        <v>463</v>
      </c>
      <c r="B1506" s="11" t="s">
        <v>464</v>
      </c>
      <c r="C1506" s="11" t="n">
        <v>2020</v>
      </c>
      <c r="D1506" s="11" t="s">
        <v>22</v>
      </c>
      <c r="E1506" s="17" t="n">
        <v>2018191</v>
      </c>
      <c r="F1506" s="11" t="s">
        <v>116</v>
      </c>
      <c r="G1506" s="11" t="s">
        <v>467</v>
      </c>
      <c r="H1506" s="11" t="s">
        <v>118</v>
      </c>
      <c r="I1506" s="11" t="s">
        <v>667</v>
      </c>
      <c r="J1506" s="11" t="s">
        <v>673</v>
      </c>
    </row>
    <row r="1507" customFormat="false" ht="15" hidden="false" customHeight="false" outlineLevel="0" collapsed="false">
      <c r="A1507" s="11" t="s">
        <v>463</v>
      </c>
      <c r="B1507" s="11" t="s">
        <v>464</v>
      </c>
      <c r="C1507" s="11" t="n">
        <v>2021</v>
      </c>
      <c r="D1507" s="11" t="s">
        <v>22</v>
      </c>
      <c r="E1507" s="17" t="n">
        <v>2045234</v>
      </c>
      <c r="F1507" s="11" t="s">
        <v>116</v>
      </c>
      <c r="G1507" s="11" t="s">
        <v>467</v>
      </c>
      <c r="H1507" s="11" t="s">
        <v>118</v>
      </c>
      <c r="I1507" s="11" t="s">
        <v>667</v>
      </c>
      <c r="J1507" s="11" t="s">
        <v>673</v>
      </c>
    </row>
    <row r="1508" customFormat="false" ht="15" hidden="false" customHeight="false" outlineLevel="0" collapsed="false">
      <c r="A1508" s="11" t="s">
        <v>463</v>
      </c>
      <c r="B1508" s="11" t="s">
        <v>464</v>
      </c>
      <c r="C1508" s="11" t="n">
        <v>2022</v>
      </c>
      <c r="D1508" s="11" t="s">
        <v>22</v>
      </c>
      <c r="E1508" s="17" t="n">
        <v>2089008</v>
      </c>
      <c r="F1508" s="11" t="s">
        <v>116</v>
      </c>
      <c r="G1508" s="11" t="s">
        <v>467</v>
      </c>
      <c r="H1508" s="11" t="s">
        <v>118</v>
      </c>
      <c r="I1508" s="11" t="s">
        <v>667</v>
      </c>
      <c r="J1508" s="11" t="s">
        <v>673</v>
      </c>
    </row>
    <row r="1509" customFormat="false" ht="15" hidden="false" customHeight="false" outlineLevel="0" collapsed="false">
      <c r="A1509" s="11" t="s">
        <v>463</v>
      </c>
      <c r="B1509" s="11" t="s">
        <v>464</v>
      </c>
      <c r="C1509" s="11" t="n">
        <v>2010</v>
      </c>
      <c r="D1509" s="11" t="s">
        <v>26</v>
      </c>
      <c r="E1509" s="17" t="n">
        <v>590475</v>
      </c>
      <c r="F1509" s="11" t="s">
        <v>119</v>
      </c>
      <c r="G1509" s="11" t="s">
        <v>468</v>
      </c>
      <c r="H1509" s="11" t="s">
        <v>121</v>
      </c>
      <c r="I1509" s="11" t="s">
        <v>667</v>
      </c>
      <c r="J1509" s="11" t="s">
        <v>673</v>
      </c>
    </row>
    <row r="1510" customFormat="false" ht="15" hidden="false" customHeight="false" outlineLevel="0" collapsed="false">
      <c r="A1510" s="11" t="s">
        <v>463</v>
      </c>
      <c r="B1510" s="11" t="s">
        <v>464</v>
      </c>
      <c r="C1510" s="11" t="n">
        <v>2011</v>
      </c>
      <c r="D1510" s="11" t="s">
        <v>26</v>
      </c>
      <c r="E1510" s="17" t="n">
        <v>622275</v>
      </c>
      <c r="F1510" s="11" t="s">
        <v>119</v>
      </c>
      <c r="G1510" s="11" t="s">
        <v>468</v>
      </c>
      <c r="H1510" s="11" t="s">
        <v>121</v>
      </c>
      <c r="I1510" s="11" t="s">
        <v>667</v>
      </c>
      <c r="J1510" s="11" t="s">
        <v>673</v>
      </c>
    </row>
    <row r="1511" customFormat="false" ht="15" hidden="false" customHeight="false" outlineLevel="0" collapsed="false">
      <c r="A1511" s="11" t="s">
        <v>463</v>
      </c>
      <c r="B1511" s="11" t="s">
        <v>464</v>
      </c>
      <c r="C1511" s="11" t="n">
        <v>2012</v>
      </c>
      <c r="D1511" s="11" t="s">
        <v>26</v>
      </c>
      <c r="E1511" s="17" t="n">
        <v>646095</v>
      </c>
      <c r="F1511" s="11" t="s">
        <v>119</v>
      </c>
      <c r="G1511" s="11" t="s">
        <v>468</v>
      </c>
      <c r="H1511" s="11" t="s">
        <v>121</v>
      </c>
      <c r="I1511" s="11" t="s">
        <v>667</v>
      </c>
      <c r="J1511" s="11" t="s">
        <v>673</v>
      </c>
    </row>
    <row r="1512" customFormat="false" ht="15" hidden="false" customHeight="false" outlineLevel="0" collapsed="false">
      <c r="A1512" s="11" t="s">
        <v>463</v>
      </c>
      <c r="B1512" s="11" t="s">
        <v>464</v>
      </c>
      <c r="C1512" s="11" t="n">
        <v>2013</v>
      </c>
      <c r="D1512" s="11" t="s">
        <v>26</v>
      </c>
      <c r="E1512" s="17" t="n">
        <v>659374</v>
      </c>
      <c r="F1512" s="11" t="s">
        <v>119</v>
      </c>
      <c r="G1512" s="11" t="s">
        <v>468</v>
      </c>
      <c r="H1512" s="11" t="s">
        <v>121</v>
      </c>
      <c r="I1512" s="11" t="s">
        <v>667</v>
      </c>
      <c r="J1512" s="11" t="s">
        <v>673</v>
      </c>
    </row>
    <row r="1513" customFormat="false" ht="15" hidden="false" customHeight="false" outlineLevel="0" collapsed="false">
      <c r="A1513" s="11" t="s">
        <v>463</v>
      </c>
      <c r="B1513" s="11" t="s">
        <v>464</v>
      </c>
      <c r="C1513" s="11" t="n">
        <v>2014</v>
      </c>
      <c r="D1513" s="11" t="s">
        <v>26</v>
      </c>
      <c r="E1513" s="17" t="n">
        <v>687192</v>
      </c>
      <c r="F1513" s="11" t="s">
        <v>119</v>
      </c>
      <c r="G1513" s="11" t="s">
        <v>468</v>
      </c>
      <c r="H1513" s="11" t="s">
        <v>121</v>
      </c>
      <c r="I1513" s="11" t="s">
        <v>667</v>
      </c>
      <c r="J1513" s="11" t="s">
        <v>673</v>
      </c>
    </row>
    <row r="1514" customFormat="false" ht="15" hidden="false" customHeight="false" outlineLevel="0" collapsed="false">
      <c r="A1514" s="11" t="s">
        <v>463</v>
      </c>
      <c r="B1514" s="11" t="s">
        <v>464</v>
      </c>
      <c r="C1514" s="11" t="n">
        <v>2015</v>
      </c>
      <c r="D1514" s="11" t="s">
        <v>26</v>
      </c>
      <c r="E1514" s="17" t="n">
        <v>731215</v>
      </c>
      <c r="F1514" s="11" t="s">
        <v>119</v>
      </c>
      <c r="G1514" s="11" t="s">
        <v>468</v>
      </c>
      <c r="H1514" s="11" t="s">
        <v>121</v>
      </c>
      <c r="I1514" s="11" t="s">
        <v>667</v>
      </c>
      <c r="J1514" s="11" t="s">
        <v>673</v>
      </c>
    </row>
    <row r="1515" customFormat="false" ht="15" hidden="false" customHeight="false" outlineLevel="0" collapsed="false">
      <c r="A1515" s="11" t="s">
        <v>463</v>
      </c>
      <c r="B1515" s="11" t="s">
        <v>464</v>
      </c>
      <c r="C1515" s="11" t="n">
        <v>2016</v>
      </c>
      <c r="D1515" s="11" t="s">
        <v>26</v>
      </c>
      <c r="E1515" s="17" t="n">
        <v>773232</v>
      </c>
      <c r="F1515" s="11" t="s">
        <v>119</v>
      </c>
      <c r="G1515" s="11" t="s">
        <v>468</v>
      </c>
      <c r="H1515" s="11" t="s">
        <v>121</v>
      </c>
      <c r="I1515" s="11" t="s">
        <v>667</v>
      </c>
      <c r="J1515" s="11" t="s">
        <v>673</v>
      </c>
    </row>
    <row r="1516" customFormat="false" ht="15" hidden="false" customHeight="false" outlineLevel="0" collapsed="false">
      <c r="A1516" s="11" t="s">
        <v>463</v>
      </c>
      <c r="B1516" s="11" t="s">
        <v>464</v>
      </c>
      <c r="C1516" s="11" t="n">
        <v>2017</v>
      </c>
      <c r="D1516" s="11" t="s">
        <v>26</v>
      </c>
      <c r="E1516" s="17" t="n">
        <v>841165</v>
      </c>
      <c r="F1516" s="11" t="s">
        <v>119</v>
      </c>
      <c r="G1516" s="11" t="s">
        <v>468</v>
      </c>
      <c r="H1516" s="11" t="s">
        <v>121</v>
      </c>
      <c r="I1516" s="11" t="s">
        <v>667</v>
      </c>
      <c r="J1516" s="11" t="s">
        <v>673</v>
      </c>
    </row>
    <row r="1517" customFormat="false" ht="15" hidden="false" customHeight="false" outlineLevel="0" collapsed="false">
      <c r="A1517" s="11" t="s">
        <v>463</v>
      </c>
      <c r="B1517" s="11" t="s">
        <v>464</v>
      </c>
      <c r="C1517" s="11" t="n">
        <v>2018</v>
      </c>
      <c r="D1517" s="11" t="s">
        <v>26</v>
      </c>
      <c r="E1517" s="17" t="n">
        <v>885839</v>
      </c>
      <c r="F1517" s="11" t="s">
        <v>119</v>
      </c>
      <c r="G1517" s="11" t="s">
        <v>468</v>
      </c>
      <c r="H1517" s="11" t="s">
        <v>121</v>
      </c>
      <c r="I1517" s="11" t="s">
        <v>667</v>
      </c>
      <c r="J1517" s="11" t="s">
        <v>673</v>
      </c>
    </row>
    <row r="1518" customFormat="false" ht="15" hidden="false" customHeight="false" outlineLevel="0" collapsed="false">
      <c r="A1518" s="11" t="s">
        <v>463</v>
      </c>
      <c r="B1518" s="11" t="s">
        <v>464</v>
      </c>
      <c r="C1518" s="11" t="n">
        <v>2019</v>
      </c>
      <c r="D1518" s="11" t="s">
        <v>26</v>
      </c>
      <c r="E1518" s="17" t="n">
        <v>920144</v>
      </c>
      <c r="F1518" s="11" t="s">
        <v>119</v>
      </c>
      <c r="G1518" s="11" t="s">
        <v>468</v>
      </c>
      <c r="H1518" s="11" t="s">
        <v>121</v>
      </c>
      <c r="I1518" s="11" t="s">
        <v>667</v>
      </c>
      <c r="J1518" s="11" t="s">
        <v>673</v>
      </c>
    </row>
    <row r="1519" customFormat="false" ht="15" hidden="false" customHeight="false" outlineLevel="0" collapsed="false">
      <c r="A1519" s="11" t="s">
        <v>463</v>
      </c>
      <c r="B1519" s="11" t="s">
        <v>464</v>
      </c>
      <c r="C1519" s="11" t="n">
        <v>2020</v>
      </c>
      <c r="D1519" s="11" t="s">
        <v>26</v>
      </c>
      <c r="E1519" s="17" t="n">
        <v>927774</v>
      </c>
      <c r="F1519" s="11" t="s">
        <v>119</v>
      </c>
      <c r="G1519" s="11" t="s">
        <v>468</v>
      </c>
      <c r="H1519" s="11" t="s">
        <v>121</v>
      </c>
      <c r="I1519" s="11" t="s">
        <v>667</v>
      </c>
      <c r="J1519" s="11" t="s">
        <v>673</v>
      </c>
    </row>
    <row r="1520" customFormat="false" ht="15" hidden="false" customHeight="false" outlineLevel="0" collapsed="false">
      <c r="A1520" s="11" t="s">
        <v>463</v>
      </c>
      <c r="B1520" s="11" t="s">
        <v>464</v>
      </c>
      <c r="C1520" s="11" t="n">
        <v>2021</v>
      </c>
      <c r="D1520" s="11" t="s">
        <v>26</v>
      </c>
      <c r="E1520" s="17" t="n">
        <v>892254</v>
      </c>
      <c r="F1520" s="11" t="s">
        <v>119</v>
      </c>
      <c r="G1520" s="11" t="s">
        <v>468</v>
      </c>
      <c r="H1520" s="11" t="s">
        <v>121</v>
      </c>
      <c r="I1520" s="11" t="s">
        <v>667</v>
      </c>
      <c r="J1520" s="11" t="s">
        <v>673</v>
      </c>
    </row>
    <row r="1521" customFormat="false" ht="15" hidden="false" customHeight="false" outlineLevel="0" collapsed="false">
      <c r="A1521" s="11" t="s">
        <v>463</v>
      </c>
      <c r="B1521" s="11" t="s">
        <v>464</v>
      </c>
      <c r="C1521" s="11" t="n">
        <v>2022</v>
      </c>
      <c r="D1521" s="11" t="s">
        <v>26</v>
      </c>
      <c r="E1521" s="17" t="n">
        <v>868193</v>
      </c>
      <c r="F1521" s="11" t="s">
        <v>119</v>
      </c>
      <c r="G1521" s="11" t="s">
        <v>468</v>
      </c>
      <c r="H1521" s="11" t="s">
        <v>121</v>
      </c>
      <c r="I1521" s="11" t="s">
        <v>667</v>
      </c>
      <c r="J1521" s="11" t="s">
        <v>673</v>
      </c>
    </row>
    <row r="1522" customFormat="false" ht="15" hidden="false" customHeight="false" outlineLevel="0" collapsed="false">
      <c r="A1522" s="11" t="s">
        <v>463</v>
      </c>
      <c r="B1522" s="11" t="s">
        <v>464</v>
      </c>
      <c r="C1522" s="11" t="n">
        <v>2010</v>
      </c>
      <c r="D1522" s="11" t="s">
        <v>38</v>
      </c>
      <c r="E1522" s="17" t="n">
        <v>20765</v>
      </c>
      <c r="F1522" s="11" t="s">
        <v>123</v>
      </c>
      <c r="G1522" s="11" t="s">
        <v>124</v>
      </c>
      <c r="H1522" s="11" t="s">
        <v>469</v>
      </c>
      <c r="I1522" s="11" t="s">
        <v>667</v>
      </c>
      <c r="J1522" s="11" t="s">
        <v>674</v>
      </c>
    </row>
    <row r="1523" customFormat="false" ht="15" hidden="false" customHeight="false" outlineLevel="0" collapsed="false">
      <c r="A1523" s="11" t="s">
        <v>463</v>
      </c>
      <c r="B1523" s="11" t="s">
        <v>464</v>
      </c>
      <c r="C1523" s="11" t="n">
        <v>2011</v>
      </c>
      <c r="D1523" s="11" t="s">
        <v>38</v>
      </c>
      <c r="E1523" s="17" t="n">
        <v>23205</v>
      </c>
      <c r="F1523" s="11" t="s">
        <v>123</v>
      </c>
      <c r="G1523" s="11" t="s">
        <v>124</v>
      </c>
      <c r="H1523" s="11" t="s">
        <v>469</v>
      </c>
      <c r="I1523" s="11" t="s">
        <v>667</v>
      </c>
      <c r="J1523" s="11" t="s">
        <v>674</v>
      </c>
    </row>
    <row r="1524" customFormat="false" ht="15" hidden="false" customHeight="false" outlineLevel="0" collapsed="false">
      <c r="A1524" s="11" t="s">
        <v>463</v>
      </c>
      <c r="B1524" s="11" t="s">
        <v>464</v>
      </c>
      <c r="C1524" s="11" t="n">
        <v>2012</v>
      </c>
      <c r="D1524" s="11" t="s">
        <v>38</v>
      </c>
      <c r="E1524" s="17" t="n">
        <v>24400</v>
      </c>
      <c r="F1524" s="11" t="s">
        <v>123</v>
      </c>
      <c r="G1524" s="11" t="s">
        <v>124</v>
      </c>
      <c r="H1524" s="11" t="s">
        <v>469</v>
      </c>
      <c r="I1524" s="11" t="s">
        <v>667</v>
      </c>
      <c r="J1524" s="11" t="s">
        <v>674</v>
      </c>
    </row>
    <row r="1525" customFormat="false" ht="15" hidden="false" customHeight="false" outlineLevel="0" collapsed="false">
      <c r="A1525" s="11" t="s">
        <v>463</v>
      </c>
      <c r="B1525" s="11" t="s">
        <v>464</v>
      </c>
      <c r="C1525" s="11" t="n">
        <v>2013</v>
      </c>
      <c r="D1525" s="11" t="s">
        <v>38</v>
      </c>
      <c r="E1525" s="17" t="n">
        <v>72835</v>
      </c>
      <c r="F1525" s="11" t="s">
        <v>123</v>
      </c>
      <c r="G1525" s="11" t="s">
        <v>124</v>
      </c>
      <c r="H1525" s="11" t="s">
        <v>469</v>
      </c>
      <c r="I1525" s="11" t="s">
        <v>667</v>
      </c>
      <c r="J1525" s="11" t="s">
        <v>674</v>
      </c>
    </row>
    <row r="1526" customFormat="false" ht="15" hidden="false" customHeight="false" outlineLevel="0" collapsed="false">
      <c r="A1526" s="11" t="s">
        <v>463</v>
      </c>
      <c r="B1526" s="11" t="s">
        <v>464</v>
      </c>
      <c r="C1526" s="11" t="n">
        <v>2014</v>
      </c>
      <c r="D1526" s="11" t="s">
        <v>38</v>
      </c>
      <c r="E1526" s="17" t="n">
        <v>1445</v>
      </c>
      <c r="F1526" s="11" t="s">
        <v>123</v>
      </c>
      <c r="G1526" s="11" t="s">
        <v>124</v>
      </c>
      <c r="H1526" s="11" t="s">
        <v>469</v>
      </c>
      <c r="I1526" s="11" t="s">
        <v>667</v>
      </c>
      <c r="J1526" s="11" t="s">
        <v>674</v>
      </c>
    </row>
    <row r="1527" customFormat="false" ht="15" hidden="false" customHeight="false" outlineLevel="0" collapsed="false">
      <c r="A1527" s="11" t="s">
        <v>463</v>
      </c>
      <c r="B1527" s="11" t="s">
        <v>464</v>
      </c>
      <c r="C1527" s="11" t="n">
        <v>2015</v>
      </c>
      <c r="D1527" s="11" t="s">
        <v>38</v>
      </c>
      <c r="E1527" s="17" t="n">
        <v>1210</v>
      </c>
      <c r="F1527" s="11" t="s">
        <v>123</v>
      </c>
      <c r="G1527" s="11" t="s">
        <v>124</v>
      </c>
      <c r="H1527" s="11" t="s">
        <v>469</v>
      </c>
      <c r="I1527" s="11" t="s">
        <v>667</v>
      </c>
      <c r="J1527" s="11" t="s">
        <v>674</v>
      </c>
    </row>
    <row r="1528" customFormat="false" ht="15" hidden="false" customHeight="false" outlineLevel="0" collapsed="false">
      <c r="A1528" s="11" t="s">
        <v>463</v>
      </c>
      <c r="B1528" s="11" t="s">
        <v>464</v>
      </c>
      <c r="C1528" s="11" t="n">
        <v>2016</v>
      </c>
      <c r="D1528" s="11" t="s">
        <v>38</v>
      </c>
      <c r="E1528" s="17" t="n">
        <v>2145</v>
      </c>
      <c r="F1528" s="11" t="s">
        <v>123</v>
      </c>
      <c r="G1528" s="11" t="s">
        <v>124</v>
      </c>
      <c r="H1528" s="11" t="s">
        <v>469</v>
      </c>
      <c r="I1528" s="11" t="s">
        <v>667</v>
      </c>
      <c r="J1528" s="11" t="s">
        <v>674</v>
      </c>
    </row>
    <row r="1529" customFormat="false" ht="15" hidden="false" customHeight="false" outlineLevel="0" collapsed="false">
      <c r="A1529" s="11" t="s">
        <v>463</v>
      </c>
      <c r="B1529" s="11" t="s">
        <v>464</v>
      </c>
      <c r="C1529" s="11" t="n">
        <v>2017</v>
      </c>
      <c r="D1529" s="11" t="s">
        <v>38</v>
      </c>
      <c r="E1529" s="17" t="n">
        <v>1720</v>
      </c>
      <c r="F1529" s="11" t="s">
        <v>123</v>
      </c>
      <c r="G1529" s="11" t="s">
        <v>124</v>
      </c>
      <c r="H1529" s="11" t="s">
        <v>469</v>
      </c>
      <c r="I1529" s="11" t="s">
        <v>667</v>
      </c>
      <c r="J1529" s="11" t="s">
        <v>674</v>
      </c>
    </row>
    <row r="1530" customFormat="false" ht="15" hidden="false" customHeight="false" outlineLevel="0" collapsed="false">
      <c r="A1530" s="11" t="s">
        <v>463</v>
      </c>
      <c r="B1530" s="11" t="s">
        <v>464</v>
      </c>
      <c r="C1530" s="11" t="n">
        <v>2018</v>
      </c>
      <c r="D1530" s="11" t="s">
        <v>38</v>
      </c>
      <c r="E1530" s="17" t="n">
        <v>2170</v>
      </c>
      <c r="F1530" s="11" t="s">
        <v>123</v>
      </c>
      <c r="G1530" s="11" t="s">
        <v>124</v>
      </c>
      <c r="H1530" s="11" t="s">
        <v>469</v>
      </c>
      <c r="I1530" s="11" t="s">
        <v>667</v>
      </c>
      <c r="J1530" s="11" t="s">
        <v>674</v>
      </c>
    </row>
    <row r="1531" customFormat="false" ht="15" hidden="false" customHeight="false" outlineLevel="0" collapsed="false">
      <c r="A1531" s="11" t="s">
        <v>463</v>
      </c>
      <c r="B1531" s="11" t="s">
        <v>464</v>
      </c>
      <c r="C1531" s="11" t="n">
        <v>2019</v>
      </c>
      <c r="D1531" s="11" t="s">
        <v>38</v>
      </c>
      <c r="E1531" s="17" t="n">
        <v>2615</v>
      </c>
      <c r="F1531" s="11" t="s">
        <v>123</v>
      </c>
      <c r="G1531" s="11" t="s">
        <v>124</v>
      </c>
      <c r="H1531" s="11" t="s">
        <v>469</v>
      </c>
      <c r="I1531" s="11" t="s">
        <v>667</v>
      </c>
      <c r="J1531" s="11" t="s">
        <v>674</v>
      </c>
    </row>
    <row r="1532" customFormat="false" ht="15" hidden="false" customHeight="false" outlineLevel="0" collapsed="false">
      <c r="A1532" s="11" t="s">
        <v>463</v>
      </c>
      <c r="B1532" s="11" t="s">
        <v>464</v>
      </c>
      <c r="C1532" s="11" t="n">
        <v>2020</v>
      </c>
      <c r="D1532" s="11" t="s">
        <v>38</v>
      </c>
      <c r="E1532" s="17" t="n">
        <v>2635</v>
      </c>
      <c r="F1532" s="11" t="s">
        <v>123</v>
      </c>
      <c r="G1532" s="11" t="s">
        <v>124</v>
      </c>
      <c r="H1532" s="11" t="s">
        <v>469</v>
      </c>
      <c r="I1532" s="11" t="s">
        <v>667</v>
      </c>
      <c r="J1532" s="11" t="s">
        <v>674</v>
      </c>
    </row>
    <row r="1533" customFormat="false" ht="15" hidden="false" customHeight="false" outlineLevel="0" collapsed="false">
      <c r="A1533" s="11" t="s">
        <v>463</v>
      </c>
      <c r="B1533" s="11" t="s">
        <v>464</v>
      </c>
      <c r="C1533" s="11" t="n">
        <v>2021</v>
      </c>
      <c r="D1533" s="11" t="s">
        <v>38</v>
      </c>
      <c r="E1533" s="17" t="n">
        <v>2455</v>
      </c>
      <c r="F1533" s="11" t="s">
        <v>123</v>
      </c>
      <c r="G1533" s="11" t="s">
        <v>124</v>
      </c>
      <c r="H1533" s="11" t="s">
        <v>469</v>
      </c>
      <c r="I1533" s="11" t="s">
        <v>667</v>
      </c>
      <c r="J1533" s="11" t="s">
        <v>674</v>
      </c>
    </row>
    <row r="1534" customFormat="false" ht="15" hidden="false" customHeight="false" outlineLevel="0" collapsed="false">
      <c r="A1534" s="11" t="s">
        <v>463</v>
      </c>
      <c r="B1534" s="11" t="s">
        <v>464</v>
      </c>
      <c r="C1534" s="11" t="n">
        <v>2022</v>
      </c>
      <c r="D1534" s="11" t="s">
        <v>38</v>
      </c>
      <c r="E1534" s="17" t="n">
        <v>2510</v>
      </c>
      <c r="F1534" s="11" t="s">
        <v>123</v>
      </c>
      <c r="G1534" s="11" t="s">
        <v>124</v>
      </c>
      <c r="H1534" s="11" t="s">
        <v>469</v>
      </c>
      <c r="I1534" s="11" t="s">
        <v>667</v>
      </c>
      <c r="J1534" s="11" t="s">
        <v>674</v>
      </c>
    </row>
    <row r="1535" customFormat="false" ht="15" hidden="false" customHeight="false" outlineLevel="0" collapsed="false">
      <c r="A1535" s="11" t="s">
        <v>463</v>
      </c>
      <c r="B1535" s="11" t="s">
        <v>464</v>
      </c>
      <c r="C1535" s="11" t="n">
        <v>2010</v>
      </c>
      <c r="D1535" s="11" t="s">
        <v>18</v>
      </c>
      <c r="E1535" s="17" t="n">
        <v>9378126</v>
      </c>
      <c r="F1535" s="11" t="s">
        <v>98</v>
      </c>
      <c r="G1535" s="11" t="s">
        <v>99</v>
      </c>
      <c r="H1535" s="11" t="s">
        <v>671</v>
      </c>
      <c r="I1535" s="11" t="s">
        <v>667</v>
      </c>
      <c r="J1535" s="11" t="s">
        <v>672</v>
      </c>
    </row>
    <row r="1536" customFormat="false" ht="15" hidden="false" customHeight="false" outlineLevel="0" collapsed="false">
      <c r="A1536" s="11" t="s">
        <v>463</v>
      </c>
      <c r="B1536" s="11" t="s">
        <v>464</v>
      </c>
      <c r="C1536" s="11" t="n">
        <v>2011</v>
      </c>
      <c r="D1536" s="11" t="s">
        <v>18</v>
      </c>
      <c r="E1536" s="17" t="n">
        <v>9449213</v>
      </c>
      <c r="F1536" s="11" t="s">
        <v>98</v>
      </c>
      <c r="G1536" s="11" t="s">
        <v>99</v>
      </c>
      <c r="H1536" s="11" t="s">
        <v>671</v>
      </c>
      <c r="I1536" s="11" t="s">
        <v>667</v>
      </c>
      <c r="J1536" s="11" t="s">
        <v>672</v>
      </c>
    </row>
    <row r="1537" customFormat="false" ht="15" hidden="false" customHeight="false" outlineLevel="0" collapsed="false">
      <c r="A1537" s="11" t="s">
        <v>463</v>
      </c>
      <c r="B1537" s="11" t="s">
        <v>464</v>
      </c>
      <c r="C1537" s="11" t="n">
        <v>2012</v>
      </c>
      <c r="D1537" s="11" t="s">
        <v>18</v>
      </c>
      <c r="E1537" s="17" t="n">
        <v>9519374</v>
      </c>
      <c r="F1537" s="11" t="s">
        <v>98</v>
      </c>
      <c r="G1537" s="11" t="s">
        <v>99</v>
      </c>
      <c r="H1537" s="11" t="s">
        <v>671</v>
      </c>
      <c r="I1537" s="11" t="s">
        <v>667</v>
      </c>
      <c r="J1537" s="11" t="s">
        <v>672</v>
      </c>
    </row>
    <row r="1538" customFormat="false" ht="15" hidden="false" customHeight="false" outlineLevel="0" collapsed="false">
      <c r="A1538" s="11" t="s">
        <v>463</v>
      </c>
      <c r="B1538" s="11" t="s">
        <v>464</v>
      </c>
      <c r="C1538" s="11" t="n">
        <v>2013</v>
      </c>
      <c r="D1538" s="11" t="s">
        <v>18</v>
      </c>
      <c r="E1538" s="17" t="n">
        <v>9600379</v>
      </c>
      <c r="F1538" s="11" t="s">
        <v>98</v>
      </c>
      <c r="G1538" s="11" t="s">
        <v>99</v>
      </c>
      <c r="H1538" s="11" t="s">
        <v>671</v>
      </c>
      <c r="I1538" s="11" t="s">
        <v>667</v>
      </c>
      <c r="J1538" s="11" t="s">
        <v>672</v>
      </c>
    </row>
    <row r="1539" customFormat="false" ht="15" hidden="false" customHeight="false" outlineLevel="0" collapsed="false">
      <c r="A1539" s="11" t="s">
        <v>463</v>
      </c>
      <c r="B1539" s="11" t="s">
        <v>464</v>
      </c>
      <c r="C1539" s="11" t="n">
        <v>2014</v>
      </c>
      <c r="D1539" s="11" t="s">
        <v>18</v>
      </c>
      <c r="E1539" s="17" t="n">
        <v>9696110</v>
      </c>
      <c r="F1539" s="11" t="s">
        <v>98</v>
      </c>
      <c r="G1539" s="11" t="s">
        <v>99</v>
      </c>
      <c r="H1539" s="11" t="s">
        <v>671</v>
      </c>
      <c r="I1539" s="11" t="s">
        <v>667</v>
      </c>
      <c r="J1539" s="11" t="s">
        <v>672</v>
      </c>
    </row>
    <row r="1540" customFormat="false" ht="15" hidden="false" customHeight="false" outlineLevel="0" collapsed="false">
      <c r="A1540" s="11" t="s">
        <v>463</v>
      </c>
      <c r="B1540" s="11" t="s">
        <v>464</v>
      </c>
      <c r="C1540" s="11" t="n">
        <v>2015</v>
      </c>
      <c r="D1540" s="11" t="s">
        <v>18</v>
      </c>
      <c r="E1540" s="17" t="n">
        <v>9799186</v>
      </c>
      <c r="F1540" s="11" t="s">
        <v>98</v>
      </c>
      <c r="G1540" s="11" t="s">
        <v>99</v>
      </c>
      <c r="H1540" s="11" t="s">
        <v>671</v>
      </c>
      <c r="I1540" s="11" t="s">
        <v>667</v>
      </c>
      <c r="J1540" s="11" t="s">
        <v>672</v>
      </c>
    </row>
    <row r="1541" customFormat="false" ht="15" hidden="false" customHeight="false" outlineLevel="0" collapsed="false">
      <c r="A1541" s="11" t="s">
        <v>463</v>
      </c>
      <c r="B1541" s="11" t="s">
        <v>464</v>
      </c>
      <c r="C1541" s="11" t="n">
        <v>2016</v>
      </c>
      <c r="D1541" s="11" t="s">
        <v>18</v>
      </c>
      <c r="E1541" s="17" t="n">
        <v>9923085</v>
      </c>
      <c r="F1541" s="11" t="s">
        <v>98</v>
      </c>
      <c r="G1541" s="11" t="s">
        <v>99</v>
      </c>
      <c r="H1541" s="11" t="s">
        <v>671</v>
      </c>
      <c r="I1541" s="11" t="s">
        <v>667</v>
      </c>
      <c r="J1541" s="11" t="s">
        <v>672</v>
      </c>
    </row>
    <row r="1542" customFormat="false" ht="15" hidden="false" customHeight="false" outlineLevel="0" collapsed="false">
      <c r="A1542" s="11" t="s">
        <v>463</v>
      </c>
      <c r="B1542" s="11" t="s">
        <v>464</v>
      </c>
      <c r="C1542" s="11" t="n">
        <v>2017</v>
      </c>
      <c r="D1542" s="11" t="s">
        <v>18</v>
      </c>
      <c r="E1542" s="17" t="n">
        <v>10057698</v>
      </c>
      <c r="F1542" s="11" t="s">
        <v>98</v>
      </c>
      <c r="G1542" s="11" t="s">
        <v>99</v>
      </c>
      <c r="H1542" s="11" t="s">
        <v>671</v>
      </c>
      <c r="I1542" s="11" t="s">
        <v>667</v>
      </c>
      <c r="J1542" s="11" t="s">
        <v>672</v>
      </c>
    </row>
    <row r="1543" customFormat="false" ht="15" hidden="false" customHeight="false" outlineLevel="0" collapsed="false">
      <c r="A1543" s="11" t="s">
        <v>463</v>
      </c>
      <c r="B1543" s="11" t="s">
        <v>464</v>
      </c>
      <c r="C1543" s="11" t="n">
        <v>2018</v>
      </c>
      <c r="D1543" s="11" t="s">
        <v>18</v>
      </c>
      <c r="E1543" s="17" t="n">
        <v>10175214</v>
      </c>
      <c r="F1543" s="11" t="s">
        <v>98</v>
      </c>
      <c r="G1543" s="11" t="s">
        <v>99</v>
      </c>
      <c r="H1543" s="11" t="s">
        <v>671</v>
      </c>
      <c r="I1543" s="11" t="s">
        <v>667</v>
      </c>
      <c r="J1543" s="11" t="s">
        <v>672</v>
      </c>
    </row>
    <row r="1544" customFormat="false" ht="15" hidden="false" customHeight="false" outlineLevel="0" collapsed="false">
      <c r="A1544" s="11" t="s">
        <v>463</v>
      </c>
      <c r="B1544" s="11" t="s">
        <v>464</v>
      </c>
      <c r="C1544" s="11" t="n">
        <v>2019</v>
      </c>
      <c r="D1544" s="11" t="s">
        <v>18</v>
      </c>
      <c r="E1544" s="17" t="n">
        <v>10278887</v>
      </c>
      <c r="F1544" s="11" t="s">
        <v>98</v>
      </c>
      <c r="G1544" s="11" t="s">
        <v>99</v>
      </c>
      <c r="H1544" s="11" t="s">
        <v>671</v>
      </c>
      <c r="I1544" s="11" t="s">
        <v>667</v>
      </c>
      <c r="J1544" s="11" t="s">
        <v>672</v>
      </c>
    </row>
    <row r="1545" customFormat="false" ht="15" hidden="false" customHeight="false" outlineLevel="0" collapsed="false">
      <c r="A1545" s="11" t="s">
        <v>463</v>
      </c>
      <c r="B1545" s="11" t="s">
        <v>464</v>
      </c>
      <c r="C1545" s="11" t="n">
        <v>2020</v>
      </c>
      <c r="D1545" s="11" t="s">
        <v>18</v>
      </c>
      <c r="E1545" s="17" t="n">
        <v>10353442</v>
      </c>
      <c r="F1545" s="11" t="s">
        <v>98</v>
      </c>
      <c r="G1545" s="11" t="s">
        <v>99</v>
      </c>
      <c r="H1545" s="11" t="s">
        <v>671</v>
      </c>
      <c r="I1545" s="11" t="s">
        <v>667</v>
      </c>
      <c r="J1545" s="11" t="s">
        <v>672</v>
      </c>
    </row>
    <row r="1546" customFormat="false" ht="15" hidden="false" customHeight="false" outlineLevel="0" collapsed="false">
      <c r="A1546" s="11" t="s">
        <v>463</v>
      </c>
      <c r="B1546" s="11" t="s">
        <v>464</v>
      </c>
      <c r="C1546" s="11" t="n">
        <v>2021</v>
      </c>
      <c r="D1546" s="11" t="s">
        <v>18</v>
      </c>
      <c r="E1546" s="17" t="n">
        <v>10415811</v>
      </c>
      <c r="F1546" s="11" t="s">
        <v>98</v>
      </c>
      <c r="G1546" s="11" t="s">
        <v>99</v>
      </c>
      <c r="H1546" s="11" t="s">
        <v>671</v>
      </c>
      <c r="I1546" s="11" t="s">
        <v>667</v>
      </c>
      <c r="J1546" s="11" t="s">
        <v>672</v>
      </c>
    </row>
    <row r="1547" customFormat="false" ht="15" hidden="false" customHeight="false" outlineLevel="0" collapsed="false">
      <c r="A1547" s="11" t="s">
        <v>463</v>
      </c>
      <c r="B1547" s="11" t="s">
        <v>464</v>
      </c>
      <c r="C1547" s="11" t="n">
        <v>2022</v>
      </c>
      <c r="D1547" s="11" t="s">
        <v>18</v>
      </c>
      <c r="E1547" s="17" t="n">
        <v>10486941</v>
      </c>
      <c r="F1547" s="11" t="s">
        <v>98</v>
      </c>
      <c r="G1547" s="11" t="s">
        <v>99</v>
      </c>
      <c r="H1547" s="11" t="s">
        <v>671</v>
      </c>
      <c r="I1547" s="11" t="s">
        <v>667</v>
      </c>
      <c r="J1547" s="11" t="s">
        <v>672</v>
      </c>
    </row>
    <row r="1548" customFormat="false" ht="15" hidden="false" customHeight="false" outlineLevel="0" collapsed="false">
      <c r="A1548" s="11" t="s">
        <v>510</v>
      </c>
      <c r="B1548" s="11" t="s">
        <v>511</v>
      </c>
      <c r="C1548" s="11" t="n">
        <v>2010</v>
      </c>
      <c r="D1548" s="11" t="s">
        <v>22</v>
      </c>
      <c r="E1548" s="17" t="n">
        <v>2640454</v>
      </c>
      <c r="F1548" s="11" t="s">
        <v>167</v>
      </c>
      <c r="G1548" s="11" t="s">
        <v>168</v>
      </c>
      <c r="H1548" s="11" t="s">
        <v>174</v>
      </c>
      <c r="I1548" s="11" t="s">
        <v>667</v>
      </c>
      <c r="J1548" s="11" t="s">
        <v>676</v>
      </c>
    </row>
    <row r="1549" customFormat="false" ht="15" hidden="false" customHeight="false" outlineLevel="0" collapsed="false">
      <c r="A1549" s="11" t="s">
        <v>510</v>
      </c>
      <c r="B1549" s="11" t="s">
        <v>511</v>
      </c>
      <c r="C1549" s="11" t="n">
        <v>2015</v>
      </c>
      <c r="D1549" s="11" t="s">
        <v>22</v>
      </c>
      <c r="E1549" s="17" t="n">
        <v>2853248</v>
      </c>
      <c r="F1549" s="11" t="s">
        <v>167</v>
      </c>
      <c r="G1549" s="11" t="s">
        <v>168</v>
      </c>
      <c r="H1549" s="11" t="s">
        <v>174</v>
      </c>
      <c r="I1549" s="11" t="s">
        <v>667</v>
      </c>
      <c r="J1549" s="11" t="s">
        <v>676</v>
      </c>
    </row>
    <row r="1550" customFormat="false" ht="15" hidden="false" customHeight="false" outlineLevel="0" collapsed="false">
      <c r="A1550" s="11" t="s">
        <v>510</v>
      </c>
      <c r="B1550" s="11" t="s">
        <v>511</v>
      </c>
      <c r="C1550" s="11" t="n">
        <v>2020</v>
      </c>
      <c r="D1550" s="11" t="s">
        <v>22</v>
      </c>
      <c r="E1550" s="17" t="n">
        <v>3015007</v>
      </c>
      <c r="F1550" s="11" t="s">
        <v>167</v>
      </c>
      <c r="G1550" s="11" t="s">
        <v>168</v>
      </c>
      <c r="H1550" s="11" t="s">
        <v>174</v>
      </c>
      <c r="I1550" s="11" t="s">
        <v>667</v>
      </c>
      <c r="J1550" s="11" t="s">
        <v>676</v>
      </c>
    </row>
    <row r="1551" customFormat="false" ht="15" hidden="false" customHeight="false" outlineLevel="0" collapsed="false">
      <c r="A1551" s="11" t="s">
        <v>510</v>
      </c>
      <c r="B1551" s="11" t="s">
        <v>511</v>
      </c>
      <c r="C1551" s="11" t="n">
        <v>2018</v>
      </c>
      <c r="D1551" s="11" t="s">
        <v>26</v>
      </c>
      <c r="E1551" s="17" t="n">
        <v>4898461</v>
      </c>
      <c r="F1551" s="11" t="s">
        <v>514</v>
      </c>
      <c r="G1551" s="11" t="s">
        <v>515</v>
      </c>
      <c r="H1551" s="11" t="s">
        <v>516</v>
      </c>
      <c r="I1551" s="11" t="s">
        <v>667</v>
      </c>
      <c r="J1551" s="11" t="s">
        <v>676</v>
      </c>
    </row>
    <row r="1552" customFormat="false" ht="15" hidden="false" customHeight="false" outlineLevel="0" collapsed="false">
      <c r="A1552" s="11" t="s">
        <v>510</v>
      </c>
      <c r="B1552" s="11" t="s">
        <v>511</v>
      </c>
      <c r="C1552" s="11" t="n">
        <v>2010</v>
      </c>
      <c r="D1552" s="11" t="s">
        <v>18</v>
      </c>
      <c r="E1552" s="17" t="n">
        <v>68579447</v>
      </c>
      <c r="F1552" s="11" t="s">
        <v>98</v>
      </c>
      <c r="G1552" s="11" t="s">
        <v>99</v>
      </c>
      <c r="H1552" s="11" t="s">
        <v>671</v>
      </c>
      <c r="I1552" s="11" t="s">
        <v>667</v>
      </c>
      <c r="J1552" s="11" t="s">
        <v>672</v>
      </c>
    </row>
    <row r="1553" customFormat="false" ht="15" hidden="false" customHeight="false" outlineLevel="0" collapsed="false">
      <c r="A1553" s="11" t="s">
        <v>510</v>
      </c>
      <c r="B1553" s="11" t="s">
        <v>511</v>
      </c>
      <c r="C1553" s="11" t="n">
        <v>2011</v>
      </c>
      <c r="D1553" s="11" t="s">
        <v>18</v>
      </c>
      <c r="E1553" s="17" t="n">
        <v>69007208</v>
      </c>
      <c r="F1553" s="11" t="s">
        <v>98</v>
      </c>
      <c r="G1553" s="11" t="s">
        <v>99</v>
      </c>
      <c r="H1553" s="11" t="s">
        <v>671</v>
      </c>
      <c r="I1553" s="11" t="s">
        <v>667</v>
      </c>
      <c r="J1553" s="11" t="s">
        <v>672</v>
      </c>
    </row>
    <row r="1554" customFormat="false" ht="15" hidden="false" customHeight="false" outlineLevel="0" collapsed="false">
      <c r="A1554" s="11" t="s">
        <v>510</v>
      </c>
      <c r="B1554" s="11" t="s">
        <v>511</v>
      </c>
      <c r="C1554" s="11" t="n">
        <v>2012</v>
      </c>
      <c r="D1554" s="11" t="s">
        <v>18</v>
      </c>
      <c r="E1554" s="17" t="n">
        <v>69436098</v>
      </c>
      <c r="F1554" s="11" t="s">
        <v>98</v>
      </c>
      <c r="G1554" s="11" t="s">
        <v>99</v>
      </c>
      <c r="H1554" s="11" t="s">
        <v>671</v>
      </c>
      <c r="I1554" s="11" t="s">
        <v>667</v>
      </c>
      <c r="J1554" s="11" t="s">
        <v>672</v>
      </c>
    </row>
    <row r="1555" customFormat="false" ht="15" hidden="false" customHeight="false" outlineLevel="0" collapsed="false">
      <c r="A1555" s="11" t="s">
        <v>510</v>
      </c>
      <c r="B1555" s="11" t="s">
        <v>511</v>
      </c>
      <c r="C1555" s="11" t="n">
        <v>2013</v>
      </c>
      <c r="D1555" s="11" t="s">
        <v>18</v>
      </c>
      <c r="E1555" s="17" t="n">
        <v>69845114</v>
      </c>
      <c r="F1555" s="11" t="s">
        <v>98</v>
      </c>
      <c r="G1555" s="11" t="s">
        <v>99</v>
      </c>
      <c r="H1555" s="11" t="s">
        <v>671</v>
      </c>
      <c r="I1555" s="11" t="s">
        <v>667</v>
      </c>
      <c r="J1555" s="11" t="s">
        <v>672</v>
      </c>
    </row>
    <row r="1556" customFormat="false" ht="15" hidden="false" customHeight="false" outlineLevel="0" collapsed="false">
      <c r="A1556" s="11" t="s">
        <v>510</v>
      </c>
      <c r="B1556" s="11" t="s">
        <v>511</v>
      </c>
      <c r="C1556" s="11" t="n">
        <v>2014</v>
      </c>
      <c r="D1556" s="11" t="s">
        <v>18</v>
      </c>
      <c r="E1556" s="17" t="n">
        <v>70216367</v>
      </c>
      <c r="F1556" s="11" t="s">
        <v>98</v>
      </c>
      <c r="G1556" s="11" t="s">
        <v>99</v>
      </c>
      <c r="H1556" s="11" t="s">
        <v>671</v>
      </c>
      <c r="I1556" s="11" t="s">
        <v>667</v>
      </c>
      <c r="J1556" s="11" t="s">
        <v>672</v>
      </c>
    </row>
    <row r="1557" customFormat="false" ht="15" hidden="false" customHeight="false" outlineLevel="0" collapsed="false">
      <c r="A1557" s="11" t="s">
        <v>510</v>
      </c>
      <c r="B1557" s="11" t="s">
        <v>511</v>
      </c>
      <c r="C1557" s="11" t="n">
        <v>2015</v>
      </c>
      <c r="D1557" s="11" t="s">
        <v>18</v>
      </c>
      <c r="E1557" s="17" t="n">
        <v>70540795</v>
      </c>
      <c r="F1557" s="11" t="s">
        <v>98</v>
      </c>
      <c r="G1557" s="11" t="s">
        <v>99</v>
      </c>
      <c r="H1557" s="11" t="s">
        <v>671</v>
      </c>
      <c r="I1557" s="11" t="s">
        <v>667</v>
      </c>
      <c r="J1557" s="11" t="s">
        <v>672</v>
      </c>
    </row>
    <row r="1558" customFormat="false" ht="15" hidden="false" customHeight="false" outlineLevel="0" collapsed="false">
      <c r="A1558" s="11" t="s">
        <v>510</v>
      </c>
      <c r="B1558" s="11" t="s">
        <v>511</v>
      </c>
      <c r="C1558" s="11" t="n">
        <v>2016</v>
      </c>
      <c r="D1558" s="11" t="s">
        <v>18</v>
      </c>
      <c r="E1558" s="17" t="n">
        <v>70859841</v>
      </c>
      <c r="F1558" s="11" t="s">
        <v>98</v>
      </c>
      <c r="G1558" s="11" t="s">
        <v>99</v>
      </c>
      <c r="H1558" s="11" t="s">
        <v>671</v>
      </c>
      <c r="I1558" s="11" t="s">
        <v>667</v>
      </c>
      <c r="J1558" s="11" t="s">
        <v>672</v>
      </c>
    </row>
    <row r="1559" customFormat="false" ht="15" hidden="false" customHeight="false" outlineLevel="0" collapsed="false">
      <c r="A1559" s="11" t="s">
        <v>510</v>
      </c>
      <c r="B1559" s="11" t="s">
        <v>511</v>
      </c>
      <c r="C1559" s="11" t="n">
        <v>2017</v>
      </c>
      <c r="D1559" s="11" t="s">
        <v>18</v>
      </c>
      <c r="E1559" s="17" t="n">
        <v>71160187</v>
      </c>
      <c r="F1559" s="11" t="s">
        <v>98</v>
      </c>
      <c r="G1559" s="11" t="s">
        <v>99</v>
      </c>
      <c r="H1559" s="11" t="s">
        <v>671</v>
      </c>
      <c r="I1559" s="11" t="s">
        <v>667</v>
      </c>
      <c r="J1559" s="11" t="s">
        <v>672</v>
      </c>
    </row>
    <row r="1560" customFormat="false" ht="15" hidden="false" customHeight="false" outlineLevel="0" collapsed="false">
      <c r="A1560" s="11" t="s">
        <v>510</v>
      </c>
      <c r="B1560" s="11" t="s">
        <v>511</v>
      </c>
      <c r="C1560" s="11" t="n">
        <v>2018</v>
      </c>
      <c r="D1560" s="11" t="s">
        <v>18</v>
      </c>
      <c r="E1560" s="17" t="n">
        <v>71376079</v>
      </c>
      <c r="F1560" s="11" t="s">
        <v>98</v>
      </c>
      <c r="G1560" s="11" t="s">
        <v>99</v>
      </c>
      <c r="H1560" s="11" t="s">
        <v>671</v>
      </c>
      <c r="I1560" s="11" t="s">
        <v>667</v>
      </c>
      <c r="J1560" s="11" t="s">
        <v>672</v>
      </c>
    </row>
    <row r="1561" customFormat="false" ht="15" hidden="false" customHeight="false" outlineLevel="0" collapsed="false">
      <c r="A1561" s="11" t="s">
        <v>510</v>
      </c>
      <c r="B1561" s="11" t="s">
        <v>511</v>
      </c>
      <c r="C1561" s="11" t="n">
        <v>2019</v>
      </c>
      <c r="D1561" s="11" t="s">
        <v>18</v>
      </c>
      <c r="E1561" s="17" t="n">
        <v>71522271</v>
      </c>
      <c r="F1561" s="11" t="s">
        <v>98</v>
      </c>
      <c r="G1561" s="11" t="s">
        <v>99</v>
      </c>
      <c r="H1561" s="11" t="s">
        <v>671</v>
      </c>
      <c r="I1561" s="11" t="s">
        <v>667</v>
      </c>
      <c r="J1561" s="11" t="s">
        <v>672</v>
      </c>
    </row>
    <row r="1562" customFormat="false" ht="15" hidden="false" customHeight="false" outlineLevel="0" collapsed="false">
      <c r="A1562" s="11" t="s">
        <v>510</v>
      </c>
      <c r="B1562" s="11" t="s">
        <v>511</v>
      </c>
      <c r="C1562" s="11" t="n">
        <v>2020</v>
      </c>
      <c r="D1562" s="11" t="s">
        <v>18</v>
      </c>
      <c r="E1562" s="17" t="n">
        <v>71641484</v>
      </c>
      <c r="F1562" s="11" t="s">
        <v>98</v>
      </c>
      <c r="G1562" s="11" t="s">
        <v>99</v>
      </c>
      <c r="H1562" s="11" t="s">
        <v>671</v>
      </c>
      <c r="I1562" s="11" t="s">
        <v>667</v>
      </c>
      <c r="J1562" s="11" t="s">
        <v>672</v>
      </c>
    </row>
    <row r="1563" customFormat="false" ht="15" hidden="false" customHeight="false" outlineLevel="0" collapsed="false">
      <c r="A1563" s="11" t="s">
        <v>510</v>
      </c>
      <c r="B1563" s="11" t="s">
        <v>511</v>
      </c>
      <c r="C1563" s="11" t="n">
        <v>2021</v>
      </c>
      <c r="D1563" s="11" t="s">
        <v>18</v>
      </c>
      <c r="E1563" s="17" t="n">
        <v>71727332</v>
      </c>
      <c r="F1563" s="11" t="s">
        <v>98</v>
      </c>
      <c r="G1563" s="11" t="s">
        <v>99</v>
      </c>
      <c r="H1563" s="11" t="s">
        <v>671</v>
      </c>
      <c r="I1563" s="11" t="s">
        <v>667</v>
      </c>
      <c r="J1563" s="11" t="s">
        <v>672</v>
      </c>
    </row>
    <row r="1564" customFormat="false" ht="15" hidden="false" customHeight="false" outlineLevel="0" collapsed="false">
      <c r="A1564" s="11" t="s">
        <v>510</v>
      </c>
      <c r="B1564" s="11" t="s">
        <v>511</v>
      </c>
      <c r="C1564" s="11" t="n">
        <v>2022</v>
      </c>
      <c r="D1564" s="11" t="s">
        <v>18</v>
      </c>
      <c r="E1564" s="17" t="n">
        <v>71735329</v>
      </c>
      <c r="F1564" s="11" t="s">
        <v>98</v>
      </c>
      <c r="G1564" s="11" t="s">
        <v>99</v>
      </c>
      <c r="H1564" s="11" t="s">
        <v>671</v>
      </c>
      <c r="I1564" s="11" t="s">
        <v>667</v>
      </c>
      <c r="J1564" s="11" t="s">
        <v>672</v>
      </c>
    </row>
    <row r="1565" customFormat="false" ht="15" hidden="false" customHeight="false" outlineLevel="0" collapsed="false">
      <c r="A1565" s="11" t="s">
        <v>517</v>
      </c>
      <c r="B1565" s="11" t="s">
        <v>518</v>
      </c>
      <c r="C1565" s="11" t="n">
        <v>2014</v>
      </c>
      <c r="D1565" s="11" t="s">
        <v>22</v>
      </c>
      <c r="E1565" s="17" t="n">
        <v>1459775</v>
      </c>
      <c r="F1565" s="11" t="s">
        <v>101</v>
      </c>
      <c r="G1565" s="11" t="s">
        <v>526</v>
      </c>
      <c r="H1565" s="11" t="s">
        <v>527</v>
      </c>
      <c r="I1565" s="11" t="s">
        <v>667</v>
      </c>
      <c r="J1565" s="11" t="s">
        <v>668</v>
      </c>
    </row>
    <row r="1566" customFormat="false" ht="15" hidden="false" customHeight="false" outlineLevel="0" collapsed="false">
      <c r="A1566" s="11" t="s">
        <v>517</v>
      </c>
      <c r="B1566" s="11" t="s">
        <v>518</v>
      </c>
      <c r="C1566" s="11" t="n">
        <v>2015</v>
      </c>
      <c r="D1566" s="11" t="s">
        <v>22</v>
      </c>
      <c r="E1566" s="17" t="n">
        <v>1592437</v>
      </c>
      <c r="F1566" s="11" t="s">
        <v>101</v>
      </c>
      <c r="G1566" s="11" t="s">
        <v>526</v>
      </c>
      <c r="H1566" s="11" t="s">
        <v>527</v>
      </c>
      <c r="I1566" s="11" t="s">
        <v>667</v>
      </c>
      <c r="J1566" s="11" t="s">
        <v>668</v>
      </c>
    </row>
    <row r="1567" customFormat="false" ht="15" hidden="false" customHeight="false" outlineLevel="0" collapsed="false">
      <c r="A1567" s="11" t="s">
        <v>517</v>
      </c>
      <c r="B1567" s="11" t="s">
        <v>518</v>
      </c>
      <c r="C1567" s="11" t="n">
        <v>2016</v>
      </c>
      <c r="D1567" s="11" t="s">
        <v>22</v>
      </c>
      <c r="E1567" s="17" t="n">
        <v>1777290</v>
      </c>
      <c r="F1567" s="11" t="s">
        <v>101</v>
      </c>
      <c r="G1567" s="11" t="s">
        <v>526</v>
      </c>
      <c r="H1567" s="11" t="s">
        <v>527</v>
      </c>
      <c r="I1567" s="11" t="s">
        <v>667</v>
      </c>
      <c r="J1567" s="11" t="s">
        <v>668</v>
      </c>
    </row>
    <row r="1568" customFormat="false" ht="15" hidden="false" customHeight="false" outlineLevel="0" collapsed="false">
      <c r="A1568" s="11" t="s">
        <v>517</v>
      </c>
      <c r="B1568" s="11" t="s">
        <v>518</v>
      </c>
      <c r="C1568" s="11" t="n">
        <v>2017</v>
      </c>
      <c r="D1568" s="11" t="s">
        <v>22</v>
      </c>
      <c r="E1568" s="17" t="n">
        <v>1923894</v>
      </c>
      <c r="F1568" s="11" t="s">
        <v>101</v>
      </c>
      <c r="G1568" s="11" t="s">
        <v>526</v>
      </c>
      <c r="H1568" s="11" t="s">
        <v>527</v>
      </c>
      <c r="I1568" s="11" t="s">
        <v>667</v>
      </c>
      <c r="J1568" s="11" t="s">
        <v>668</v>
      </c>
    </row>
    <row r="1569" customFormat="false" ht="15" hidden="false" customHeight="false" outlineLevel="0" collapsed="false">
      <c r="A1569" s="11" t="s">
        <v>517</v>
      </c>
      <c r="B1569" s="11" t="s">
        <v>518</v>
      </c>
      <c r="C1569" s="11" t="n">
        <v>2018</v>
      </c>
      <c r="D1569" s="11" t="s">
        <v>22</v>
      </c>
      <c r="E1569" s="17" t="n">
        <v>2278490</v>
      </c>
      <c r="F1569" s="11" t="s">
        <v>101</v>
      </c>
      <c r="G1569" s="11" t="s">
        <v>526</v>
      </c>
      <c r="H1569" s="11" t="s">
        <v>527</v>
      </c>
      <c r="I1569" s="11" t="s">
        <v>667</v>
      </c>
      <c r="J1569" s="11" t="s">
        <v>668</v>
      </c>
    </row>
    <row r="1570" customFormat="false" ht="15" hidden="false" customHeight="false" outlineLevel="0" collapsed="false">
      <c r="A1570" s="11" t="s">
        <v>517</v>
      </c>
      <c r="B1570" s="11" t="s">
        <v>518</v>
      </c>
      <c r="C1570" s="11" t="n">
        <v>2019</v>
      </c>
      <c r="D1570" s="11" t="s">
        <v>22</v>
      </c>
      <c r="E1570" s="17" t="n">
        <v>2668594</v>
      </c>
      <c r="F1570" s="11" t="s">
        <v>101</v>
      </c>
      <c r="G1570" s="11" t="s">
        <v>526</v>
      </c>
      <c r="H1570" s="11" t="s">
        <v>527</v>
      </c>
      <c r="I1570" s="11" t="s">
        <v>667</v>
      </c>
      <c r="J1570" s="11" t="s">
        <v>668</v>
      </c>
    </row>
    <row r="1571" customFormat="false" ht="15" hidden="false" customHeight="false" outlineLevel="0" collapsed="false">
      <c r="A1571" s="11" t="s">
        <v>517</v>
      </c>
      <c r="B1571" s="11" t="s">
        <v>518</v>
      </c>
      <c r="C1571" s="11" t="n">
        <v>2020</v>
      </c>
      <c r="D1571" s="11" t="s">
        <v>22</v>
      </c>
      <c r="E1571" s="17" t="n">
        <v>2609982</v>
      </c>
      <c r="F1571" s="11" t="s">
        <v>101</v>
      </c>
      <c r="G1571" s="11" t="s">
        <v>526</v>
      </c>
      <c r="H1571" s="11" t="s">
        <v>527</v>
      </c>
      <c r="I1571" s="11" t="s">
        <v>667</v>
      </c>
      <c r="J1571" s="11" t="s">
        <v>668</v>
      </c>
    </row>
    <row r="1572" customFormat="false" ht="15" hidden="false" customHeight="false" outlineLevel="0" collapsed="false">
      <c r="A1572" s="11" t="s">
        <v>517</v>
      </c>
      <c r="B1572" s="11" t="s">
        <v>518</v>
      </c>
      <c r="C1572" s="11" t="n">
        <v>2021</v>
      </c>
      <c r="D1572" s="11" t="s">
        <v>22</v>
      </c>
      <c r="E1572" s="17" t="n">
        <v>3141351</v>
      </c>
      <c r="F1572" s="11" t="s">
        <v>101</v>
      </c>
      <c r="G1572" s="11" t="s">
        <v>526</v>
      </c>
      <c r="H1572" s="11" t="s">
        <v>527</v>
      </c>
      <c r="I1572" s="11" t="s">
        <v>667</v>
      </c>
      <c r="J1572" s="11" t="s">
        <v>668</v>
      </c>
    </row>
    <row r="1573" customFormat="false" ht="15" hidden="false" customHeight="false" outlineLevel="0" collapsed="false">
      <c r="A1573" s="11" t="s">
        <v>517</v>
      </c>
      <c r="B1573" s="11" t="s">
        <v>518</v>
      </c>
      <c r="C1573" s="11" t="n">
        <v>2022</v>
      </c>
      <c r="D1573" s="11" t="s">
        <v>22</v>
      </c>
      <c r="E1573" s="17" t="n">
        <v>3242683</v>
      </c>
      <c r="F1573" s="11" t="s">
        <v>101</v>
      </c>
      <c r="G1573" s="11" t="s">
        <v>526</v>
      </c>
      <c r="H1573" s="11" t="s">
        <v>527</v>
      </c>
      <c r="I1573" s="11" t="s">
        <v>667</v>
      </c>
      <c r="J1573" s="11" t="s">
        <v>668</v>
      </c>
    </row>
    <row r="1574" customFormat="false" ht="15" hidden="false" customHeight="false" outlineLevel="0" collapsed="false">
      <c r="A1574" s="11" t="s">
        <v>517</v>
      </c>
      <c r="B1574" s="11" t="s">
        <v>518</v>
      </c>
      <c r="C1574" s="11" t="n">
        <v>2010</v>
      </c>
      <c r="D1574" s="11" t="s">
        <v>26</v>
      </c>
      <c r="E1574" s="17" t="n">
        <v>167344</v>
      </c>
      <c r="F1574" s="11" t="s">
        <v>152</v>
      </c>
      <c r="G1574" s="11" t="s">
        <v>521</v>
      </c>
      <c r="H1574" s="11" t="s">
        <v>522</v>
      </c>
      <c r="I1574" s="11" t="s">
        <v>667</v>
      </c>
      <c r="J1574" s="11" t="s">
        <v>668</v>
      </c>
    </row>
    <row r="1575" customFormat="false" ht="15" hidden="false" customHeight="false" outlineLevel="0" collapsed="false">
      <c r="A1575" s="11" t="s">
        <v>517</v>
      </c>
      <c r="B1575" s="11" t="s">
        <v>518</v>
      </c>
      <c r="C1575" s="11" t="n">
        <v>2011</v>
      </c>
      <c r="D1575" s="11" t="s">
        <v>26</v>
      </c>
      <c r="E1575" s="17" t="n">
        <v>190531</v>
      </c>
      <c r="F1575" s="11" t="s">
        <v>152</v>
      </c>
      <c r="G1575" s="11" t="s">
        <v>521</v>
      </c>
      <c r="H1575" s="11" t="s">
        <v>522</v>
      </c>
      <c r="I1575" s="11" t="s">
        <v>667</v>
      </c>
      <c r="J1575" s="11" t="s">
        <v>668</v>
      </c>
    </row>
    <row r="1576" customFormat="false" ht="15" hidden="false" customHeight="false" outlineLevel="0" collapsed="false">
      <c r="A1576" s="11" t="s">
        <v>517</v>
      </c>
      <c r="B1576" s="11" t="s">
        <v>518</v>
      </c>
      <c r="C1576" s="11" t="n">
        <v>2012</v>
      </c>
      <c r="D1576" s="11" t="s">
        <v>26</v>
      </c>
      <c r="E1576" s="17" t="n">
        <v>242128</v>
      </c>
      <c r="F1576" s="11" t="s">
        <v>152</v>
      </c>
      <c r="G1576" s="11" t="s">
        <v>521</v>
      </c>
      <c r="H1576" s="11" t="s">
        <v>522</v>
      </c>
      <c r="I1576" s="11" t="s">
        <v>667</v>
      </c>
      <c r="J1576" s="11" t="s">
        <v>668</v>
      </c>
    </row>
    <row r="1577" customFormat="false" ht="15" hidden="false" customHeight="false" outlineLevel="0" collapsed="false">
      <c r="A1577" s="11" t="s">
        <v>517</v>
      </c>
      <c r="B1577" s="11" t="s">
        <v>518</v>
      </c>
      <c r="C1577" s="11" t="n">
        <v>2013</v>
      </c>
      <c r="D1577" s="11" t="s">
        <v>26</v>
      </c>
      <c r="E1577" s="17" t="n">
        <v>278664</v>
      </c>
      <c r="F1577" s="11" t="s">
        <v>152</v>
      </c>
      <c r="G1577" s="11" t="s">
        <v>521</v>
      </c>
      <c r="H1577" s="11" t="s">
        <v>522</v>
      </c>
      <c r="I1577" s="11" t="s">
        <v>667</v>
      </c>
      <c r="J1577" s="11" t="s">
        <v>668</v>
      </c>
    </row>
    <row r="1578" customFormat="false" ht="15" hidden="false" customHeight="false" outlineLevel="0" collapsed="false">
      <c r="A1578" s="11" t="s">
        <v>517</v>
      </c>
      <c r="B1578" s="11" t="s">
        <v>518</v>
      </c>
      <c r="C1578" s="11" t="n">
        <v>2014</v>
      </c>
      <c r="D1578" s="11" t="s">
        <v>26</v>
      </c>
      <c r="E1578" s="17" t="n">
        <v>456506</v>
      </c>
      <c r="F1578" s="11" t="s">
        <v>152</v>
      </c>
      <c r="G1578" s="11" t="s">
        <v>521</v>
      </c>
      <c r="H1578" s="11" t="s">
        <v>522</v>
      </c>
      <c r="I1578" s="11" t="s">
        <v>667</v>
      </c>
      <c r="J1578" s="11" t="s">
        <v>668</v>
      </c>
    </row>
    <row r="1579" customFormat="false" ht="15" hidden="false" customHeight="false" outlineLevel="0" collapsed="false">
      <c r="A1579" s="11" t="s">
        <v>517</v>
      </c>
      <c r="B1579" s="11" t="s">
        <v>518</v>
      </c>
      <c r="C1579" s="11" t="n">
        <v>2015</v>
      </c>
      <c r="D1579" s="11" t="s">
        <v>26</v>
      </c>
      <c r="E1579" s="17" t="n">
        <v>518279</v>
      </c>
      <c r="F1579" s="11" t="s">
        <v>152</v>
      </c>
      <c r="G1579" s="11" t="s">
        <v>521</v>
      </c>
      <c r="H1579" s="11" t="s">
        <v>522</v>
      </c>
      <c r="I1579" s="11" t="s">
        <v>667</v>
      </c>
      <c r="J1579" s="11" t="s">
        <v>668</v>
      </c>
    </row>
    <row r="1580" customFormat="false" ht="15" hidden="false" customHeight="false" outlineLevel="0" collapsed="false">
      <c r="A1580" s="11" t="s">
        <v>517</v>
      </c>
      <c r="B1580" s="11" t="s">
        <v>518</v>
      </c>
      <c r="C1580" s="11" t="n">
        <v>2016</v>
      </c>
      <c r="D1580" s="11" t="s">
        <v>26</v>
      </c>
      <c r="E1580" s="17" t="n">
        <v>650308</v>
      </c>
      <c r="F1580" s="11" t="s">
        <v>152</v>
      </c>
      <c r="G1580" s="11" t="s">
        <v>521</v>
      </c>
      <c r="H1580" s="11" t="s">
        <v>522</v>
      </c>
      <c r="I1580" s="11" t="s">
        <v>667</v>
      </c>
      <c r="J1580" s="11" t="s">
        <v>668</v>
      </c>
    </row>
    <row r="1581" customFormat="false" ht="15" hidden="false" customHeight="false" outlineLevel="0" collapsed="false">
      <c r="A1581" s="11" t="s">
        <v>517</v>
      </c>
      <c r="B1581" s="11" t="s">
        <v>518</v>
      </c>
      <c r="C1581" s="11" t="n">
        <v>2017</v>
      </c>
      <c r="D1581" s="11" t="s">
        <v>26</v>
      </c>
      <c r="E1581" s="17" t="n">
        <v>816410</v>
      </c>
      <c r="F1581" s="11" t="s">
        <v>152</v>
      </c>
      <c r="G1581" s="11" t="s">
        <v>521</v>
      </c>
      <c r="H1581" s="11" t="s">
        <v>522</v>
      </c>
      <c r="I1581" s="11" t="s">
        <v>667</v>
      </c>
      <c r="J1581" s="11" t="s">
        <v>668</v>
      </c>
    </row>
    <row r="1582" customFormat="false" ht="15" hidden="false" customHeight="false" outlineLevel="0" collapsed="false">
      <c r="A1582" s="11" t="s">
        <v>517</v>
      </c>
      <c r="B1582" s="11" t="s">
        <v>518</v>
      </c>
      <c r="C1582" s="11" t="n">
        <v>2018</v>
      </c>
      <c r="D1582" s="11" t="s">
        <v>26</v>
      </c>
      <c r="E1582" s="17" t="n">
        <v>919061</v>
      </c>
      <c r="F1582" s="11" t="s">
        <v>152</v>
      </c>
      <c r="G1582" s="11" t="s">
        <v>521</v>
      </c>
      <c r="H1582" s="11" t="s">
        <v>522</v>
      </c>
      <c r="I1582" s="11" t="s">
        <v>667</v>
      </c>
      <c r="J1582" s="11" t="s">
        <v>668</v>
      </c>
    </row>
    <row r="1583" customFormat="false" ht="15" hidden="false" customHeight="false" outlineLevel="0" collapsed="false">
      <c r="A1583" s="11" t="s">
        <v>517</v>
      </c>
      <c r="B1583" s="11" t="s">
        <v>518</v>
      </c>
      <c r="C1583" s="11" t="n">
        <v>2019</v>
      </c>
      <c r="D1583" s="11" t="s">
        <v>26</v>
      </c>
      <c r="E1583" s="17" t="n">
        <v>1211034</v>
      </c>
      <c r="F1583" s="11" t="s">
        <v>152</v>
      </c>
      <c r="G1583" s="11" t="s">
        <v>521</v>
      </c>
      <c r="H1583" s="11" t="s">
        <v>522</v>
      </c>
      <c r="I1583" s="11" t="s">
        <v>667</v>
      </c>
      <c r="J1583" s="11" t="s">
        <v>668</v>
      </c>
    </row>
    <row r="1584" customFormat="false" ht="15" hidden="false" customHeight="false" outlineLevel="0" collapsed="false">
      <c r="A1584" s="11" t="s">
        <v>517</v>
      </c>
      <c r="B1584" s="11" t="s">
        <v>518</v>
      </c>
      <c r="C1584" s="11" t="n">
        <v>2020</v>
      </c>
      <c r="D1584" s="11" t="s">
        <v>26</v>
      </c>
      <c r="E1584" s="17" t="n">
        <v>1531180</v>
      </c>
      <c r="F1584" s="11" t="s">
        <v>152</v>
      </c>
      <c r="G1584" s="11" t="s">
        <v>521</v>
      </c>
      <c r="H1584" s="11" t="s">
        <v>522</v>
      </c>
      <c r="I1584" s="11" t="s">
        <v>667</v>
      </c>
      <c r="J1584" s="11" t="s">
        <v>668</v>
      </c>
    </row>
    <row r="1585" customFormat="false" ht="15" hidden="false" customHeight="false" outlineLevel="0" collapsed="false">
      <c r="A1585" s="11" t="s">
        <v>517</v>
      </c>
      <c r="B1585" s="11" t="s">
        <v>518</v>
      </c>
      <c r="C1585" s="11" t="n">
        <v>2021</v>
      </c>
      <c r="D1585" s="11" t="s">
        <v>26</v>
      </c>
      <c r="E1585" s="17" t="n">
        <v>1792036</v>
      </c>
      <c r="F1585" s="11" t="s">
        <v>152</v>
      </c>
      <c r="G1585" s="11" t="s">
        <v>521</v>
      </c>
      <c r="H1585" s="11" t="s">
        <v>522</v>
      </c>
      <c r="I1585" s="11" t="s">
        <v>667</v>
      </c>
      <c r="J1585" s="11" t="s">
        <v>668</v>
      </c>
    </row>
    <row r="1586" customFormat="false" ht="15" hidden="false" customHeight="false" outlineLevel="0" collapsed="false">
      <c r="A1586" s="11" t="s">
        <v>517</v>
      </c>
      <c r="B1586" s="11" t="s">
        <v>518</v>
      </c>
      <c r="C1586" s="11" t="n">
        <v>2022</v>
      </c>
      <c r="D1586" s="11" t="s">
        <v>26</v>
      </c>
      <c r="E1586" s="17" t="n">
        <v>1823836</v>
      </c>
      <c r="F1586" s="11" t="s">
        <v>152</v>
      </c>
      <c r="G1586" s="11" t="s">
        <v>521</v>
      </c>
      <c r="H1586" s="11" t="s">
        <v>522</v>
      </c>
      <c r="I1586" s="11" t="s">
        <v>667</v>
      </c>
      <c r="J1586" s="11" t="s">
        <v>668</v>
      </c>
    </row>
    <row r="1587" customFormat="false" ht="15" hidden="false" customHeight="false" outlineLevel="0" collapsed="false">
      <c r="A1587" s="11" t="s">
        <v>517</v>
      </c>
      <c r="B1587" s="11" t="s">
        <v>518</v>
      </c>
      <c r="C1587" s="11" t="n">
        <v>2010</v>
      </c>
      <c r="D1587" s="11" t="s">
        <v>38</v>
      </c>
      <c r="E1587" s="17" t="n">
        <v>32667</v>
      </c>
      <c r="F1587" s="11" t="s">
        <v>523</v>
      </c>
      <c r="G1587" s="11" t="s">
        <v>524</v>
      </c>
      <c r="H1587" s="11" t="s">
        <v>525</v>
      </c>
      <c r="I1587" s="11" t="s">
        <v>667</v>
      </c>
      <c r="J1587" s="11" t="s">
        <v>677</v>
      </c>
    </row>
    <row r="1588" customFormat="false" ht="15" hidden="false" customHeight="false" outlineLevel="0" collapsed="false">
      <c r="A1588" s="11" t="s">
        <v>517</v>
      </c>
      <c r="B1588" s="11" t="s">
        <v>518</v>
      </c>
      <c r="C1588" s="11" t="n">
        <v>2014</v>
      </c>
      <c r="D1588" s="11" t="s">
        <v>38</v>
      </c>
      <c r="E1588" s="17" t="n">
        <v>58647</v>
      </c>
      <c r="F1588" s="11" t="s">
        <v>523</v>
      </c>
      <c r="G1588" s="11" t="s">
        <v>524</v>
      </c>
      <c r="H1588" s="11" t="s">
        <v>528</v>
      </c>
      <c r="I1588" s="11" t="s">
        <v>667</v>
      </c>
      <c r="J1588" s="11" t="s">
        <v>677</v>
      </c>
    </row>
    <row r="1589" customFormat="false" ht="15" hidden="false" customHeight="false" outlineLevel="0" collapsed="false">
      <c r="A1589" s="11" t="s">
        <v>517</v>
      </c>
      <c r="B1589" s="11" t="s">
        <v>518</v>
      </c>
      <c r="C1589" s="11" t="n">
        <v>2015</v>
      </c>
      <c r="D1589" s="11" t="s">
        <v>38</v>
      </c>
      <c r="E1589" s="17" t="n">
        <v>146485</v>
      </c>
      <c r="F1589" s="11" t="s">
        <v>523</v>
      </c>
      <c r="G1589" s="11" t="s">
        <v>524</v>
      </c>
      <c r="H1589" s="11" t="s">
        <v>529</v>
      </c>
      <c r="I1589" s="11" t="s">
        <v>667</v>
      </c>
      <c r="J1589" s="11" t="s">
        <v>677</v>
      </c>
    </row>
    <row r="1590" customFormat="false" ht="15" hidden="false" customHeight="false" outlineLevel="0" collapsed="false">
      <c r="A1590" s="11" t="s">
        <v>517</v>
      </c>
      <c r="B1590" s="11" t="s">
        <v>518</v>
      </c>
      <c r="C1590" s="11" t="n">
        <v>2018</v>
      </c>
      <c r="D1590" s="11" t="s">
        <v>38</v>
      </c>
      <c r="E1590" s="17" t="n">
        <v>268003</v>
      </c>
      <c r="F1590" s="11" t="s">
        <v>523</v>
      </c>
      <c r="G1590" s="11" t="s">
        <v>524</v>
      </c>
      <c r="H1590" s="11" t="s">
        <v>530</v>
      </c>
      <c r="I1590" s="11" t="s">
        <v>667</v>
      </c>
      <c r="J1590" s="11" t="s">
        <v>677</v>
      </c>
    </row>
    <row r="1591" customFormat="false" ht="15" hidden="false" customHeight="false" outlineLevel="0" collapsed="false">
      <c r="A1591" s="11" t="s">
        <v>517</v>
      </c>
      <c r="B1591" s="11" t="s">
        <v>518</v>
      </c>
      <c r="C1591" s="11" t="n">
        <v>2019</v>
      </c>
      <c r="D1591" s="11" t="s">
        <v>38</v>
      </c>
      <c r="E1591" s="17" t="n">
        <v>454662</v>
      </c>
      <c r="F1591" s="11" t="s">
        <v>523</v>
      </c>
      <c r="G1591" s="11" t="s">
        <v>524</v>
      </c>
      <c r="H1591" s="11" t="s">
        <v>531</v>
      </c>
      <c r="I1591" s="11" t="s">
        <v>667</v>
      </c>
      <c r="J1591" s="11" t="s">
        <v>677</v>
      </c>
    </row>
    <row r="1592" customFormat="false" ht="15" hidden="false" customHeight="false" outlineLevel="0" collapsed="false">
      <c r="A1592" s="11" t="s">
        <v>517</v>
      </c>
      <c r="B1592" s="11" t="s">
        <v>518</v>
      </c>
      <c r="C1592" s="11" t="n">
        <v>2020</v>
      </c>
      <c r="D1592" s="11" t="s">
        <v>38</v>
      </c>
      <c r="E1592" s="17" t="n">
        <v>122302</v>
      </c>
      <c r="F1592" s="11" t="s">
        <v>523</v>
      </c>
      <c r="G1592" s="11" t="s">
        <v>524</v>
      </c>
      <c r="H1592" s="11" t="s">
        <v>532</v>
      </c>
      <c r="I1592" s="11" t="s">
        <v>667</v>
      </c>
      <c r="J1592" s="11" t="s">
        <v>677</v>
      </c>
    </row>
    <row r="1593" customFormat="false" ht="15" hidden="false" customHeight="false" outlineLevel="0" collapsed="false">
      <c r="A1593" s="11" t="s">
        <v>517</v>
      </c>
      <c r="B1593" s="11" t="s">
        <v>518</v>
      </c>
      <c r="C1593" s="11" t="n">
        <v>2021</v>
      </c>
      <c r="D1593" s="11" t="s">
        <v>38</v>
      </c>
      <c r="E1593" s="17" t="n">
        <v>162996</v>
      </c>
      <c r="F1593" s="11" t="s">
        <v>533</v>
      </c>
      <c r="G1593" s="11" t="s">
        <v>534</v>
      </c>
      <c r="H1593" s="11" t="s">
        <v>535</v>
      </c>
      <c r="I1593" s="11" t="s">
        <v>667</v>
      </c>
      <c r="J1593" s="11" t="s">
        <v>677</v>
      </c>
    </row>
    <row r="1594" customFormat="false" ht="15" hidden="false" customHeight="false" outlineLevel="0" collapsed="false">
      <c r="A1594" s="11" t="s">
        <v>517</v>
      </c>
      <c r="B1594" s="11" t="s">
        <v>518</v>
      </c>
      <c r="C1594" s="11" t="n">
        <v>2022</v>
      </c>
      <c r="D1594" s="11" t="s">
        <v>38</v>
      </c>
      <c r="E1594" s="17" t="n">
        <v>285027</v>
      </c>
      <c r="F1594" s="11" t="s">
        <v>523</v>
      </c>
      <c r="G1594" s="11" t="s">
        <v>524</v>
      </c>
      <c r="H1594" s="11" t="s">
        <v>536</v>
      </c>
      <c r="I1594" s="11" t="s">
        <v>667</v>
      </c>
      <c r="J1594" s="11" t="s">
        <v>677</v>
      </c>
    </row>
    <row r="1595" customFormat="false" ht="15" hidden="false" customHeight="false" outlineLevel="0" collapsed="false">
      <c r="A1595" s="11" t="s">
        <v>517</v>
      </c>
      <c r="B1595" s="11" t="s">
        <v>518</v>
      </c>
      <c r="C1595" s="11" t="n">
        <v>2010</v>
      </c>
      <c r="D1595" s="11" t="s">
        <v>18</v>
      </c>
      <c r="E1595" s="17" t="n">
        <v>73142150</v>
      </c>
      <c r="F1595" s="11" t="s">
        <v>98</v>
      </c>
      <c r="G1595" s="11" t="s">
        <v>99</v>
      </c>
      <c r="H1595" s="11" t="s">
        <v>671</v>
      </c>
      <c r="I1595" s="11" t="s">
        <v>667</v>
      </c>
      <c r="J1595" s="11" t="s">
        <v>672</v>
      </c>
    </row>
    <row r="1596" customFormat="false" ht="15" hidden="false" customHeight="false" outlineLevel="0" collapsed="false">
      <c r="A1596" s="11" t="s">
        <v>517</v>
      </c>
      <c r="B1596" s="11" t="s">
        <v>518</v>
      </c>
      <c r="C1596" s="11" t="n">
        <v>2011</v>
      </c>
      <c r="D1596" s="11" t="s">
        <v>18</v>
      </c>
      <c r="E1596" s="17" t="n">
        <v>74223629</v>
      </c>
      <c r="F1596" s="11" t="s">
        <v>98</v>
      </c>
      <c r="G1596" s="11" t="s">
        <v>99</v>
      </c>
      <c r="H1596" s="11" t="s">
        <v>671</v>
      </c>
      <c r="I1596" s="11" t="s">
        <v>667</v>
      </c>
      <c r="J1596" s="11" t="s">
        <v>672</v>
      </c>
    </row>
    <row r="1597" customFormat="false" ht="15" hidden="false" customHeight="false" outlineLevel="0" collapsed="false">
      <c r="A1597" s="11" t="s">
        <v>517</v>
      </c>
      <c r="B1597" s="11" t="s">
        <v>518</v>
      </c>
      <c r="C1597" s="11" t="n">
        <v>2012</v>
      </c>
      <c r="D1597" s="11" t="s">
        <v>18</v>
      </c>
      <c r="E1597" s="17" t="n">
        <v>75175827</v>
      </c>
      <c r="F1597" s="11" t="s">
        <v>98</v>
      </c>
      <c r="G1597" s="11" t="s">
        <v>99</v>
      </c>
      <c r="H1597" s="11" t="s">
        <v>671</v>
      </c>
      <c r="I1597" s="11" t="s">
        <v>667</v>
      </c>
      <c r="J1597" s="11" t="s">
        <v>672</v>
      </c>
    </row>
    <row r="1598" customFormat="false" ht="15" hidden="false" customHeight="false" outlineLevel="0" collapsed="false">
      <c r="A1598" s="11" t="s">
        <v>517</v>
      </c>
      <c r="B1598" s="11" t="s">
        <v>518</v>
      </c>
      <c r="C1598" s="11" t="n">
        <v>2013</v>
      </c>
      <c r="D1598" s="11" t="s">
        <v>18</v>
      </c>
      <c r="E1598" s="17" t="n">
        <v>76147624</v>
      </c>
      <c r="F1598" s="11" t="s">
        <v>98</v>
      </c>
      <c r="G1598" s="11" t="s">
        <v>99</v>
      </c>
      <c r="H1598" s="11" t="s">
        <v>671</v>
      </c>
      <c r="I1598" s="11" t="s">
        <v>667</v>
      </c>
      <c r="J1598" s="11" t="s">
        <v>672</v>
      </c>
    </row>
    <row r="1599" customFormat="false" ht="15" hidden="false" customHeight="false" outlineLevel="0" collapsed="false">
      <c r="A1599" s="11" t="s">
        <v>517</v>
      </c>
      <c r="B1599" s="11" t="s">
        <v>518</v>
      </c>
      <c r="C1599" s="11" t="n">
        <v>2014</v>
      </c>
      <c r="D1599" s="11" t="s">
        <v>18</v>
      </c>
      <c r="E1599" s="17" t="n">
        <v>77181884</v>
      </c>
      <c r="F1599" s="11" t="s">
        <v>98</v>
      </c>
      <c r="G1599" s="11" t="s">
        <v>99</v>
      </c>
      <c r="H1599" s="11" t="s">
        <v>671</v>
      </c>
      <c r="I1599" s="11" t="s">
        <v>667</v>
      </c>
      <c r="J1599" s="11" t="s">
        <v>672</v>
      </c>
    </row>
    <row r="1600" customFormat="false" ht="15" hidden="false" customHeight="false" outlineLevel="0" collapsed="false">
      <c r="A1600" s="11" t="s">
        <v>517</v>
      </c>
      <c r="B1600" s="11" t="s">
        <v>518</v>
      </c>
      <c r="C1600" s="11" t="n">
        <v>2015</v>
      </c>
      <c r="D1600" s="11" t="s">
        <v>18</v>
      </c>
      <c r="E1600" s="17" t="n">
        <v>78218479</v>
      </c>
      <c r="F1600" s="11" t="s">
        <v>98</v>
      </c>
      <c r="G1600" s="11" t="s">
        <v>99</v>
      </c>
      <c r="H1600" s="11" t="s">
        <v>671</v>
      </c>
      <c r="I1600" s="11" t="s">
        <v>667</v>
      </c>
      <c r="J1600" s="11" t="s">
        <v>672</v>
      </c>
    </row>
    <row r="1601" customFormat="false" ht="15" hidden="false" customHeight="false" outlineLevel="0" collapsed="false">
      <c r="A1601" s="11" t="s">
        <v>517</v>
      </c>
      <c r="B1601" s="11" t="s">
        <v>518</v>
      </c>
      <c r="C1601" s="11" t="n">
        <v>2016</v>
      </c>
      <c r="D1601" s="11" t="s">
        <v>18</v>
      </c>
      <c r="E1601" s="17" t="n">
        <v>79277962</v>
      </c>
      <c r="F1601" s="11" t="s">
        <v>98</v>
      </c>
      <c r="G1601" s="11" t="s">
        <v>99</v>
      </c>
      <c r="H1601" s="11" t="s">
        <v>671</v>
      </c>
      <c r="I1601" s="11" t="s">
        <v>667</v>
      </c>
      <c r="J1601" s="11" t="s">
        <v>672</v>
      </c>
    </row>
    <row r="1602" customFormat="false" ht="15" hidden="false" customHeight="false" outlineLevel="0" collapsed="false">
      <c r="A1602" s="11" t="s">
        <v>517</v>
      </c>
      <c r="B1602" s="11" t="s">
        <v>518</v>
      </c>
      <c r="C1602" s="11" t="n">
        <v>2017</v>
      </c>
      <c r="D1602" s="11" t="s">
        <v>18</v>
      </c>
      <c r="E1602" s="17" t="n">
        <v>80312698</v>
      </c>
      <c r="F1602" s="11" t="s">
        <v>98</v>
      </c>
      <c r="G1602" s="11" t="s">
        <v>99</v>
      </c>
      <c r="H1602" s="11" t="s">
        <v>671</v>
      </c>
      <c r="I1602" s="11" t="s">
        <v>667</v>
      </c>
      <c r="J1602" s="11" t="s">
        <v>672</v>
      </c>
    </row>
    <row r="1603" customFormat="false" ht="15" hidden="false" customHeight="false" outlineLevel="0" collapsed="false">
      <c r="A1603" s="11" t="s">
        <v>517</v>
      </c>
      <c r="B1603" s="11" t="s">
        <v>518</v>
      </c>
      <c r="C1603" s="11" t="n">
        <v>2018</v>
      </c>
      <c r="D1603" s="11" t="s">
        <v>18</v>
      </c>
      <c r="E1603" s="17" t="n">
        <v>81407204</v>
      </c>
      <c r="F1603" s="11" t="s">
        <v>98</v>
      </c>
      <c r="G1603" s="11" t="s">
        <v>99</v>
      </c>
      <c r="H1603" s="11" t="s">
        <v>671</v>
      </c>
      <c r="I1603" s="11" t="s">
        <v>667</v>
      </c>
      <c r="J1603" s="11" t="s">
        <v>672</v>
      </c>
    </row>
    <row r="1604" customFormat="false" ht="15" hidden="false" customHeight="false" outlineLevel="0" collapsed="false">
      <c r="A1604" s="11" t="s">
        <v>517</v>
      </c>
      <c r="B1604" s="11" t="s">
        <v>518</v>
      </c>
      <c r="C1604" s="11" t="n">
        <v>2019</v>
      </c>
      <c r="D1604" s="11" t="s">
        <v>18</v>
      </c>
      <c r="E1604" s="17" t="n">
        <v>82579440</v>
      </c>
      <c r="F1604" s="11" t="s">
        <v>98</v>
      </c>
      <c r="G1604" s="11" t="s">
        <v>99</v>
      </c>
      <c r="H1604" s="11" t="s">
        <v>671</v>
      </c>
      <c r="I1604" s="11" t="s">
        <v>667</v>
      </c>
      <c r="J1604" s="11" t="s">
        <v>672</v>
      </c>
    </row>
    <row r="1605" customFormat="false" ht="15" hidden="false" customHeight="false" outlineLevel="0" collapsed="false">
      <c r="A1605" s="11" t="s">
        <v>517</v>
      </c>
      <c r="B1605" s="11" t="s">
        <v>518</v>
      </c>
      <c r="C1605" s="11" t="n">
        <v>2020</v>
      </c>
      <c r="D1605" s="11" t="s">
        <v>18</v>
      </c>
      <c r="E1605" s="17" t="n">
        <v>83384680</v>
      </c>
      <c r="F1605" s="11" t="s">
        <v>98</v>
      </c>
      <c r="G1605" s="11" t="s">
        <v>99</v>
      </c>
      <c r="H1605" s="11" t="s">
        <v>671</v>
      </c>
      <c r="I1605" s="11" t="s">
        <v>667</v>
      </c>
      <c r="J1605" s="11" t="s">
        <v>672</v>
      </c>
    </row>
    <row r="1606" customFormat="false" ht="15" hidden="false" customHeight="false" outlineLevel="0" collapsed="false">
      <c r="A1606" s="11" t="s">
        <v>517</v>
      </c>
      <c r="B1606" s="11" t="s">
        <v>518</v>
      </c>
      <c r="C1606" s="11" t="n">
        <v>2021</v>
      </c>
      <c r="D1606" s="11" t="s">
        <v>18</v>
      </c>
      <c r="E1606" s="17" t="n">
        <v>84147318</v>
      </c>
      <c r="F1606" s="11" t="s">
        <v>98</v>
      </c>
      <c r="G1606" s="11" t="s">
        <v>99</v>
      </c>
      <c r="H1606" s="11" t="s">
        <v>671</v>
      </c>
      <c r="I1606" s="11" t="s">
        <v>667</v>
      </c>
      <c r="J1606" s="11" t="s">
        <v>672</v>
      </c>
    </row>
    <row r="1607" customFormat="false" ht="15" hidden="false" customHeight="false" outlineLevel="0" collapsed="false">
      <c r="A1607" s="11" t="s">
        <v>517</v>
      </c>
      <c r="B1607" s="11" t="s">
        <v>518</v>
      </c>
      <c r="C1607" s="11" t="n">
        <v>2022</v>
      </c>
      <c r="D1607" s="11" t="s">
        <v>18</v>
      </c>
      <c r="E1607" s="17" t="n">
        <v>84979913</v>
      </c>
      <c r="F1607" s="11" t="s">
        <v>98</v>
      </c>
      <c r="G1607" s="11" t="s">
        <v>99</v>
      </c>
      <c r="H1607" s="11" t="s">
        <v>671</v>
      </c>
      <c r="I1607" s="11" t="s">
        <v>667</v>
      </c>
      <c r="J1607" s="11" t="s">
        <v>672</v>
      </c>
    </row>
    <row r="1608" customFormat="false" ht="15" hidden="false" customHeight="false" outlineLevel="0" collapsed="false">
      <c r="A1608" s="11" t="s">
        <v>480</v>
      </c>
      <c r="B1608" s="11" t="s">
        <v>481</v>
      </c>
      <c r="C1608" s="11" t="n">
        <v>2012</v>
      </c>
      <c r="D1608" s="11" t="s">
        <v>26</v>
      </c>
      <c r="E1608" s="17" t="n">
        <v>483921</v>
      </c>
      <c r="F1608" s="11" t="s">
        <v>489</v>
      </c>
      <c r="G1608" s="11" t="s">
        <v>490</v>
      </c>
      <c r="H1608" s="11" t="s">
        <v>491</v>
      </c>
      <c r="I1608" s="11" t="s">
        <v>667</v>
      </c>
      <c r="J1608" s="11" t="s">
        <v>668</v>
      </c>
    </row>
    <row r="1609" customFormat="false" ht="15" hidden="false" customHeight="false" outlineLevel="0" collapsed="false">
      <c r="A1609" s="11" t="s">
        <v>480</v>
      </c>
      <c r="B1609" s="11" t="s">
        <v>481</v>
      </c>
      <c r="C1609" s="11" t="n">
        <v>2013</v>
      </c>
      <c r="D1609" s="11" t="s">
        <v>26</v>
      </c>
      <c r="E1609" s="17" t="n">
        <v>525109</v>
      </c>
      <c r="F1609" s="11" t="s">
        <v>489</v>
      </c>
      <c r="G1609" s="11" t="s">
        <v>490</v>
      </c>
      <c r="H1609" s="11" t="s">
        <v>491</v>
      </c>
      <c r="I1609" s="11" t="s">
        <v>667</v>
      </c>
      <c r="J1609" s="11" t="s">
        <v>668</v>
      </c>
    </row>
    <row r="1610" customFormat="false" ht="15" hidden="false" customHeight="false" outlineLevel="0" collapsed="false">
      <c r="A1610" s="11" t="s">
        <v>480</v>
      </c>
      <c r="B1610" s="11" t="s">
        <v>481</v>
      </c>
      <c r="C1610" s="11" t="n">
        <v>2014</v>
      </c>
      <c r="D1610" s="11" t="s">
        <v>26</v>
      </c>
      <c r="E1610" s="17" t="n">
        <v>629633</v>
      </c>
      <c r="F1610" s="11" t="s">
        <v>489</v>
      </c>
      <c r="G1610" s="11" t="s">
        <v>490</v>
      </c>
      <c r="H1610" s="11" t="s">
        <v>491</v>
      </c>
      <c r="I1610" s="11" t="s">
        <v>667</v>
      </c>
      <c r="J1610" s="11" t="s">
        <v>668</v>
      </c>
    </row>
    <row r="1611" customFormat="false" ht="15" hidden="false" customHeight="false" outlineLevel="0" collapsed="false">
      <c r="A1611" s="11" t="s">
        <v>480</v>
      </c>
      <c r="B1611" s="11" t="s">
        <v>481</v>
      </c>
      <c r="C1611" s="11" t="n">
        <v>2015</v>
      </c>
      <c r="D1611" s="11" t="s">
        <v>26</v>
      </c>
      <c r="E1611" s="17" t="n">
        <v>637843</v>
      </c>
      <c r="F1611" s="11" t="s">
        <v>489</v>
      </c>
      <c r="G1611" s="11" t="s">
        <v>490</v>
      </c>
      <c r="H1611" s="11" t="s">
        <v>491</v>
      </c>
      <c r="I1611" s="11" t="s">
        <v>667</v>
      </c>
      <c r="J1611" s="11" t="s">
        <v>668</v>
      </c>
    </row>
    <row r="1612" customFormat="false" ht="15" hidden="false" customHeight="false" outlineLevel="0" collapsed="false">
      <c r="A1612" s="11" t="s">
        <v>480</v>
      </c>
      <c r="B1612" s="11" t="s">
        <v>481</v>
      </c>
      <c r="C1612" s="11" t="n">
        <v>2016</v>
      </c>
      <c r="D1612" s="11" t="s">
        <v>26</v>
      </c>
      <c r="E1612" s="17" t="n">
        <v>671375</v>
      </c>
      <c r="F1612" s="11" t="s">
        <v>489</v>
      </c>
      <c r="G1612" s="11" t="s">
        <v>490</v>
      </c>
      <c r="H1612" s="11" t="s">
        <v>491</v>
      </c>
      <c r="I1612" s="11" t="s">
        <v>667</v>
      </c>
      <c r="J1612" s="11" t="s">
        <v>668</v>
      </c>
    </row>
    <row r="1613" customFormat="false" ht="15" hidden="false" customHeight="false" outlineLevel="0" collapsed="false">
      <c r="A1613" s="11" t="s">
        <v>480</v>
      </c>
      <c r="B1613" s="11" t="s">
        <v>481</v>
      </c>
      <c r="C1613" s="11" t="n">
        <v>2017</v>
      </c>
      <c r="D1613" s="11" t="s">
        <v>26</v>
      </c>
      <c r="E1613" s="17" t="n">
        <v>717736</v>
      </c>
      <c r="F1613" s="11" t="s">
        <v>489</v>
      </c>
      <c r="G1613" s="11" t="s">
        <v>490</v>
      </c>
      <c r="H1613" s="11" t="s">
        <v>491</v>
      </c>
      <c r="I1613" s="11" t="s">
        <v>667</v>
      </c>
      <c r="J1613" s="11" t="s">
        <v>668</v>
      </c>
    </row>
    <row r="1614" customFormat="false" ht="15" hidden="false" customHeight="false" outlineLevel="0" collapsed="false">
      <c r="A1614" s="11" t="s">
        <v>480</v>
      </c>
      <c r="B1614" s="11" t="s">
        <v>481</v>
      </c>
      <c r="C1614" s="11" t="n">
        <v>2018</v>
      </c>
      <c r="D1614" s="11" t="s">
        <v>26</v>
      </c>
      <c r="E1614" s="17" t="n">
        <v>758583</v>
      </c>
      <c r="F1614" s="11" t="s">
        <v>489</v>
      </c>
      <c r="G1614" s="11" t="s">
        <v>490</v>
      </c>
      <c r="H1614" s="11" t="s">
        <v>491</v>
      </c>
      <c r="I1614" s="11" t="s">
        <v>667</v>
      </c>
      <c r="J1614" s="11" t="s">
        <v>668</v>
      </c>
    </row>
    <row r="1615" customFormat="false" ht="15" hidden="false" customHeight="false" outlineLevel="0" collapsed="false">
      <c r="A1615" s="11" t="s">
        <v>480</v>
      </c>
      <c r="B1615" s="11" t="s">
        <v>481</v>
      </c>
      <c r="C1615" s="11" t="n">
        <v>2019</v>
      </c>
      <c r="D1615" s="11" t="s">
        <v>26</v>
      </c>
      <c r="E1615" s="17" t="n">
        <v>785341</v>
      </c>
      <c r="F1615" s="11" t="s">
        <v>489</v>
      </c>
      <c r="G1615" s="11" t="s">
        <v>490</v>
      </c>
      <c r="H1615" s="11" t="s">
        <v>491</v>
      </c>
      <c r="I1615" s="11" t="s">
        <v>667</v>
      </c>
      <c r="J1615" s="11" t="s">
        <v>668</v>
      </c>
    </row>
    <row r="1616" customFormat="false" ht="15" hidden="false" customHeight="false" outlineLevel="0" collapsed="false">
      <c r="A1616" s="11" t="s">
        <v>480</v>
      </c>
      <c r="B1616" s="11" t="s">
        <v>481</v>
      </c>
      <c r="C1616" s="11" t="n">
        <v>2020</v>
      </c>
      <c r="D1616" s="11" t="s">
        <v>26</v>
      </c>
      <c r="E1616" s="17" t="n">
        <v>797122</v>
      </c>
      <c r="F1616" s="11" t="s">
        <v>489</v>
      </c>
      <c r="G1616" s="11" t="s">
        <v>490</v>
      </c>
      <c r="H1616" s="11" t="s">
        <v>491</v>
      </c>
      <c r="I1616" s="11" t="s">
        <v>667</v>
      </c>
      <c r="J1616" s="11" t="s">
        <v>668</v>
      </c>
    </row>
    <row r="1617" customFormat="false" ht="15" hidden="false" customHeight="false" outlineLevel="0" collapsed="false">
      <c r="A1617" s="11" t="s">
        <v>480</v>
      </c>
      <c r="B1617" s="11" t="s">
        <v>481</v>
      </c>
      <c r="C1617" s="11" t="n">
        <v>2021</v>
      </c>
      <c r="D1617" s="11" t="s">
        <v>26</v>
      </c>
      <c r="E1617" s="17" t="n">
        <v>752900</v>
      </c>
      <c r="F1617" s="11" t="s">
        <v>489</v>
      </c>
      <c r="G1617" s="11" t="s">
        <v>490</v>
      </c>
      <c r="H1617" s="11" t="s">
        <v>491</v>
      </c>
      <c r="I1617" s="11" t="s">
        <v>667</v>
      </c>
      <c r="J1617" s="11" t="s">
        <v>668</v>
      </c>
    </row>
    <row r="1618" customFormat="false" ht="15" hidden="false" customHeight="false" outlineLevel="0" collapsed="false">
      <c r="A1618" s="11" t="s">
        <v>480</v>
      </c>
      <c r="B1618" s="11" t="s">
        <v>481</v>
      </c>
      <c r="C1618" s="11" t="n">
        <v>2022</v>
      </c>
      <c r="D1618" s="11" t="s">
        <v>26</v>
      </c>
      <c r="E1618" s="17" t="n">
        <v>796696</v>
      </c>
      <c r="F1618" s="11" t="s">
        <v>489</v>
      </c>
      <c r="G1618" s="11" t="s">
        <v>508</v>
      </c>
      <c r="H1618" s="11" t="s">
        <v>491</v>
      </c>
      <c r="I1618" s="11" t="s">
        <v>667</v>
      </c>
      <c r="J1618" s="11" t="s">
        <v>668</v>
      </c>
    </row>
    <row r="1619" customFormat="false" ht="15" hidden="false" customHeight="false" outlineLevel="0" collapsed="false">
      <c r="A1619" s="11" t="s">
        <v>480</v>
      </c>
      <c r="B1619" s="11" t="s">
        <v>481</v>
      </c>
      <c r="C1619" s="11" t="n">
        <v>2011</v>
      </c>
      <c r="D1619" s="11" t="s">
        <v>679</v>
      </c>
      <c r="E1619" s="17" t="n">
        <v>425660</v>
      </c>
      <c r="F1619" s="11" t="s">
        <v>680</v>
      </c>
      <c r="G1619" s="11" t="s">
        <v>681</v>
      </c>
      <c r="H1619" s="11" t="s">
        <v>682</v>
      </c>
      <c r="I1619" s="11" t="s">
        <v>667</v>
      </c>
      <c r="J1619" s="11" t="s">
        <v>683</v>
      </c>
    </row>
    <row r="1620" customFormat="false" ht="15" hidden="false" customHeight="false" outlineLevel="0" collapsed="false">
      <c r="A1620" s="11" t="s">
        <v>480</v>
      </c>
      <c r="B1620" s="11" t="s">
        <v>481</v>
      </c>
      <c r="C1620" s="11" t="n">
        <v>2011</v>
      </c>
      <c r="D1620" s="11" t="s">
        <v>34</v>
      </c>
      <c r="E1620" s="17" t="n">
        <v>33730</v>
      </c>
      <c r="F1620" s="11" t="s">
        <v>486</v>
      </c>
      <c r="G1620" s="11" t="s">
        <v>487</v>
      </c>
      <c r="H1620" s="11" t="s">
        <v>488</v>
      </c>
      <c r="I1620" s="11" t="s">
        <v>667</v>
      </c>
      <c r="J1620" s="11" t="s">
        <v>669</v>
      </c>
    </row>
    <row r="1621" customFormat="false" ht="15" hidden="false" customHeight="false" outlineLevel="0" collapsed="false">
      <c r="A1621" s="11" t="s">
        <v>480</v>
      </c>
      <c r="B1621" s="11" t="s">
        <v>481</v>
      </c>
      <c r="C1621" s="11" t="n">
        <v>2012</v>
      </c>
      <c r="D1621" s="11" t="s">
        <v>34</v>
      </c>
      <c r="E1621" s="17" t="n">
        <v>37177</v>
      </c>
      <c r="F1621" s="11" t="s">
        <v>486</v>
      </c>
      <c r="G1621" s="11" t="s">
        <v>487</v>
      </c>
      <c r="H1621" s="11" t="s">
        <v>492</v>
      </c>
      <c r="I1621" s="11" t="s">
        <v>667</v>
      </c>
      <c r="J1621" s="11" t="s">
        <v>669</v>
      </c>
    </row>
    <row r="1622" customFormat="false" ht="15" hidden="false" customHeight="false" outlineLevel="0" collapsed="false">
      <c r="A1622" s="11" t="s">
        <v>480</v>
      </c>
      <c r="B1622" s="11" t="s">
        <v>481</v>
      </c>
      <c r="C1622" s="11" t="n">
        <v>2013</v>
      </c>
      <c r="D1622" s="11" t="s">
        <v>34</v>
      </c>
      <c r="E1622" s="17" t="n">
        <v>41724</v>
      </c>
      <c r="F1622" s="11" t="s">
        <v>486</v>
      </c>
      <c r="G1622" s="11" t="s">
        <v>487</v>
      </c>
      <c r="H1622" s="11" t="s">
        <v>493</v>
      </c>
      <c r="I1622" s="11" t="s">
        <v>667</v>
      </c>
      <c r="J1622" s="11" t="s">
        <v>669</v>
      </c>
    </row>
    <row r="1623" customFormat="false" ht="15" hidden="false" customHeight="false" outlineLevel="0" collapsed="false">
      <c r="A1623" s="11" t="s">
        <v>480</v>
      </c>
      <c r="B1623" s="11" t="s">
        <v>481</v>
      </c>
      <c r="C1623" s="11" t="n">
        <v>2014</v>
      </c>
      <c r="D1623" s="11" t="s">
        <v>34</v>
      </c>
      <c r="E1623" s="17" t="n">
        <v>68998</v>
      </c>
      <c r="F1623" s="11" t="s">
        <v>494</v>
      </c>
      <c r="G1623" s="11" t="s">
        <v>495</v>
      </c>
      <c r="H1623" s="11" t="s">
        <v>496</v>
      </c>
      <c r="I1623" s="11" t="s">
        <v>667</v>
      </c>
      <c r="J1623" s="11" t="s">
        <v>670</v>
      </c>
    </row>
    <row r="1624" customFormat="false" ht="15" hidden="false" customHeight="false" outlineLevel="0" collapsed="false">
      <c r="A1624" s="11" t="s">
        <v>480</v>
      </c>
      <c r="B1624" s="11" t="s">
        <v>481</v>
      </c>
      <c r="C1624" s="11" t="n">
        <v>2015</v>
      </c>
      <c r="D1624" s="11" t="s">
        <v>34</v>
      </c>
      <c r="E1624" s="17" t="n">
        <v>77422</v>
      </c>
      <c r="F1624" s="11" t="s">
        <v>494</v>
      </c>
      <c r="G1624" s="11" t="s">
        <v>495</v>
      </c>
      <c r="H1624" s="11" t="s">
        <v>497</v>
      </c>
      <c r="I1624" s="11" t="s">
        <v>667</v>
      </c>
      <c r="J1624" s="11" t="s">
        <v>670</v>
      </c>
    </row>
    <row r="1625" customFormat="false" ht="15" hidden="false" customHeight="false" outlineLevel="0" collapsed="false">
      <c r="A1625" s="11" t="s">
        <v>480</v>
      </c>
      <c r="B1625" s="11" t="s">
        <v>481</v>
      </c>
      <c r="C1625" s="11" t="n">
        <v>2016</v>
      </c>
      <c r="D1625" s="11" t="s">
        <v>34</v>
      </c>
      <c r="E1625" s="17" t="n">
        <v>79392</v>
      </c>
      <c r="F1625" s="11" t="s">
        <v>494</v>
      </c>
      <c r="G1625" s="11" t="s">
        <v>495</v>
      </c>
      <c r="H1625" s="11" t="s">
        <v>498</v>
      </c>
      <c r="I1625" s="11" t="s">
        <v>667</v>
      </c>
      <c r="J1625" s="11" t="s">
        <v>670</v>
      </c>
    </row>
    <row r="1626" customFormat="false" ht="15" hidden="false" customHeight="false" outlineLevel="0" collapsed="false">
      <c r="A1626" s="11" t="s">
        <v>480</v>
      </c>
      <c r="B1626" s="11" t="s">
        <v>481</v>
      </c>
      <c r="C1626" s="11" t="n">
        <v>2017</v>
      </c>
      <c r="D1626" s="11" t="s">
        <v>34</v>
      </c>
      <c r="E1626" s="17" t="n">
        <v>79909</v>
      </c>
      <c r="F1626" s="11" t="s">
        <v>494</v>
      </c>
      <c r="G1626" s="11" t="s">
        <v>495</v>
      </c>
      <c r="H1626" s="11" t="s">
        <v>501</v>
      </c>
      <c r="I1626" s="11" t="s">
        <v>667</v>
      </c>
      <c r="J1626" s="11" t="s">
        <v>670</v>
      </c>
    </row>
    <row r="1627" customFormat="false" ht="15" hidden="false" customHeight="false" outlineLevel="0" collapsed="false">
      <c r="A1627" s="11" t="s">
        <v>480</v>
      </c>
      <c r="B1627" s="11" t="s">
        <v>481</v>
      </c>
      <c r="C1627" s="11" t="n">
        <v>2018</v>
      </c>
      <c r="D1627" s="11" t="s">
        <v>34</v>
      </c>
      <c r="E1627" s="17" t="n">
        <v>89965</v>
      </c>
      <c r="F1627" s="11" t="s">
        <v>494</v>
      </c>
      <c r="G1627" s="11" t="s">
        <v>495</v>
      </c>
      <c r="H1627" s="11" t="s">
        <v>502</v>
      </c>
      <c r="I1627" s="11" t="s">
        <v>667</v>
      </c>
      <c r="J1627" s="11" t="s">
        <v>670</v>
      </c>
    </row>
    <row r="1628" customFormat="false" ht="15" hidden="false" customHeight="false" outlineLevel="0" collapsed="false">
      <c r="A1628" s="11" t="s">
        <v>480</v>
      </c>
      <c r="B1628" s="11" t="s">
        <v>481</v>
      </c>
      <c r="C1628" s="11" t="n">
        <v>2019</v>
      </c>
      <c r="D1628" s="11" t="s">
        <v>34</v>
      </c>
      <c r="E1628" s="17" t="n">
        <v>48491</v>
      </c>
      <c r="F1628" s="11" t="s">
        <v>486</v>
      </c>
      <c r="G1628" s="11" t="s">
        <v>487</v>
      </c>
      <c r="H1628" s="11" t="s">
        <v>629</v>
      </c>
      <c r="I1628" s="11" t="s">
        <v>675</v>
      </c>
      <c r="J1628" s="11" t="s">
        <v>669</v>
      </c>
    </row>
    <row r="1629" customFormat="false" ht="15" hidden="false" customHeight="false" outlineLevel="0" collapsed="false">
      <c r="A1629" s="11" t="s">
        <v>480</v>
      </c>
      <c r="B1629" s="11" t="s">
        <v>481</v>
      </c>
      <c r="C1629" s="11" t="n">
        <v>2019</v>
      </c>
      <c r="D1629" s="11" t="s">
        <v>34</v>
      </c>
      <c r="E1629" s="17" t="n">
        <v>47632</v>
      </c>
      <c r="F1629" s="11" t="s">
        <v>504</v>
      </c>
      <c r="G1629" s="11" t="s">
        <v>495</v>
      </c>
      <c r="H1629" s="11" t="s">
        <v>505</v>
      </c>
      <c r="I1629" s="11" t="s">
        <v>667</v>
      </c>
      <c r="J1629" s="11" t="s">
        <v>670</v>
      </c>
    </row>
    <row r="1630" customFormat="false" ht="15" hidden="false" customHeight="false" outlineLevel="0" collapsed="false">
      <c r="A1630" s="11" t="s">
        <v>480</v>
      </c>
      <c r="B1630" s="11" t="s">
        <v>481</v>
      </c>
      <c r="C1630" s="11" t="n">
        <v>2020</v>
      </c>
      <c r="D1630" s="11" t="s">
        <v>34</v>
      </c>
      <c r="E1630" s="17" t="n">
        <v>52199</v>
      </c>
      <c r="F1630" s="11" t="s">
        <v>486</v>
      </c>
      <c r="G1630" s="11" t="s">
        <v>487</v>
      </c>
      <c r="H1630" s="11" t="s">
        <v>506</v>
      </c>
      <c r="I1630" s="11" t="s">
        <v>667</v>
      </c>
      <c r="J1630" s="11" t="s">
        <v>669</v>
      </c>
    </row>
    <row r="1631" customFormat="false" ht="15" hidden="false" customHeight="false" outlineLevel="0" collapsed="false">
      <c r="A1631" s="11" t="s">
        <v>480</v>
      </c>
      <c r="B1631" s="11" t="s">
        <v>481</v>
      </c>
      <c r="C1631" s="11" t="n">
        <v>2021</v>
      </c>
      <c r="D1631" s="11" t="s">
        <v>34</v>
      </c>
      <c r="E1631" s="17" t="n">
        <v>55805</v>
      </c>
      <c r="F1631" s="11" t="s">
        <v>486</v>
      </c>
      <c r="G1631" s="11" t="s">
        <v>487</v>
      </c>
      <c r="H1631" s="11" t="s">
        <v>507</v>
      </c>
      <c r="I1631" s="11" t="s">
        <v>667</v>
      </c>
      <c r="J1631" s="11" t="s">
        <v>669</v>
      </c>
    </row>
    <row r="1632" customFormat="false" ht="15" hidden="false" customHeight="false" outlineLevel="0" collapsed="false">
      <c r="A1632" s="11" t="s">
        <v>480</v>
      </c>
      <c r="B1632" s="11" t="s">
        <v>481</v>
      </c>
      <c r="C1632" s="11" t="n">
        <v>2022</v>
      </c>
      <c r="D1632" s="11" t="s">
        <v>34</v>
      </c>
      <c r="E1632" s="17" t="n">
        <v>80331</v>
      </c>
      <c r="F1632" s="11" t="s">
        <v>486</v>
      </c>
      <c r="G1632" s="11" t="s">
        <v>487</v>
      </c>
      <c r="H1632" s="11" t="s">
        <v>509</v>
      </c>
      <c r="I1632" s="11" t="s">
        <v>667</v>
      </c>
      <c r="J1632" s="11" t="s">
        <v>669</v>
      </c>
    </row>
    <row r="1633" customFormat="false" ht="15" hidden="false" customHeight="false" outlineLevel="0" collapsed="false">
      <c r="A1633" s="11" t="s">
        <v>480</v>
      </c>
      <c r="B1633" s="11" t="s">
        <v>481</v>
      </c>
      <c r="C1633" s="11" t="n">
        <v>2010</v>
      </c>
      <c r="D1633" s="11" t="s">
        <v>18</v>
      </c>
      <c r="E1633" s="17" t="n">
        <v>23162000</v>
      </c>
      <c r="F1633" s="13" t="s">
        <v>484</v>
      </c>
      <c r="G1633" s="11" t="s">
        <v>485</v>
      </c>
      <c r="H1633" s="11" t="s">
        <v>684</v>
      </c>
      <c r="I1633" s="11" t="s">
        <v>667</v>
      </c>
      <c r="J1633" s="11" t="s">
        <v>678</v>
      </c>
    </row>
    <row r="1634" customFormat="false" ht="15" hidden="false" customHeight="false" outlineLevel="0" collapsed="false">
      <c r="A1634" s="11" t="s">
        <v>480</v>
      </c>
      <c r="B1634" s="11" t="s">
        <v>481</v>
      </c>
      <c r="C1634" s="11" t="n">
        <v>2011</v>
      </c>
      <c r="D1634" s="11" t="s">
        <v>18</v>
      </c>
      <c r="E1634" s="17" t="n">
        <v>23225000</v>
      </c>
      <c r="F1634" s="13" t="s">
        <v>484</v>
      </c>
      <c r="G1634" s="11" t="s">
        <v>485</v>
      </c>
      <c r="H1634" s="11" t="s">
        <v>685</v>
      </c>
      <c r="I1634" s="11" t="s">
        <v>667</v>
      </c>
      <c r="J1634" s="11" t="s">
        <v>678</v>
      </c>
    </row>
    <row r="1635" customFormat="false" ht="15" hidden="false" customHeight="false" outlineLevel="0" collapsed="false">
      <c r="A1635" s="11" t="s">
        <v>480</v>
      </c>
      <c r="B1635" s="11" t="s">
        <v>481</v>
      </c>
      <c r="C1635" s="11" t="n">
        <v>2012</v>
      </c>
      <c r="D1635" s="11" t="s">
        <v>18</v>
      </c>
      <c r="E1635" s="17" t="n">
        <v>23316000</v>
      </c>
      <c r="F1635" s="13" t="s">
        <v>484</v>
      </c>
      <c r="G1635" s="11" t="s">
        <v>485</v>
      </c>
      <c r="H1635" s="11" t="s">
        <v>686</v>
      </c>
      <c r="I1635" s="11" t="s">
        <v>667</v>
      </c>
      <c r="J1635" s="11" t="s">
        <v>678</v>
      </c>
    </row>
    <row r="1636" customFormat="false" ht="15" hidden="false" customHeight="false" outlineLevel="0" collapsed="false">
      <c r="A1636" s="11" t="s">
        <v>480</v>
      </c>
      <c r="B1636" s="11" t="s">
        <v>481</v>
      </c>
      <c r="C1636" s="11" t="n">
        <v>2013</v>
      </c>
      <c r="D1636" s="11" t="s">
        <v>18</v>
      </c>
      <c r="E1636" s="17" t="n">
        <v>23374000</v>
      </c>
      <c r="F1636" s="13" t="s">
        <v>484</v>
      </c>
      <c r="G1636" s="11" t="s">
        <v>485</v>
      </c>
      <c r="H1636" s="11" t="s">
        <v>687</v>
      </c>
      <c r="I1636" s="11" t="s">
        <v>667</v>
      </c>
      <c r="J1636" s="11" t="s">
        <v>678</v>
      </c>
    </row>
    <row r="1637" customFormat="false" ht="15" hidden="false" customHeight="false" outlineLevel="0" collapsed="false">
      <c r="A1637" s="11" t="s">
        <v>480</v>
      </c>
      <c r="B1637" s="11" t="s">
        <v>481</v>
      </c>
      <c r="C1637" s="11" t="n">
        <v>2014</v>
      </c>
      <c r="D1637" s="11" t="s">
        <v>18</v>
      </c>
      <c r="E1637" s="17" t="n">
        <v>23434000</v>
      </c>
      <c r="F1637" s="13" t="s">
        <v>484</v>
      </c>
      <c r="G1637" s="11" t="s">
        <v>485</v>
      </c>
      <c r="H1637" s="11" t="s">
        <v>688</v>
      </c>
      <c r="I1637" s="11" t="s">
        <v>667</v>
      </c>
      <c r="J1637" s="11" t="s">
        <v>678</v>
      </c>
    </row>
    <row r="1638" customFormat="false" ht="15" hidden="false" customHeight="false" outlineLevel="0" collapsed="false">
      <c r="A1638" s="11" t="s">
        <v>480</v>
      </c>
      <c r="B1638" s="11" t="s">
        <v>481</v>
      </c>
      <c r="C1638" s="11" t="n">
        <v>2015</v>
      </c>
      <c r="D1638" s="11" t="s">
        <v>18</v>
      </c>
      <c r="E1638" s="17" t="n">
        <v>23492000</v>
      </c>
      <c r="F1638" s="13" t="s">
        <v>484</v>
      </c>
      <c r="G1638" s="11" t="s">
        <v>485</v>
      </c>
      <c r="H1638" s="11" t="s">
        <v>689</v>
      </c>
      <c r="I1638" s="11" t="s">
        <v>667</v>
      </c>
      <c r="J1638" s="11" t="s">
        <v>678</v>
      </c>
    </row>
    <row r="1639" customFormat="false" ht="15" hidden="false" customHeight="false" outlineLevel="0" collapsed="false">
      <c r="A1639" s="11" t="s">
        <v>480</v>
      </c>
      <c r="B1639" s="11" t="s">
        <v>481</v>
      </c>
      <c r="C1639" s="11" t="n">
        <v>2016</v>
      </c>
      <c r="D1639" s="11" t="s">
        <v>18</v>
      </c>
      <c r="E1639" s="17" t="n">
        <v>23540000</v>
      </c>
      <c r="F1639" s="13" t="s">
        <v>484</v>
      </c>
      <c r="G1639" s="11" t="s">
        <v>485</v>
      </c>
      <c r="H1639" s="11" t="s">
        <v>690</v>
      </c>
      <c r="I1639" s="11" t="s">
        <v>667</v>
      </c>
      <c r="J1639" s="11" t="s">
        <v>678</v>
      </c>
    </row>
    <row r="1640" customFormat="false" ht="15" hidden="false" customHeight="false" outlineLevel="0" collapsed="false">
      <c r="A1640" s="11" t="s">
        <v>480</v>
      </c>
      <c r="B1640" s="11" t="s">
        <v>481</v>
      </c>
      <c r="C1640" s="11" t="n">
        <v>2017</v>
      </c>
      <c r="D1640" s="11" t="s">
        <v>18</v>
      </c>
      <c r="E1640" s="17" t="n">
        <v>23571227</v>
      </c>
      <c r="F1640" s="13" t="s">
        <v>499</v>
      </c>
      <c r="G1640" s="11" t="s">
        <v>500</v>
      </c>
      <c r="H1640" s="11" t="s">
        <v>691</v>
      </c>
      <c r="I1640" s="11" t="s">
        <v>667</v>
      </c>
      <c r="J1640" s="11" t="s">
        <v>678</v>
      </c>
    </row>
    <row r="1641" customFormat="false" ht="15" hidden="false" customHeight="false" outlineLevel="0" collapsed="false">
      <c r="A1641" s="11" t="s">
        <v>480</v>
      </c>
      <c r="B1641" s="11" t="s">
        <v>481</v>
      </c>
      <c r="C1641" s="11" t="n">
        <v>2018</v>
      </c>
      <c r="D1641" s="11" t="s">
        <v>18</v>
      </c>
      <c r="E1641" s="17" t="n">
        <v>23588932</v>
      </c>
      <c r="F1641" s="13" t="s">
        <v>499</v>
      </c>
      <c r="G1641" s="11" t="s">
        <v>500</v>
      </c>
      <c r="H1641" s="11" t="s">
        <v>692</v>
      </c>
      <c r="I1641" s="11" t="s">
        <v>667</v>
      </c>
      <c r="J1641" s="11" t="s">
        <v>678</v>
      </c>
    </row>
    <row r="1642" customFormat="false" ht="15" hidden="false" customHeight="false" outlineLevel="0" collapsed="false">
      <c r="A1642" s="11" t="s">
        <v>480</v>
      </c>
      <c r="B1642" s="11" t="s">
        <v>481</v>
      </c>
      <c r="C1642" s="11" t="n">
        <v>2019</v>
      </c>
      <c r="D1642" s="11" t="s">
        <v>18</v>
      </c>
      <c r="E1642" s="17" t="n">
        <v>23603121</v>
      </c>
      <c r="F1642" s="13" t="s">
        <v>499</v>
      </c>
      <c r="G1642" s="11" t="s">
        <v>500</v>
      </c>
      <c r="H1642" s="11" t="s">
        <v>693</v>
      </c>
      <c r="I1642" s="11" t="s">
        <v>667</v>
      </c>
      <c r="J1642" s="11" t="s">
        <v>678</v>
      </c>
    </row>
    <row r="1643" customFormat="false" ht="15" hidden="false" customHeight="false" outlineLevel="0" collapsed="false">
      <c r="A1643" s="11" t="s">
        <v>480</v>
      </c>
      <c r="B1643" s="11" t="s">
        <v>481</v>
      </c>
      <c r="C1643" s="11" t="n">
        <v>2020</v>
      </c>
      <c r="D1643" s="11" t="s">
        <v>18</v>
      </c>
      <c r="E1643" s="17" t="n">
        <v>23561236</v>
      </c>
      <c r="F1643" s="13" t="s">
        <v>499</v>
      </c>
      <c r="G1643" s="11" t="s">
        <v>500</v>
      </c>
      <c r="H1643" s="11" t="s">
        <v>694</v>
      </c>
      <c r="I1643" s="11" t="s">
        <v>667</v>
      </c>
      <c r="J1643" s="11" t="s">
        <v>678</v>
      </c>
    </row>
    <row r="1644" customFormat="false" ht="15" hidden="false" customHeight="false" outlineLevel="0" collapsed="false">
      <c r="A1644" s="11" t="s">
        <v>480</v>
      </c>
      <c r="B1644" s="11" t="s">
        <v>481</v>
      </c>
      <c r="C1644" s="11" t="n">
        <v>2021</v>
      </c>
      <c r="D1644" s="11" t="s">
        <v>18</v>
      </c>
      <c r="E1644" s="17" t="n">
        <v>23375314</v>
      </c>
      <c r="F1644" s="13" t="s">
        <v>499</v>
      </c>
      <c r="G1644" s="11" t="s">
        <v>500</v>
      </c>
      <c r="H1644" s="11" t="s">
        <v>695</v>
      </c>
      <c r="I1644" s="11" t="s">
        <v>667</v>
      </c>
      <c r="J1644" s="11" t="s">
        <v>678</v>
      </c>
    </row>
    <row r="1645" customFormat="false" ht="15" hidden="false" customHeight="false" outlineLevel="0" collapsed="false">
      <c r="A1645" s="11" t="s">
        <v>480</v>
      </c>
      <c r="B1645" s="11" t="s">
        <v>481</v>
      </c>
      <c r="C1645" s="11" t="n">
        <v>2022</v>
      </c>
      <c r="D1645" s="11" t="s">
        <v>18</v>
      </c>
      <c r="E1645" s="17" t="n">
        <v>23264640</v>
      </c>
      <c r="F1645" s="13" t="s">
        <v>499</v>
      </c>
      <c r="G1645" s="11" t="s">
        <v>500</v>
      </c>
      <c r="H1645" s="11" t="s">
        <v>696</v>
      </c>
      <c r="I1645" s="11" t="s">
        <v>667</v>
      </c>
      <c r="J1645" s="11" t="s">
        <v>678</v>
      </c>
    </row>
    <row r="1646" customFormat="false" ht="15" hidden="false" customHeight="false" outlineLevel="0" collapsed="false">
      <c r="A1646" s="11" t="s">
        <v>557</v>
      </c>
      <c r="B1646" s="11" t="s">
        <v>558</v>
      </c>
      <c r="C1646" s="11" t="n">
        <v>2010</v>
      </c>
      <c r="D1646" s="11" t="s">
        <v>22</v>
      </c>
      <c r="E1646" s="17" t="n">
        <v>39916875</v>
      </c>
      <c r="F1646" s="11" t="s">
        <v>101</v>
      </c>
      <c r="G1646" s="11" t="s">
        <v>561</v>
      </c>
      <c r="H1646" s="11" t="s">
        <v>562</v>
      </c>
      <c r="I1646" s="11" t="s">
        <v>667</v>
      </c>
      <c r="J1646" s="11" t="s">
        <v>668</v>
      </c>
    </row>
    <row r="1647" customFormat="false" ht="15" hidden="false" customHeight="false" outlineLevel="0" collapsed="false">
      <c r="A1647" s="11" t="s">
        <v>557</v>
      </c>
      <c r="B1647" s="11" t="s">
        <v>558</v>
      </c>
      <c r="C1647" s="11" t="n">
        <v>2011</v>
      </c>
      <c r="D1647" s="11" t="s">
        <v>22</v>
      </c>
      <c r="E1647" s="17" t="n">
        <v>40381570</v>
      </c>
      <c r="F1647" s="11" t="s">
        <v>101</v>
      </c>
      <c r="G1647" s="11" t="s">
        <v>561</v>
      </c>
      <c r="H1647" s="11" t="s">
        <v>562</v>
      </c>
      <c r="I1647" s="11" t="s">
        <v>667</v>
      </c>
      <c r="J1647" s="11" t="s">
        <v>668</v>
      </c>
    </row>
    <row r="1648" customFormat="false" ht="15" hidden="false" customHeight="false" outlineLevel="0" collapsed="false">
      <c r="A1648" s="11" t="s">
        <v>557</v>
      </c>
      <c r="B1648" s="11" t="s">
        <v>558</v>
      </c>
      <c r="C1648" s="11" t="n">
        <v>2012</v>
      </c>
      <c r="D1648" s="11" t="s">
        <v>22</v>
      </c>
      <c r="E1648" s="17" t="n">
        <v>40738224</v>
      </c>
      <c r="F1648" s="11" t="s">
        <v>101</v>
      </c>
      <c r="G1648" s="11" t="s">
        <v>561</v>
      </c>
      <c r="H1648" s="11" t="s">
        <v>562</v>
      </c>
      <c r="I1648" s="11" t="s">
        <v>667</v>
      </c>
      <c r="J1648" s="11" t="s">
        <v>668</v>
      </c>
    </row>
    <row r="1649" customFormat="false" ht="15" hidden="false" customHeight="false" outlineLevel="0" collapsed="false">
      <c r="A1649" s="11" t="s">
        <v>557</v>
      </c>
      <c r="B1649" s="11" t="s">
        <v>558</v>
      </c>
      <c r="C1649" s="11" t="n">
        <v>2013</v>
      </c>
      <c r="D1649" s="11" t="s">
        <v>22</v>
      </c>
      <c r="E1649" s="17" t="n">
        <v>41344354</v>
      </c>
      <c r="F1649" s="11" t="s">
        <v>101</v>
      </c>
      <c r="G1649" s="11" t="s">
        <v>561</v>
      </c>
      <c r="H1649" s="11" t="s">
        <v>562</v>
      </c>
      <c r="I1649" s="11" t="s">
        <v>667</v>
      </c>
      <c r="J1649" s="11" t="s">
        <v>668</v>
      </c>
    </row>
    <row r="1650" customFormat="false" ht="15" hidden="false" customHeight="false" outlineLevel="0" collapsed="false">
      <c r="A1650" s="11" t="s">
        <v>557</v>
      </c>
      <c r="B1650" s="11" t="s">
        <v>558</v>
      </c>
      <c r="C1650" s="11" t="n">
        <v>2014</v>
      </c>
      <c r="D1650" s="11" t="s">
        <v>22</v>
      </c>
      <c r="E1650" s="17" t="n">
        <v>42390705</v>
      </c>
      <c r="F1650" s="11" t="s">
        <v>101</v>
      </c>
      <c r="G1650" s="11" t="s">
        <v>561</v>
      </c>
      <c r="H1650" s="11" t="s">
        <v>562</v>
      </c>
      <c r="I1650" s="11" t="s">
        <v>667</v>
      </c>
      <c r="J1650" s="11" t="s">
        <v>668</v>
      </c>
    </row>
    <row r="1651" customFormat="false" ht="15" hidden="false" customHeight="false" outlineLevel="0" collapsed="false">
      <c r="A1651" s="11" t="s">
        <v>557</v>
      </c>
      <c r="B1651" s="11" t="s">
        <v>558</v>
      </c>
      <c r="C1651" s="11" t="n">
        <v>2015</v>
      </c>
      <c r="D1651" s="11" t="s">
        <v>22</v>
      </c>
      <c r="E1651" s="17" t="n">
        <v>43289646</v>
      </c>
      <c r="F1651" s="11" t="s">
        <v>101</v>
      </c>
      <c r="G1651" s="11" t="s">
        <v>561</v>
      </c>
      <c r="H1651" s="11" t="s">
        <v>562</v>
      </c>
      <c r="I1651" s="11" t="s">
        <v>667</v>
      </c>
      <c r="J1651" s="11" t="s">
        <v>668</v>
      </c>
    </row>
    <row r="1652" customFormat="false" ht="15" hidden="false" customHeight="false" outlineLevel="0" collapsed="false">
      <c r="A1652" s="11" t="s">
        <v>557</v>
      </c>
      <c r="B1652" s="11" t="s">
        <v>558</v>
      </c>
      <c r="C1652" s="11" t="n">
        <v>2016</v>
      </c>
      <c r="D1652" s="11" t="s">
        <v>22</v>
      </c>
      <c r="E1652" s="17" t="n">
        <v>43738901</v>
      </c>
      <c r="F1652" s="11" t="s">
        <v>101</v>
      </c>
      <c r="G1652" s="11" t="s">
        <v>561</v>
      </c>
      <c r="H1652" s="11" t="s">
        <v>562</v>
      </c>
      <c r="I1652" s="11" t="s">
        <v>667</v>
      </c>
      <c r="J1652" s="11" t="s">
        <v>668</v>
      </c>
    </row>
    <row r="1653" customFormat="false" ht="15" hidden="false" customHeight="false" outlineLevel="0" collapsed="false">
      <c r="A1653" s="11" t="s">
        <v>557</v>
      </c>
      <c r="B1653" s="11" t="s">
        <v>558</v>
      </c>
      <c r="C1653" s="11" t="n">
        <v>2017</v>
      </c>
      <c r="D1653" s="11" t="s">
        <v>22</v>
      </c>
      <c r="E1653" s="17" t="n">
        <v>44525458</v>
      </c>
      <c r="F1653" s="11" t="s">
        <v>101</v>
      </c>
      <c r="G1653" s="11" t="s">
        <v>561</v>
      </c>
      <c r="H1653" s="11" t="s">
        <v>562</v>
      </c>
      <c r="I1653" s="11" t="s">
        <v>667</v>
      </c>
      <c r="J1653" s="11" t="s">
        <v>668</v>
      </c>
    </row>
    <row r="1654" customFormat="false" ht="15" hidden="false" customHeight="false" outlineLevel="0" collapsed="false">
      <c r="A1654" s="11" t="s">
        <v>557</v>
      </c>
      <c r="B1654" s="11" t="s">
        <v>558</v>
      </c>
      <c r="C1654" s="11" t="n">
        <v>2018</v>
      </c>
      <c r="D1654" s="11" t="s">
        <v>22</v>
      </c>
      <c r="E1654" s="17" t="n">
        <v>44728502</v>
      </c>
      <c r="F1654" s="11" t="s">
        <v>101</v>
      </c>
      <c r="G1654" s="11" t="s">
        <v>561</v>
      </c>
      <c r="H1654" s="11" t="s">
        <v>562</v>
      </c>
      <c r="I1654" s="11" t="s">
        <v>667</v>
      </c>
      <c r="J1654" s="11" t="s">
        <v>668</v>
      </c>
    </row>
    <row r="1655" customFormat="false" ht="15" hidden="false" customHeight="false" outlineLevel="0" collapsed="false">
      <c r="A1655" s="11" t="s">
        <v>557</v>
      </c>
      <c r="B1655" s="11" t="s">
        <v>558</v>
      </c>
      <c r="C1655" s="11" t="n">
        <v>2019</v>
      </c>
      <c r="D1655" s="11" t="s">
        <v>22</v>
      </c>
      <c r="E1655" s="17" t="n">
        <v>44932799</v>
      </c>
      <c r="F1655" s="11" t="s">
        <v>101</v>
      </c>
      <c r="G1655" s="11" t="s">
        <v>561</v>
      </c>
      <c r="H1655" s="11" t="s">
        <v>562</v>
      </c>
      <c r="I1655" s="11" t="s">
        <v>667</v>
      </c>
      <c r="J1655" s="11" t="s">
        <v>668</v>
      </c>
    </row>
    <row r="1656" customFormat="false" ht="15" hidden="false" customHeight="false" outlineLevel="0" collapsed="false">
      <c r="A1656" s="11" t="s">
        <v>557</v>
      </c>
      <c r="B1656" s="11" t="s">
        <v>558</v>
      </c>
      <c r="C1656" s="11" t="n">
        <v>2020</v>
      </c>
      <c r="D1656" s="11" t="s">
        <v>22</v>
      </c>
      <c r="E1656" s="17" t="n">
        <v>44258250</v>
      </c>
      <c r="F1656" s="11" t="s">
        <v>101</v>
      </c>
      <c r="G1656" s="11" t="s">
        <v>561</v>
      </c>
      <c r="H1656" s="11" t="s">
        <v>562</v>
      </c>
      <c r="I1656" s="11" t="s">
        <v>667</v>
      </c>
      <c r="J1656" s="11" t="s">
        <v>668</v>
      </c>
    </row>
    <row r="1657" customFormat="false" ht="15" hidden="false" customHeight="false" outlineLevel="0" collapsed="false">
      <c r="A1657" s="11" t="s">
        <v>557</v>
      </c>
      <c r="B1657" s="11" t="s">
        <v>558</v>
      </c>
      <c r="C1657" s="11" t="n">
        <v>2021</v>
      </c>
      <c r="D1657" s="11" t="s">
        <v>22</v>
      </c>
      <c r="E1657" s="17" t="n">
        <v>45272945</v>
      </c>
      <c r="F1657" s="11" t="s">
        <v>101</v>
      </c>
      <c r="G1657" s="11" t="s">
        <v>561</v>
      </c>
      <c r="H1657" s="11" t="s">
        <v>562</v>
      </c>
      <c r="I1657" s="11" t="s">
        <v>667</v>
      </c>
      <c r="J1657" s="11" t="s">
        <v>668</v>
      </c>
    </row>
    <row r="1658" customFormat="false" ht="15" hidden="false" customHeight="false" outlineLevel="0" collapsed="false">
      <c r="A1658" s="11" t="s">
        <v>557</v>
      </c>
      <c r="B1658" s="11" t="s">
        <v>558</v>
      </c>
      <c r="C1658" s="11" t="n">
        <v>2022</v>
      </c>
      <c r="D1658" s="11" t="s">
        <v>22</v>
      </c>
      <c r="E1658" s="17" t="n">
        <v>47331480</v>
      </c>
      <c r="F1658" s="11" t="s">
        <v>101</v>
      </c>
      <c r="G1658" s="11" t="s">
        <v>561</v>
      </c>
      <c r="H1658" s="11" t="s">
        <v>562</v>
      </c>
      <c r="I1658" s="11" t="s">
        <v>667</v>
      </c>
      <c r="J1658" s="11" t="s">
        <v>668</v>
      </c>
    </row>
    <row r="1659" customFormat="false" ht="15" hidden="false" customHeight="false" outlineLevel="0" collapsed="false">
      <c r="A1659" s="11" t="s">
        <v>557</v>
      </c>
      <c r="B1659" s="11" t="s">
        <v>558</v>
      </c>
      <c r="C1659" s="11" t="n">
        <v>2010</v>
      </c>
      <c r="D1659" s="11" t="s">
        <v>26</v>
      </c>
      <c r="E1659" s="17" t="n">
        <v>21640993</v>
      </c>
      <c r="F1659" s="11" t="s">
        <v>152</v>
      </c>
      <c r="G1659" s="11" t="s">
        <v>563</v>
      </c>
      <c r="H1659" s="11" t="s">
        <v>564</v>
      </c>
      <c r="I1659" s="11" t="s">
        <v>667</v>
      </c>
      <c r="J1659" s="11" t="s">
        <v>668</v>
      </c>
    </row>
    <row r="1660" customFormat="false" ht="15" hidden="false" customHeight="false" outlineLevel="0" collapsed="false">
      <c r="A1660" s="11" t="s">
        <v>557</v>
      </c>
      <c r="B1660" s="11" t="s">
        <v>558</v>
      </c>
      <c r="C1660" s="11" t="n">
        <v>2011</v>
      </c>
      <c r="D1660" s="11" t="s">
        <v>26</v>
      </c>
      <c r="E1660" s="17" t="n">
        <v>22225536</v>
      </c>
      <c r="F1660" s="11" t="s">
        <v>152</v>
      </c>
      <c r="G1660" s="11" t="s">
        <v>563</v>
      </c>
      <c r="H1660" s="11" t="s">
        <v>564</v>
      </c>
      <c r="I1660" s="11" t="s">
        <v>667</v>
      </c>
      <c r="J1660" s="11" t="s">
        <v>668</v>
      </c>
    </row>
    <row r="1661" customFormat="false" ht="15" hidden="false" customHeight="false" outlineLevel="0" collapsed="false">
      <c r="A1661" s="11" t="s">
        <v>557</v>
      </c>
      <c r="B1661" s="11" t="s">
        <v>558</v>
      </c>
      <c r="C1661" s="11" t="n">
        <v>2012</v>
      </c>
      <c r="D1661" s="11" t="s">
        <v>26</v>
      </c>
      <c r="E1661" s="17" t="n">
        <v>22114981</v>
      </c>
      <c r="F1661" s="11" t="s">
        <v>152</v>
      </c>
      <c r="G1661" s="11" t="s">
        <v>563</v>
      </c>
      <c r="H1661" s="11" t="s">
        <v>564</v>
      </c>
      <c r="I1661" s="11" t="s">
        <v>667</v>
      </c>
      <c r="J1661" s="11" t="s">
        <v>668</v>
      </c>
    </row>
    <row r="1662" customFormat="false" ht="15" hidden="false" customHeight="false" outlineLevel="0" collapsed="false">
      <c r="A1662" s="11" t="s">
        <v>557</v>
      </c>
      <c r="B1662" s="11" t="s">
        <v>558</v>
      </c>
      <c r="C1662" s="11" t="n">
        <v>2013</v>
      </c>
      <c r="D1662" s="11" t="s">
        <v>26</v>
      </c>
      <c r="E1662" s="17" t="n">
        <v>22016426</v>
      </c>
      <c r="F1662" s="11" t="s">
        <v>152</v>
      </c>
      <c r="G1662" s="11" t="s">
        <v>563</v>
      </c>
      <c r="H1662" s="11" t="s">
        <v>564</v>
      </c>
      <c r="I1662" s="11" t="s">
        <v>667</v>
      </c>
      <c r="J1662" s="11" t="s">
        <v>668</v>
      </c>
    </row>
    <row r="1663" customFormat="false" ht="15" hidden="false" customHeight="false" outlineLevel="0" collapsed="false">
      <c r="A1663" s="11" t="s">
        <v>557</v>
      </c>
      <c r="B1663" s="11" t="s">
        <v>558</v>
      </c>
      <c r="C1663" s="11" t="n">
        <v>2014</v>
      </c>
      <c r="D1663" s="11" t="s">
        <v>26</v>
      </c>
      <c r="E1663" s="17" t="n">
        <v>21325130</v>
      </c>
      <c r="F1663" s="11" t="s">
        <v>152</v>
      </c>
      <c r="G1663" s="11" t="s">
        <v>563</v>
      </c>
      <c r="H1663" s="11" t="s">
        <v>564</v>
      </c>
      <c r="I1663" s="11" t="s">
        <v>667</v>
      </c>
      <c r="J1663" s="11" t="s">
        <v>668</v>
      </c>
    </row>
    <row r="1664" customFormat="false" ht="15" hidden="false" customHeight="false" outlineLevel="0" collapsed="false">
      <c r="A1664" s="11" t="s">
        <v>557</v>
      </c>
      <c r="B1664" s="11" t="s">
        <v>558</v>
      </c>
      <c r="C1664" s="11" t="n">
        <v>2015</v>
      </c>
      <c r="D1664" s="11" t="s">
        <v>26</v>
      </c>
      <c r="E1664" s="17" t="n">
        <v>22236160</v>
      </c>
      <c r="F1664" s="11" t="s">
        <v>152</v>
      </c>
      <c r="G1664" s="11" t="s">
        <v>563</v>
      </c>
      <c r="H1664" s="11" t="s">
        <v>564</v>
      </c>
      <c r="I1664" s="11" t="s">
        <v>667</v>
      </c>
      <c r="J1664" s="11" t="s">
        <v>668</v>
      </c>
    </row>
    <row r="1665" customFormat="false" ht="15" hidden="false" customHeight="false" outlineLevel="0" collapsed="false">
      <c r="A1665" s="11" t="s">
        <v>557</v>
      </c>
      <c r="B1665" s="11" t="s">
        <v>558</v>
      </c>
      <c r="C1665" s="11" t="n">
        <v>2016</v>
      </c>
      <c r="D1665" s="11" t="s">
        <v>26</v>
      </c>
      <c r="E1665" s="17" t="n">
        <v>22824242</v>
      </c>
      <c r="F1665" s="11" t="s">
        <v>152</v>
      </c>
      <c r="G1665" s="11" t="s">
        <v>563</v>
      </c>
      <c r="H1665" s="11" t="s">
        <v>564</v>
      </c>
      <c r="I1665" s="11" t="s">
        <v>667</v>
      </c>
      <c r="J1665" s="11" t="s">
        <v>668</v>
      </c>
    </row>
    <row r="1666" customFormat="false" ht="15" hidden="false" customHeight="false" outlineLevel="0" collapsed="false">
      <c r="A1666" s="11" t="s">
        <v>557</v>
      </c>
      <c r="B1666" s="11" t="s">
        <v>558</v>
      </c>
      <c r="C1666" s="11" t="n">
        <v>2017</v>
      </c>
      <c r="D1666" s="11" t="s">
        <v>26</v>
      </c>
      <c r="E1666" s="17" t="n">
        <v>22758740</v>
      </c>
      <c r="F1666" s="11" t="s">
        <v>152</v>
      </c>
      <c r="G1666" s="11" t="s">
        <v>563</v>
      </c>
      <c r="H1666" s="11" t="s">
        <v>564</v>
      </c>
      <c r="I1666" s="11" t="s">
        <v>667</v>
      </c>
      <c r="J1666" s="11" t="s">
        <v>668</v>
      </c>
    </row>
    <row r="1667" customFormat="false" ht="15" hidden="false" customHeight="false" outlineLevel="0" collapsed="false">
      <c r="A1667" s="11" t="s">
        <v>557</v>
      </c>
      <c r="B1667" s="11" t="s">
        <v>558</v>
      </c>
      <c r="C1667" s="11" t="n">
        <v>2018</v>
      </c>
      <c r="D1667" s="11" t="s">
        <v>26</v>
      </c>
      <c r="E1667" s="17" t="n">
        <v>22941910</v>
      </c>
      <c r="F1667" s="11" t="s">
        <v>152</v>
      </c>
      <c r="G1667" s="11" t="s">
        <v>563</v>
      </c>
      <c r="H1667" s="11" t="s">
        <v>564</v>
      </c>
      <c r="I1667" s="11" t="s">
        <v>667</v>
      </c>
      <c r="J1667" s="11" t="s">
        <v>668</v>
      </c>
    </row>
    <row r="1668" customFormat="false" ht="15" hidden="false" customHeight="false" outlineLevel="0" collapsed="false">
      <c r="A1668" s="11" t="s">
        <v>557</v>
      </c>
      <c r="B1668" s="11" t="s">
        <v>558</v>
      </c>
      <c r="C1668" s="11" t="n">
        <v>2019</v>
      </c>
      <c r="D1668" s="11" t="s">
        <v>26</v>
      </c>
      <c r="E1668" s="17" t="n">
        <v>22518810</v>
      </c>
      <c r="F1668" s="11" t="s">
        <v>152</v>
      </c>
      <c r="G1668" s="11" t="s">
        <v>563</v>
      </c>
      <c r="H1668" s="11" t="s">
        <v>564</v>
      </c>
      <c r="I1668" s="11" t="s">
        <v>667</v>
      </c>
      <c r="J1668" s="11" t="s">
        <v>668</v>
      </c>
    </row>
    <row r="1669" customFormat="false" ht="15" hidden="false" customHeight="false" outlineLevel="0" collapsed="false">
      <c r="A1669" s="11" t="s">
        <v>557</v>
      </c>
      <c r="B1669" s="11" t="s">
        <v>558</v>
      </c>
      <c r="C1669" s="11" t="n">
        <v>2020</v>
      </c>
      <c r="D1669" s="11" t="s">
        <v>26</v>
      </c>
      <c r="E1669" s="17" t="n">
        <v>21433675</v>
      </c>
      <c r="F1669" s="11" t="s">
        <v>152</v>
      </c>
      <c r="G1669" s="11" t="s">
        <v>563</v>
      </c>
      <c r="H1669" s="11" t="s">
        <v>564</v>
      </c>
      <c r="I1669" s="11" t="s">
        <v>667</v>
      </c>
      <c r="J1669" s="11" t="s">
        <v>668</v>
      </c>
    </row>
    <row r="1670" customFormat="false" ht="15" hidden="false" customHeight="false" outlineLevel="0" collapsed="false">
      <c r="A1670" s="11" t="s">
        <v>557</v>
      </c>
      <c r="B1670" s="11" t="s">
        <v>558</v>
      </c>
      <c r="C1670" s="11" t="n">
        <v>2021</v>
      </c>
      <c r="D1670" s="11" t="s">
        <v>26</v>
      </c>
      <c r="E1670" s="17" t="n">
        <v>22164662</v>
      </c>
      <c r="F1670" s="11" t="s">
        <v>152</v>
      </c>
      <c r="G1670" s="11" t="s">
        <v>563</v>
      </c>
      <c r="H1670" s="11" t="s">
        <v>564</v>
      </c>
      <c r="I1670" s="11" t="s">
        <v>667</v>
      </c>
      <c r="J1670" s="11" t="s">
        <v>668</v>
      </c>
    </row>
    <row r="1671" customFormat="false" ht="15" hidden="false" customHeight="false" outlineLevel="0" collapsed="false">
      <c r="A1671" s="11" t="s">
        <v>557</v>
      </c>
      <c r="B1671" s="11" t="s">
        <v>558</v>
      </c>
      <c r="C1671" s="11" t="n">
        <v>2022</v>
      </c>
      <c r="D1671" s="11" t="s">
        <v>26</v>
      </c>
      <c r="E1671" s="17" t="n">
        <v>23825209</v>
      </c>
      <c r="F1671" s="11" t="s">
        <v>152</v>
      </c>
      <c r="G1671" s="11" t="s">
        <v>563</v>
      </c>
      <c r="H1671" s="11" t="s">
        <v>564</v>
      </c>
      <c r="I1671" s="11" t="s">
        <v>667</v>
      </c>
      <c r="J1671" s="11" t="s">
        <v>668</v>
      </c>
    </row>
    <row r="1672" customFormat="false" ht="15" hidden="false" customHeight="false" outlineLevel="0" collapsed="false">
      <c r="A1672" s="11" t="s">
        <v>557</v>
      </c>
      <c r="B1672" s="11" t="s">
        <v>558</v>
      </c>
      <c r="C1672" s="11" t="n">
        <v>2010</v>
      </c>
      <c r="D1672" s="11" t="s">
        <v>30</v>
      </c>
      <c r="E1672" s="17" t="n">
        <v>11590000</v>
      </c>
      <c r="F1672" s="11" t="s">
        <v>565</v>
      </c>
      <c r="G1672" s="11" t="s">
        <v>566</v>
      </c>
      <c r="H1672" s="11" t="s">
        <v>567</v>
      </c>
      <c r="I1672" s="11" t="s">
        <v>667</v>
      </c>
      <c r="J1672" s="11" t="s">
        <v>697</v>
      </c>
    </row>
    <row r="1673" customFormat="false" ht="15" hidden="false" customHeight="false" outlineLevel="0" collapsed="false">
      <c r="A1673" s="11" t="s">
        <v>557</v>
      </c>
      <c r="B1673" s="11" t="s">
        <v>558</v>
      </c>
      <c r="C1673" s="11" t="n">
        <v>2010</v>
      </c>
      <c r="D1673" s="11" t="s">
        <v>30</v>
      </c>
      <c r="E1673" s="17" t="n">
        <v>11200000</v>
      </c>
      <c r="F1673" s="11" t="s">
        <v>630</v>
      </c>
      <c r="G1673" s="11" t="s">
        <v>631</v>
      </c>
      <c r="H1673" s="11" t="s">
        <v>632</v>
      </c>
      <c r="I1673" s="11" t="s">
        <v>675</v>
      </c>
      <c r="J1673" s="11" t="s">
        <v>670</v>
      </c>
    </row>
    <row r="1674" customFormat="false" ht="15" hidden="false" customHeight="false" outlineLevel="0" collapsed="false">
      <c r="A1674" s="11" t="s">
        <v>557</v>
      </c>
      <c r="B1674" s="11" t="s">
        <v>558</v>
      </c>
      <c r="C1674" s="11" t="n">
        <v>2010</v>
      </c>
      <c r="D1674" s="11" t="s">
        <v>30</v>
      </c>
      <c r="E1674" s="17" t="n">
        <v>10790000</v>
      </c>
      <c r="F1674" s="11" t="s">
        <v>633</v>
      </c>
      <c r="G1674" s="11" t="s">
        <v>566</v>
      </c>
      <c r="H1674" s="11" t="s">
        <v>634</v>
      </c>
      <c r="I1674" s="11" t="s">
        <v>675</v>
      </c>
      <c r="J1674" s="11" t="s">
        <v>697</v>
      </c>
    </row>
    <row r="1675" customFormat="false" ht="15" hidden="false" customHeight="false" outlineLevel="0" collapsed="false">
      <c r="A1675" s="11" t="s">
        <v>557</v>
      </c>
      <c r="B1675" s="11" t="s">
        <v>558</v>
      </c>
      <c r="C1675" s="11" t="n">
        <v>2011</v>
      </c>
      <c r="D1675" s="11" t="s">
        <v>30</v>
      </c>
      <c r="E1675" s="17" t="n">
        <v>11510000</v>
      </c>
      <c r="F1675" s="11" t="s">
        <v>565</v>
      </c>
      <c r="G1675" s="11" t="s">
        <v>566</v>
      </c>
      <c r="H1675" s="11" t="s">
        <v>568</v>
      </c>
      <c r="I1675" s="11" t="s">
        <v>667</v>
      </c>
      <c r="J1675" s="11" t="s">
        <v>697</v>
      </c>
    </row>
    <row r="1676" customFormat="false" ht="15" hidden="false" customHeight="false" outlineLevel="0" collapsed="false">
      <c r="A1676" s="11" t="s">
        <v>557</v>
      </c>
      <c r="B1676" s="11" t="s">
        <v>558</v>
      </c>
      <c r="C1676" s="11" t="n">
        <v>2011</v>
      </c>
      <c r="D1676" s="11" t="s">
        <v>30</v>
      </c>
      <c r="E1676" s="17" t="n">
        <v>10300000</v>
      </c>
      <c r="F1676" s="11" t="s">
        <v>635</v>
      </c>
      <c r="G1676" s="11" t="s">
        <v>636</v>
      </c>
      <c r="H1676" s="11" t="s">
        <v>637</v>
      </c>
      <c r="I1676" s="11" t="s">
        <v>675</v>
      </c>
      <c r="J1676" s="11" t="s">
        <v>670</v>
      </c>
    </row>
    <row r="1677" customFormat="false" ht="15" hidden="false" customHeight="false" outlineLevel="0" collapsed="false">
      <c r="A1677" s="11" t="s">
        <v>557</v>
      </c>
      <c r="B1677" s="11" t="s">
        <v>558</v>
      </c>
      <c r="C1677" s="11" t="n">
        <v>2012</v>
      </c>
      <c r="D1677" s="11" t="s">
        <v>30</v>
      </c>
      <c r="E1677" s="17" t="n">
        <v>11430000</v>
      </c>
      <c r="F1677" s="11" t="s">
        <v>565</v>
      </c>
      <c r="G1677" s="11" t="s">
        <v>566</v>
      </c>
      <c r="H1677" s="11" t="s">
        <v>569</v>
      </c>
      <c r="I1677" s="11" t="s">
        <v>667</v>
      </c>
      <c r="J1677" s="11" t="s">
        <v>697</v>
      </c>
    </row>
    <row r="1678" customFormat="false" ht="15" hidden="false" customHeight="false" outlineLevel="0" collapsed="false">
      <c r="A1678" s="11" t="s">
        <v>557</v>
      </c>
      <c r="B1678" s="11" t="s">
        <v>558</v>
      </c>
      <c r="C1678" s="11" t="n">
        <v>2013</v>
      </c>
      <c r="D1678" s="11" t="s">
        <v>30</v>
      </c>
      <c r="E1678" s="17" t="n">
        <v>11210000</v>
      </c>
      <c r="F1678" s="11" t="s">
        <v>565</v>
      </c>
      <c r="G1678" s="11" t="s">
        <v>566</v>
      </c>
      <c r="H1678" s="11" t="s">
        <v>570</v>
      </c>
      <c r="I1678" s="11" t="s">
        <v>667</v>
      </c>
      <c r="J1678" s="11" t="s">
        <v>697</v>
      </c>
    </row>
    <row r="1679" customFormat="false" ht="15" hidden="false" customHeight="false" outlineLevel="0" collapsed="false">
      <c r="A1679" s="11" t="s">
        <v>557</v>
      </c>
      <c r="B1679" s="11" t="s">
        <v>558</v>
      </c>
      <c r="C1679" s="11" t="n">
        <v>2014</v>
      </c>
      <c r="D1679" s="11" t="s">
        <v>30</v>
      </c>
      <c r="E1679" s="17" t="n">
        <v>11460000</v>
      </c>
      <c r="F1679" s="11" t="s">
        <v>565</v>
      </c>
      <c r="G1679" s="11" t="s">
        <v>566</v>
      </c>
      <c r="H1679" s="11" t="s">
        <v>571</v>
      </c>
      <c r="I1679" s="11" t="s">
        <v>667</v>
      </c>
      <c r="J1679" s="11" t="s">
        <v>697</v>
      </c>
    </row>
    <row r="1680" customFormat="false" ht="15" hidden="false" customHeight="false" outlineLevel="0" collapsed="false">
      <c r="A1680" s="11" t="s">
        <v>557</v>
      </c>
      <c r="B1680" s="11" t="s">
        <v>558</v>
      </c>
      <c r="C1680" s="11" t="n">
        <v>2015</v>
      </c>
      <c r="D1680" s="11" t="s">
        <v>30</v>
      </c>
      <c r="E1680" s="17" t="n">
        <v>11960000</v>
      </c>
      <c r="F1680" s="11" t="s">
        <v>638</v>
      </c>
      <c r="G1680" s="11" t="s">
        <v>566</v>
      </c>
      <c r="H1680" s="11" t="s">
        <v>639</v>
      </c>
      <c r="I1680" s="11" t="s">
        <v>675</v>
      </c>
      <c r="J1680" s="11" t="s">
        <v>697</v>
      </c>
    </row>
    <row r="1681" customFormat="false" ht="15" hidden="false" customHeight="false" outlineLevel="0" collapsed="false">
      <c r="A1681" s="11" t="s">
        <v>557</v>
      </c>
      <c r="B1681" s="11" t="s">
        <v>558</v>
      </c>
      <c r="C1681" s="11" t="n">
        <v>2015</v>
      </c>
      <c r="D1681" s="11" t="s">
        <v>30</v>
      </c>
      <c r="E1681" s="17" t="n">
        <v>11440000</v>
      </c>
      <c r="F1681" s="11" t="s">
        <v>565</v>
      </c>
      <c r="G1681" s="11" t="s">
        <v>566</v>
      </c>
      <c r="H1681" s="11" t="s">
        <v>572</v>
      </c>
      <c r="I1681" s="11" t="s">
        <v>667</v>
      </c>
      <c r="J1681" s="11" t="s">
        <v>697</v>
      </c>
    </row>
    <row r="1682" customFormat="false" ht="15" hidden="false" customHeight="false" outlineLevel="0" collapsed="false">
      <c r="A1682" s="11" t="s">
        <v>557</v>
      </c>
      <c r="B1682" s="11" t="s">
        <v>558</v>
      </c>
      <c r="C1682" s="11" t="n">
        <v>2016</v>
      </c>
      <c r="D1682" s="11" t="s">
        <v>30</v>
      </c>
      <c r="E1682" s="17" t="n">
        <v>11750000</v>
      </c>
      <c r="F1682" s="11" t="s">
        <v>565</v>
      </c>
      <c r="G1682" s="11" t="s">
        <v>566</v>
      </c>
      <c r="H1682" s="11" t="s">
        <v>573</v>
      </c>
      <c r="I1682" s="11" t="s">
        <v>667</v>
      </c>
      <c r="J1682" s="11" t="s">
        <v>697</v>
      </c>
    </row>
    <row r="1683" customFormat="false" ht="15" hidden="false" customHeight="false" outlineLevel="0" collapsed="false">
      <c r="A1683" s="11" t="s">
        <v>557</v>
      </c>
      <c r="B1683" s="11" t="s">
        <v>558</v>
      </c>
      <c r="C1683" s="11" t="n">
        <v>2017</v>
      </c>
      <c r="D1683" s="11" t="s">
        <v>30</v>
      </c>
      <c r="E1683" s="17" t="n">
        <v>11410000</v>
      </c>
      <c r="F1683" s="11" t="s">
        <v>565</v>
      </c>
      <c r="G1683" s="11" t="s">
        <v>566</v>
      </c>
      <c r="H1683" s="11" t="s">
        <v>574</v>
      </c>
      <c r="I1683" s="11" t="s">
        <v>667</v>
      </c>
      <c r="J1683" s="11" t="s">
        <v>697</v>
      </c>
    </row>
    <row r="1684" customFormat="false" ht="15" hidden="false" customHeight="false" outlineLevel="0" collapsed="false">
      <c r="A1684" s="11" t="s">
        <v>557</v>
      </c>
      <c r="B1684" s="11" t="s">
        <v>558</v>
      </c>
      <c r="C1684" s="11" t="n">
        <v>2017</v>
      </c>
      <c r="D1684" s="11" t="s">
        <v>30</v>
      </c>
      <c r="E1684" s="17" t="n">
        <v>10500000</v>
      </c>
      <c r="F1684" s="11" t="s">
        <v>640</v>
      </c>
      <c r="G1684" s="11" t="s">
        <v>641</v>
      </c>
      <c r="H1684" s="11" t="s">
        <v>642</v>
      </c>
      <c r="I1684" s="11" t="s">
        <v>675</v>
      </c>
      <c r="J1684" s="11" t="s">
        <v>670</v>
      </c>
    </row>
    <row r="1685" customFormat="false" ht="15" hidden="false" customHeight="false" outlineLevel="0" collapsed="false">
      <c r="A1685" s="11" t="s">
        <v>557</v>
      </c>
      <c r="B1685" s="11" t="s">
        <v>558</v>
      </c>
      <c r="C1685" s="11" t="n">
        <v>2018</v>
      </c>
      <c r="D1685" s="11" t="s">
        <v>30</v>
      </c>
      <c r="E1685" s="17" t="n">
        <v>11390000</v>
      </c>
      <c r="F1685" s="11" t="s">
        <v>565</v>
      </c>
      <c r="G1685" s="11" t="s">
        <v>566</v>
      </c>
      <c r="H1685" s="11" t="s">
        <v>575</v>
      </c>
      <c r="I1685" s="11" t="s">
        <v>667</v>
      </c>
      <c r="J1685" s="11" t="s">
        <v>697</v>
      </c>
    </row>
    <row r="1686" customFormat="false" ht="15" hidden="false" customHeight="false" outlineLevel="0" collapsed="false">
      <c r="A1686" s="11" t="s">
        <v>557</v>
      </c>
      <c r="B1686" s="11" t="s">
        <v>558</v>
      </c>
      <c r="C1686" s="11" t="n">
        <v>2018</v>
      </c>
      <c r="D1686" s="11" t="s">
        <v>30</v>
      </c>
      <c r="E1686" s="17" t="n">
        <v>11000000</v>
      </c>
      <c r="F1686" s="11" t="s">
        <v>635</v>
      </c>
      <c r="G1686" s="11" t="s">
        <v>636</v>
      </c>
      <c r="H1686" s="11" t="s">
        <v>643</v>
      </c>
      <c r="I1686" s="11" t="s">
        <v>675</v>
      </c>
      <c r="J1686" s="11" t="s">
        <v>670</v>
      </c>
    </row>
    <row r="1687" customFormat="false" ht="15" hidden="false" customHeight="false" outlineLevel="0" collapsed="false">
      <c r="A1687" s="11" t="s">
        <v>557</v>
      </c>
      <c r="B1687" s="11" t="s">
        <v>558</v>
      </c>
      <c r="C1687" s="11" t="n">
        <v>2019</v>
      </c>
      <c r="D1687" s="11" t="s">
        <v>30</v>
      </c>
      <c r="E1687" s="17" t="n">
        <v>11110000</v>
      </c>
      <c r="F1687" s="11" t="s">
        <v>576</v>
      </c>
      <c r="G1687" s="11" t="s">
        <v>577</v>
      </c>
      <c r="H1687" s="11" t="s">
        <v>578</v>
      </c>
      <c r="I1687" s="11" t="s">
        <v>667</v>
      </c>
      <c r="J1687" s="11" t="s">
        <v>677</v>
      </c>
    </row>
    <row r="1688" customFormat="false" ht="15" hidden="false" customHeight="false" outlineLevel="0" collapsed="false">
      <c r="A1688" s="11" t="s">
        <v>557</v>
      </c>
      <c r="B1688" s="11" t="s">
        <v>558</v>
      </c>
      <c r="C1688" s="11" t="n">
        <v>2019</v>
      </c>
      <c r="D1688" s="11" t="s">
        <v>30</v>
      </c>
      <c r="E1688" s="17" t="n">
        <v>11000000</v>
      </c>
      <c r="F1688" s="11" t="s">
        <v>644</v>
      </c>
      <c r="G1688" s="11" t="s">
        <v>645</v>
      </c>
      <c r="H1688" s="11" t="s">
        <v>646</v>
      </c>
      <c r="I1688" s="11" t="s">
        <v>675</v>
      </c>
      <c r="J1688" s="11" t="s">
        <v>677</v>
      </c>
    </row>
    <row r="1689" customFormat="false" ht="15" hidden="false" customHeight="false" outlineLevel="0" collapsed="false">
      <c r="A1689" s="11" t="s">
        <v>557</v>
      </c>
      <c r="B1689" s="11" t="s">
        <v>558</v>
      </c>
      <c r="C1689" s="11" t="n">
        <v>2019</v>
      </c>
      <c r="D1689" s="11" t="s">
        <v>30</v>
      </c>
      <c r="E1689" s="17" t="n">
        <v>10350000</v>
      </c>
      <c r="F1689" s="11" t="s">
        <v>647</v>
      </c>
      <c r="G1689" s="11" t="s">
        <v>648</v>
      </c>
      <c r="H1689" s="11" t="s">
        <v>649</v>
      </c>
      <c r="I1689" s="11" t="s">
        <v>675</v>
      </c>
      <c r="J1689" s="11" t="s">
        <v>677</v>
      </c>
    </row>
    <row r="1690" customFormat="false" ht="15" hidden="false" customHeight="false" outlineLevel="0" collapsed="false">
      <c r="A1690" s="11" t="s">
        <v>557</v>
      </c>
      <c r="B1690" s="11" t="s">
        <v>558</v>
      </c>
      <c r="C1690" s="11" t="n">
        <v>2020</v>
      </c>
      <c r="D1690" s="11" t="s">
        <v>30</v>
      </c>
      <c r="E1690" s="17" t="n">
        <v>10510000</v>
      </c>
      <c r="F1690" s="11" t="s">
        <v>576</v>
      </c>
      <c r="G1690" s="11" t="s">
        <v>577</v>
      </c>
      <c r="H1690" s="11" t="s">
        <v>579</v>
      </c>
      <c r="I1690" s="11" t="s">
        <v>667</v>
      </c>
      <c r="J1690" s="11" t="s">
        <v>677</v>
      </c>
    </row>
    <row r="1691" customFormat="false" ht="15" hidden="false" customHeight="false" outlineLevel="0" collapsed="false">
      <c r="A1691" s="11" t="s">
        <v>557</v>
      </c>
      <c r="B1691" s="11" t="s">
        <v>558</v>
      </c>
      <c r="C1691" s="11" t="n">
        <v>2020</v>
      </c>
      <c r="D1691" s="11" t="s">
        <v>30</v>
      </c>
      <c r="E1691" s="17" t="n">
        <v>10210000</v>
      </c>
      <c r="F1691" s="11" t="s">
        <v>647</v>
      </c>
      <c r="G1691" s="11" t="s">
        <v>648</v>
      </c>
      <c r="H1691" s="11" t="s">
        <v>650</v>
      </c>
      <c r="I1691" s="11" t="s">
        <v>675</v>
      </c>
      <c r="J1691" s="11" t="s">
        <v>677</v>
      </c>
    </row>
    <row r="1692" customFormat="false" ht="15" hidden="false" customHeight="false" outlineLevel="0" collapsed="false">
      <c r="A1692" s="11" t="s">
        <v>557</v>
      </c>
      <c r="B1692" s="11" t="s">
        <v>558</v>
      </c>
      <c r="C1692" s="11" t="n">
        <v>2020</v>
      </c>
      <c r="D1692" s="11" t="s">
        <v>30</v>
      </c>
      <c r="E1692" s="17" t="n">
        <v>10000000</v>
      </c>
      <c r="F1692" s="11" t="s">
        <v>651</v>
      </c>
      <c r="G1692" s="11" t="s">
        <v>652</v>
      </c>
      <c r="H1692" s="11" t="s">
        <v>653</v>
      </c>
      <c r="I1692" s="11" t="s">
        <v>675</v>
      </c>
      <c r="J1692" s="11" t="s">
        <v>670</v>
      </c>
    </row>
    <row r="1693" customFormat="false" ht="15" hidden="false" customHeight="false" outlineLevel="0" collapsed="false">
      <c r="A1693" s="11" t="s">
        <v>557</v>
      </c>
      <c r="B1693" s="11" t="s">
        <v>558</v>
      </c>
      <c r="C1693" s="11" t="n">
        <v>2021</v>
      </c>
      <c r="D1693" s="11" t="s">
        <v>30</v>
      </c>
      <c r="E1693" s="17" t="n">
        <v>11200000</v>
      </c>
      <c r="F1693" s="11" t="s">
        <v>644</v>
      </c>
      <c r="G1693" s="11" t="s">
        <v>645</v>
      </c>
      <c r="H1693" s="11" t="s">
        <v>654</v>
      </c>
      <c r="I1693" s="11" t="s">
        <v>675</v>
      </c>
      <c r="J1693" s="11" t="s">
        <v>677</v>
      </c>
    </row>
    <row r="1694" customFormat="false" ht="15" hidden="false" customHeight="false" outlineLevel="0" collapsed="false">
      <c r="A1694" s="11" t="s">
        <v>557</v>
      </c>
      <c r="B1694" s="11" t="s">
        <v>558</v>
      </c>
      <c r="C1694" s="11" t="n">
        <v>2021</v>
      </c>
      <c r="D1694" s="11" t="s">
        <v>30</v>
      </c>
      <c r="E1694" s="17" t="n">
        <v>10500000</v>
      </c>
      <c r="F1694" s="11" t="s">
        <v>655</v>
      </c>
      <c r="G1694" s="11" t="s">
        <v>656</v>
      </c>
      <c r="H1694" s="11" t="s">
        <v>657</v>
      </c>
      <c r="I1694" s="11" t="s">
        <v>675</v>
      </c>
      <c r="J1694" s="11" t="s">
        <v>670</v>
      </c>
    </row>
    <row r="1695" customFormat="false" ht="15" hidden="false" customHeight="false" outlineLevel="0" collapsed="false">
      <c r="A1695" s="11" t="s">
        <v>557</v>
      </c>
      <c r="B1695" s="11" t="s">
        <v>558</v>
      </c>
      <c r="C1695" s="11" t="n">
        <v>2021</v>
      </c>
      <c r="D1695" s="11" t="s">
        <v>30</v>
      </c>
      <c r="E1695" s="17" t="n">
        <v>10500000</v>
      </c>
      <c r="F1695" s="11" t="s">
        <v>580</v>
      </c>
      <c r="G1695" s="11" t="s">
        <v>581</v>
      </c>
      <c r="H1695" s="11" t="s">
        <v>582</v>
      </c>
      <c r="I1695" s="11" t="s">
        <v>667</v>
      </c>
      <c r="J1695" s="11" t="s">
        <v>677</v>
      </c>
    </row>
    <row r="1696" customFormat="false" ht="15" hidden="false" customHeight="false" outlineLevel="0" collapsed="false">
      <c r="A1696" s="11" t="s">
        <v>557</v>
      </c>
      <c r="B1696" s="11" t="s">
        <v>558</v>
      </c>
      <c r="C1696" s="11" t="n">
        <v>2021</v>
      </c>
      <c r="D1696" s="11" t="s">
        <v>30</v>
      </c>
      <c r="E1696" s="17" t="n">
        <v>10290000</v>
      </c>
      <c r="F1696" s="11" t="s">
        <v>647</v>
      </c>
      <c r="G1696" s="11" t="s">
        <v>648</v>
      </c>
      <c r="H1696" s="11" t="s">
        <v>659</v>
      </c>
      <c r="I1696" s="11" t="s">
        <v>675</v>
      </c>
      <c r="J1696" s="11" t="s">
        <v>677</v>
      </c>
    </row>
    <row r="1697" customFormat="false" ht="15" hidden="false" customHeight="false" outlineLevel="0" collapsed="false">
      <c r="A1697" s="11" t="s">
        <v>557</v>
      </c>
      <c r="B1697" s="11" t="s">
        <v>558</v>
      </c>
      <c r="C1697" s="11" t="n">
        <v>2022</v>
      </c>
      <c r="D1697" s="11" t="s">
        <v>30</v>
      </c>
      <c r="E1697" s="17" t="n">
        <v>11800000</v>
      </c>
      <c r="F1697" s="11" t="s">
        <v>580</v>
      </c>
      <c r="G1697" s="11" t="s">
        <v>581</v>
      </c>
      <c r="H1697" s="11" t="s">
        <v>660</v>
      </c>
      <c r="I1697" s="11" t="s">
        <v>675</v>
      </c>
      <c r="J1697" s="11" t="s">
        <v>677</v>
      </c>
    </row>
    <row r="1698" customFormat="false" ht="15" hidden="false" customHeight="false" outlineLevel="0" collapsed="false">
      <c r="A1698" s="11" t="s">
        <v>557</v>
      </c>
      <c r="B1698" s="11" t="s">
        <v>558</v>
      </c>
      <c r="C1698" s="11" t="n">
        <v>2022</v>
      </c>
      <c r="D1698" s="11" t="s">
        <v>30</v>
      </c>
      <c r="E1698" s="17" t="n">
        <v>11300000</v>
      </c>
      <c r="F1698" s="11" t="s">
        <v>644</v>
      </c>
      <c r="G1698" s="11" t="s">
        <v>645</v>
      </c>
      <c r="H1698" s="11" t="s">
        <v>661</v>
      </c>
      <c r="I1698" s="11" t="s">
        <v>675</v>
      </c>
      <c r="J1698" s="11" t="s">
        <v>677</v>
      </c>
    </row>
    <row r="1699" customFormat="false" ht="15" hidden="false" customHeight="false" outlineLevel="0" collapsed="false">
      <c r="A1699" s="11" t="s">
        <v>557</v>
      </c>
      <c r="B1699" s="11" t="s">
        <v>558</v>
      </c>
      <c r="C1699" s="11" t="n">
        <v>2022</v>
      </c>
      <c r="D1699" s="11" t="s">
        <v>30</v>
      </c>
      <c r="E1699" s="17" t="n">
        <v>11000000</v>
      </c>
      <c r="F1699" s="11" t="s">
        <v>655</v>
      </c>
      <c r="G1699" s="11" t="s">
        <v>656</v>
      </c>
      <c r="H1699" s="11" t="s">
        <v>662</v>
      </c>
      <c r="I1699" s="11" t="s">
        <v>675</v>
      </c>
      <c r="J1699" s="11" t="s">
        <v>670</v>
      </c>
    </row>
    <row r="1700" customFormat="false" ht="15" hidden="false" customHeight="false" outlineLevel="0" collapsed="false">
      <c r="A1700" s="11" t="s">
        <v>557</v>
      </c>
      <c r="B1700" s="11" t="s">
        <v>558</v>
      </c>
      <c r="C1700" s="11" t="n">
        <v>2022</v>
      </c>
      <c r="D1700" s="11" t="s">
        <v>30</v>
      </c>
      <c r="E1700" s="17" t="n">
        <v>10990000</v>
      </c>
      <c r="F1700" s="11" t="s">
        <v>576</v>
      </c>
      <c r="G1700" s="11" t="s">
        <v>577</v>
      </c>
      <c r="H1700" s="11" t="s">
        <v>583</v>
      </c>
      <c r="I1700" s="11" t="s">
        <v>667</v>
      </c>
      <c r="J1700" s="11" t="s">
        <v>677</v>
      </c>
    </row>
    <row r="1701" customFormat="false" ht="15" hidden="false" customHeight="false" outlineLevel="0" collapsed="false">
      <c r="A1701" s="11" t="s">
        <v>557</v>
      </c>
      <c r="B1701" s="11" t="s">
        <v>558</v>
      </c>
      <c r="C1701" s="11" t="n">
        <v>2022</v>
      </c>
      <c r="D1701" s="11" t="s">
        <v>30</v>
      </c>
      <c r="E1701" s="17" t="n">
        <v>10940000</v>
      </c>
      <c r="F1701" s="11" t="s">
        <v>647</v>
      </c>
      <c r="G1701" s="11" t="s">
        <v>648</v>
      </c>
      <c r="H1701" s="11" t="s">
        <v>664</v>
      </c>
      <c r="I1701" s="11" t="s">
        <v>675</v>
      </c>
      <c r="J1701" s="11" t="s">
        <v>677</v>
      </c>
    </row>
    <row r="1702" customFormat="false" ht="15" hidden="false" customHeight="false" outlineLevel="0" collapsed="false">
      <c r="A1702" s="11" t="s">
        <v>557</v>
      </c>
      <c r="B1702" s="11" t="s">
        <v>558</v>
      </c>
      <c r="C1702" s="11" t="n">
        <v>2010</v>
      </c>
      <c r="D1702" s="11" t="s">
        <v>18</v>
      </c>
      <c r="E1702" s="17" t="n">
        <v>309378227</v>
      </c>
      <c r="F1702" s="11" t="s">
        <v>98</v>
      </c>
      <c r="G1702" s="11" t="s">
        <v>99</v>
      </c>
      <c r="H1702" s="11" t="s">
        <v>671</v>
      </c>
      <c r="I1702" s="11" t="s">
        <v>667</v>
      </c>
      <c r="J1702" s="11" t="s">
        <v>672</v>
      </c>
    </row>
    <row r="1703" customFormat="false" ht="15" hidden="false" customHeight="false" outlineLevel="0" collapsed="false">
      <c r="A1703" s="11" t="s">
        <v>557</v>
      </c>
      <c r="B1703" s="11" t="s">
        <v>558</v>
      </c>
      <c r="C1703" s="11" t="n">
        <v>2011</v>
      </c>
      <c r="D1703" s="11" t="s">
        <v>18</v>
      </c>
      <c r="E1703" s="17" t="n">
        <v>311839461</v>
      </c>
      <c r="F1703" s="11" t="s">
        <v>98</v>
      </c>
      <c r="G1703" s="11" t="s">
        <v>99</v>
      </c>
      <c r="H1703" s="11" t="s">
        <v>671</v>
      </c>
      <c r="I1703" s="11" t="s">
        <v>667</v>
      </c>
      <c r="J1703" s="11" t="s">
        <v>672</v>
      </c>
    </row>
    <row r="1704" customFormat="false" ht="15" hidden="false" customHeight="false" outlineLevel="0" collapsed="false">
      <c r="A1704" s="11" t="s">
        <v>557</v>
      </c>
      <c r="B1704" s="11" t="s">
        <v>558</v>
      </c>
      <c r="C1704" s="11" t="n">
        <v>2012</v>
      </c>
      <c r="D1704" s="11" t="s">
        <v>18</v>
      </c>
      <c r="E1704" s="17" t="n">
        <v>314339099</v>
      </c>
      <c r="F1704" s="11" t="s">
        <v>98</v>
      </c>
      <c r="G1704" s="11" t="s">
        <v>99</v>
      </c>
      <c r="H1704" s="11" t="s">
        <v>671</v>
      </c>
      <c r="I1704" s="11" t="s">
        <v>667</v>
      </c>
      <c r="J1704" s="11" t="s">
        <v>672</v>
      </c>
    </row>
    <row r="1705" customFormat="false" ht="15" hidden="false" customHeight="false" outlineLevel="0" collapsed="false">
      <c r="A1705" s="11" t="s">
        <v>557</v>
      </c>
      <c r="B1705" s="11" t="s">
        <v>558</v>
      </c>
      <c r="C1705" s="11" t="n">
        <v>2013</v>
      </c>
      <c r="D1705" s="11" t="s">
        <v>18</v>
      </c>
      <c r="E1705" s="17" t="n">
        <v>316726282</v>
      </c>
      <c r="F1705" s="11" t="s">
        <v>98</v>
      </c>
      <c r="G1705" s="11" t="s">
        <v>99</v>
      </c>
      <c r="H1705" s="11" t="s">
        <v>671</v>
      </c>
      <c r="I1705" s="11" t="s">
        <v>667</v>
      </c>
      <c r="J1705" s="11" t="s">
        <v>672</v>
      </c>
    </row>
    <row r="1706" customFormat="false" ht="15" hidden="false" customHeight="false" outlineLevel="0" collapsed="false">
      <c r="A1706" s="11" t="s">
        <v>557</v>
      </c>
      <c r="B1706" s="11" t="s">
        <v>558</v>
      </c>
      <c r="C1706" s="11" t="n">
        <v>2014</v>
      </c>
      <c r="D1706" s="11" t="s">
        <v>18</v>
      </c>
      <c r="E1706" s="17" t="n">
        <v>319257560</v>
      </c>
      <c r="F1706" s="11" t="s">
        <v>98</v>
      </c>
      <c r="G1706" s="11" t="s">
        <v>99</v>
      </c>
      <c r="H1706" s="11" t="s">
        <v>671</v>
      </c>
      <c r="I1706" s="11" t="s">
        <v>667</v>
      </c>
      <c r="J1706" s="11" t="s">
        <v>672</v>
      </c>
    </row>
    <row r="1707" customFormat="false" ht="15" hidden="false" customHeight="false" outlineLevel="0" collapsed="false">
      <c r="A1707" s="11" t="s">
        <v>557</v>
      </c>
      <c r="B1707" s="11" t="s">
        <v>558</v>
      </c>
      <c r="C1707" s="11" t="n">
        <v>2015</v>
      </c>
      <c r="D1707" s="11" t="s">
        <v>18</v>
      </c>
      <c r="E1707" s="17" t="n">
        <v>321815121</v>
      </c>
      <c r="F1707" s="11" t="s">
        <v>98</v>
      </c>
      <c r="G1707" s="11" t="s">
        <v>99</v>
      </c>
      <c r="H1707" s="11" t="s">
        <v>671</v>
      </c>
      <c r="I1707" s="11" t="s">
        <v>667</v>
      </c>
      <c r="J1707" s="11" t="s">
        <v>672</v>
      </c>
    </row>
    <row r="1708" customFormat="false" ht="15" hidden="false" customHeight="false" outlineLevel="0" collapsed="false">
      <c r="A1708" s="11" t="s">
        <v>557</v>
      </c>
      <c r="B1708" s="11" t="s">
        <v>558</v>
      </c>
      <c r="C1708" s="11" t="n">
        <v>2016</v>
      </c>
      <c r="D1708" s="11" t="s">
        <v>18</v>
      </c>
      <c r="E1708" s="17" t="n">
        <v>324353340</v>
      </c>
      <c r="F1708" s="11" t="s">
        <v>98</v>
      </c>
      <c r="G1708" s="11" t="s">
        <v>99</v>
      </c>
      <c r="H1708" s="11" t="s">
        <v>671</v>
      </c>
      <c r="I1708" s="11" t="s">
        <v>667</v>
      </c>
      <c r="J1708" s="11" t="s">
        <v>672</v>
      </c>
    </row>
    <row r="1709" customFormat="false" ht="15" hidden="false" customHeight="false" outlineLevel="0" collapsed="false">
      <c r="A1709" s="11" t="s">
        <v>557</v>
      </c>
      <c r="B1709" s="11" t="s">
        <v>558</v>
      </c>
      <c r="C1709" s="11" t="n">
        <v>2017</v>
      </c>
      <c r="D1709" s="11" t="s">
        <v>18</v>
      </c>
      <c r="E1709" s="17" t="n">
        <v>326608609</v>
      </c>
      <c r="F1709" s="11" t="s">
        <v>98</v>
      </c>
      <c r="G1709" s="11" t="s">
        <v>99</v>
      </c>
      <c r="H1709" s="11" t="s">
        <v>671</v>
      </c>
      <c r="I1709" s="11" t="s">
        <v>667</v>
      </c>
      <c r="J1709" s="11" t="s">
        <v>672</v>
      </c>
    </row>
    <row r="1710" customFormat="false" ht="15" hidden="false" customHeight="false" outlineLevel="0" collapsed="false">
      <c r="A1710" s="11" t="s">
        <v>557</v>
      </c>
      <c r="B1710" s="11" t="s">
        <v>558</v>
      </c>
      <c r="C1710" s="11" t="n">
        <v>2018</v>
      </c>
      <c r="D1710" s="11" t="s">
        <v>18</v>
      </c>
      <c r="E1710" s="17" t="n">
        <v>328529577</v>
      </c>
      <c r="F1710" s="11" t="s">
        <v>98</v>
      </c>
      <c r="G1710" s="11" t="s">
        <v>99</v>
      </c>
      <c r="H1710" s="11" t="s">
        <v>671</v>
      </c>
      <c r="I1710" s="11" t="s">
        <v>667</v>
      </c>
      <c r="J1710" s="11" t="s">
        <v>672</v>
      </c>
    </row>
    <row r="1711" customFormat="false" ht="15" hidden="false" customHeight="false" outlineLevel="0" collapsed="false">
      <c r="A1711" s="11" t="s">
        <v>557</v>
      </c>
      <c r="B1711" s="11" t="s">
        <v>558</v>
      </c>
      <c r="C1711" s="11" t="n">
        <v>2019</v>
      </c>
      <c r="D1711" s="11" t="s">
        <v>18</v>
      </c>
      <c r="E1711" s="17" t="n">
        <v>330226227</v>
      </c>
      <c r="F1711" s="11" t="s">
        <v>98</v>
      </c>
      <c r="G1711" s="11" t="s">
        <v>99</v>
      </c>
      <c r="H1711" s="11" t="s">
        <v>671</v>
      </c>
      <c r="I1711" s="11" t="s">
        <v>667</v>
      </c>
      <c r="J1711" s="11" t="s">
        <v>672</v>
      </c>
    </row>
    <row r="1712" customFormat="false" ht="15" hidden="false" customHeight="false" outlineLevel="0" collapsed="false">
      <c r="A1712" s="11" t="s">
        <v>557</v>
      </c>
      <c r="B1712" s="11" t="s">
        <v>558</v>
      </c>
      <c r="C1712" s="11" t="n">
        <v>2020</v>
      </c>
      <c r="D1712" s="11" t="s">
        <v>18</v>
      </c>
      <c r="E1712" s="17" t="n">
        <v>331578104</v>
      </c>
      <c r="F1712" s="11" t="s">
        <v>98</v>
      </c>
      <c r="G1712" s="11" t="s">
        <v>99</v>
      </c>
      <c r="H1712" s="11" t="s">
        <v>671</v>
      </c>
      <c r="I1712" s="11" t="s">
        <v>667</v>
      </c>
      <c r="J1712" s="11" t="s">
        <v>672</v>
      </c>
    </row>
    <row r="1713" customFormat="false" ht="15" hidden="false" customHeight="false" outlineLevel="0" collapsed="false">
      <c r="A1713" s="11" t="s">
        <v>557</v>
      </c>
      <c r="B1713" s="11" t="s">
        <v>558</v>
      </c>
      <c r="C1713" s="11" t="n">
        <v>2021</v>
      </c>
      <c r="D1713" s="11" t="s">
        <v>18</v>
      </c>
      <c r="E1713" s="17" t="n">
        <v>332100166</v>
      </c>
      <c r="F1713" s="11" t="s">
        <v>98</v>
      </c>
      <c r="G1713" s="11" t="s">
        <v>99</v>
      </c>
      <c r="H1713" s="11" t="s">
        <v>671</v>
      </c>
      <c r="I1713" s="11" t="s">
        <v>667</v>
      </c>
      <c r="J1713" s="11" t="s">
        <v>672</v>
      </c>
    </row>
    <row r="1714" customFormat="false" ht="15" hidden="false" customHeight="false" outlineLevel="0" collapsed="false">
      <c r="A1714" s="11" t="s">
        <v>557</v>
      </c>
      <c r="B1714" s="11" t="s">
        <v>558</v>
      </c>
      <c r="C1714" s="11" t="n">
        <v>2022</v>
      </c>
      <c r="D1714" s="11" t="s">
        <v>18</v>
      </c>
      <c r="E1714" s="17" t="n">
        <v>333996304</v>
      </c>
      <c r="F1714" s="11" t="s">
        <v>98</v>
      </c>
      <c r="G1714" s="11" t="s">
        <v>99</v>
      </c>
      <c r="H1714" s="11" t="s">
        <v>671</v>
      </c>
      <c r="I1714" s="11" t="s">
        <v>667</v>
      </c>
      <c r="J1714" s="11" t="s">
        <v>672</v>
      </c>
    </row>
    <row r="1715" customFormat="false" ht="15" hidden="false" customHeight="false" outlineLevel="0" collapsed="false">
      <c r="A1715" s="11" t="s">
        <v>427</v>
      </c>
      <c r="B1715" s="11" t="s">
        <v>428</v>
      </c>
      <c r="C1715" s="11" t="n">
        <v>2010</v>
      </c>
      <c r="D1715" s="11" t="s">
        <v>22</v>
      </c>
      <c r="E1715" s="17" t="n">
        <v>2274466</v>
      </c>
      <c r="F1715" s="11" t="s">
        <v>167</v>
      </c>
      <c r="G1715" s="11" t="s">
        <v>168</v>
      </c>
      <c r="H1715" s="11" t="s">
        <v>174</v>
      </c>
      <c r="I1715" s="11" t="s">
        <v>667</v>
      </c>
      <c r="J1715" s="11" t="s">
        <v>676</v>
      </c>
    </row>
    <row r="1716" customFormat="false" ht="15" hidden="false" customHeight="false" outlineLevel="0" collapsed="false">
      <c r="A1716" s="11" t="s">
        <v>427</v>
      </c>
      <c r="B1716" s="11" t="s">
        <v>428</v>
      </c>
      <c r="C1716" s="11" t="n">
        <v>2011</v>
      </c>
      <c r="D1716" s="11" t="s">
        <v>22</v>
      </c>
      <c r="E1716" s="17" t="n">
        <v>2184408</v>
      </c>
      <c r="F1716" s="11" t="s">
        <v>432</v>
      </c>
      <c r="G1716" s="11" t="s">
        <v>433</v>
      </c>
      <c r="H1716" s="11" t="s">
        <v>434</v>
      </c>
      <c r="I1716" s="11" t="s">
        <v>667</v>
      </c>
      <c r="J1716" s="11" t="s">
        <v>676</v>
      </c>
    </row>
    <row r="1717" customFormat="false" ht="15" hidden="false" customHeight="false" outlineLevel="0" collapsed="false">
      <c r="A1717" s="11" t="s">
        <v>427</v>
      </c>
      <c r="B1717" s="11" t="s">
        <v>428</v>
      </c>
      <c r="C1717" s="11" t="n">
        <v>2015</v>
      </c>
      <c r="D1717" s="11" t="s">
        <v>22</v>
      </c>
      <c r="E1717" s="17" t="n">
        <v>3162564</v>
      </c>
      <c r="F1717" s="11" t="s">
        <v>167</v>
      </c>
      <c r="G1717" s="11" t="s">
        <v>168</v>
      </c>
      <c r="H1717" s="11" t="s">
        <v>435</v>
      </c>
      <c r="I1717" s="11" t="s">
        <v>667</v>
      </c>
      <c r="J1717" s="11" t="s">
        <v>676</v>
      </c>
    </row>
    <row r="1718" customFormat="false" ht="15" hidden="false" customHeight="false" outlineLevel="0" collapsed="false">
      <c r="A1718" s="11" t="s">
        <v>427</v>
      </c>
      <c r="B1718" s="11" t="s">
        <v>428</v>
      </c>
      <c r="C1718" s="11" t="n">
        <v>2016</v>
      </c>
      <c r="D1718" s="11" t="s">
        <v>22</v>
      </c>
      <c r="E1718" s="17" t="n">
        <v>1578541</v>
      </c>
      <c r="F1718" s="11" t="s">
        <v>436</v>
      </c>
      <c r="G1718" s="11" t="s">
        <v>437</v>
      </c>
      <c r="H1718" s="11" t="s">
        <v>438</v>
      </c>
      <c r="I1718" s="11" t="s">
        <v>667</v>
      </c>
      <c r="J1718" s="11" t="s">
        <v>676</v>
      </c>
    </row>
    <row r="1719" customFormat="false" ht="15" hidden="false" customHeight="false" outlineLevel="0" collapsed="false">
      <c r="A1719" s="11" t="s">
        <v>427</v>
      </c>
      <c r="B1719" s="11" t="s">
        <v>428</v>
      </c>
      <c r="C1719" s="11" t="n">
        <v>2020</v>
      </c>
      <c r="D1719" s="11" t="s">
        <v>22</v>
      </c>
      <c r="E1719" s="17" t="n">
        <v>2639076</v>
      </c>
      <c r="F1719" s="11" t="s">
        <v>167</v>
      </c>
      <c r="G1719" s="11" t="s">
        <v>168</v>
      </c>
      <c r="H1719" s="11" t="s">
        <v>174</v>
      </c>
      <c r="I1719" s="11" t="s">
        <v>667</v>
      </c>
      <c r="J1719" s="11" t="s">
        <v>676</v>
      </c>
    </row>
    <row r="1720" customFormat="false" ht="15" hidden="false" customHeight="false" outlineLevel="0" collapsed="false">
      <c r="A1720" s="11" t="s">
        <v>427</v>
      </c>
      <c r="B1720" s="11" t="s">
        <v>428</v>
      </c>
      <c r="C1720" s="11" t="n">
        <v>2022</v>
      </c>
      <c r="D1720" s="11" t="s">
        <v>22</v>
      </c>
      <c r="E1720" s="17" t="n">
        <v>2418197</v>
      </c>
      <c r="F1720" s="11" t="s">
        <v>439</v>
      </c>
      <c r="G1720" s="11" t="s">
        <v>433</v>
      </c>
      <c r="H1720" s="11" t="s">
        <v>440</v>
      </c>
      <c r="I1720" s="11" t="s">
        <v>667</v>
      </c>
      <c r="J1720" s="11" t="s">
        <v>676</v>
      </c>
    </row>
    <row r="1721" customFormat="false" ht="15" hidden="false" customHeight="false" outlineLevel="0" collapsed="false">
      <c r="A1721" s="11" t="s">
        <v>427</v>
      </c>
      <c r="B1721" s="11" t="s">
        <v>428</v>
      </c>
      <c r="C1721" s="11" t="n">
        <v>2010</v>
      </c>
      <c r="D1721" s="11" t="s">
        <v>18</v>
      </c>
      <c r="E1721" s="17" t="n">
        <v>52344051</v>
      </c>
      <c r="F1721" s="11" t="s">
        <v>98</v>
      </c>
      <c r="G1721" s="11" t="s">
        <v>99</v>
      </c>
      <c r="H1721" s="11" t="s">
        <v>671</v>
      </c>
      <c r="I1721" s="11" t="s">
        <v>667</v>
      </c>
      <c r="J1721" s="11" t="s">
        <v>672</v>
      </c>
    </row>
    <row r="1722" customFormat="false" ht="15" hidden="false" customHeight="false" outlineLevel="0" collapsed="false">
      <c r="A1722" s="11" t="s">
        <v>427</v>
      </c>
      <c r="B1722" s="11" t="s">
        <v>428</v>
      </c>
      <c r="C1722" s="11" t="n">
        <v>2011</v>
      </c>
      <c r="D1722" s="11" t="s">
        <v>18</v>
      </c>
      <c r="E1722" s="17" t="n">
        <v>52995205</v>
      </c>
      <c r="F1722" s="11" t="s">
        <v>98</v>
      </c>
      <c r="G1722" s="11" t="s">
        <v>99</v>
      </c>
      <c r="H1722" s="11" t="s">
        <v>671</v>
      </c>
      <c r="I1722" s="11" t="s">
        <v>667</v>
      </c>
      <c r="J1722" s="11" t="s">
        <v>672</v>
      </c>
    </row>
    <row r="1723" customFormat="false" ht="15" hidden="false" customHeight="false" outlineLevel="0" collapsed="false">
      <c r="A1723" s="11" t="s">
        <v>427</v>
      </c>
      <c r="B1723" s="11" t="s">
        <v>428</v>
      </c>
      <c r="C1723" s="11" t="n">
        <v>2012</v>
      </c>
      <c r="D1723" s="11" t="s">
        <v>18</v>
      </c>
      <c r="E1723" s="17" t="n">
        <v>53782567</v>
      </c>
      <c r="F1723" s="11" t="s">
        <v>98</v>
      </c>
      <c r="G1723" s="11" t="s">
        <v>99</v>
      </c>
      <c r="H1723" s="11" t="s">
        <v>671</v>
      </c>
      <c r="I1723" s="11" t="s">
        <v>667</v>
      </c>
      <c r="J1723" s="11" t="s">
        <v>672</v>
      </c>
    </row>
    <row r="1724" customFormat="false" ht="15" hidden="false" customHeight="false" outlineLevel="0" collapsed="false">
      <c r="A1724" s="11" t="s">
        <v>427</v>
      </c>
      <c r="B1724" s="11" t="s">
        <v>428</v>
      </c>
      <c r="C1724" s="11" t="n">
        <v>2013</v>
      </c>
      <c r="D1724" s="11" t="s">
        <v>18</v>
      </c>
      <c r="E1724" s="17" t="n">
        <v>54678791</v>
      </c>
      <c r="F1724" s="11" t="s">
        <v>98</v>
      </c>
      <c r="G1724" s="11" t="s">
        <v>99</v>
      </c>
      <c r="H1724" s="11" t="s">
        <v>671</v>
      </c>
      <c r="I1724" s="11" t="s">
        <v>667</v>
      </c>
      <c r="J1724" s="11" t="s">
        <v>672</v>
      </c>
    </row>
    <row r="1725" customFormat="false" ht="15" hidden="false" customHeight="false" outlineLevel="0" collapsed="false">
      <c r="A1725" s="11" t="s">
        <v>427</v>
      </c>
      <c r="B1725" s="11" t="s">
        <v>428</v>
      </c>
      <c r="C1725" s="11" t="n">
        <v>2014</v>
      </c>
      <c r="D1725" s="11" t="s">
        <v>18</v>
      </c>
      <c r="E1725" s="17" t="n">
        <v>55594838</v>
      </c>
      <c r="F1725" s="11" t="s">
        <v>98</v>
      </c>
      <c r="G1725" s="11" t="s">
        <v>99</v>
      </c>
      <c r="H1725" s="11" t="s">
        <v>671</v>
      </c>
      <c r="I1725" s="11" t="s">
        <v>667</v>
      </c>
      <c r="J1725" s="11" t="s">
        <v>672</v>
      </c>
    </row>
    <row r="1726" customFormat="false" ht="15" hidden="false" customHeight="false" outlineLevel="0" collapsed="false">
      <c r="A1726" s="11" t="s">
        <v>427</v>
      </c>
      <c r="B1726" s="11" t="s">
        <v>428</v>
      </c>
      <c r="C1726" s="11" t="n">
        <v>2015</v>
      </c>
      <c r="D1726" s="11" t="s">
        <v>18</v>
      </c>
      <c r="E1726" s="17" t="n">
        <v>56723537</v>
      </c>
      <c r="F1726" s="11" t="s">
        <v>98</v>
      </c>
      <c r="G1726" s="11" t="s">
        <v>99</v>
      </c>
      <c r="H1726" s="11" t="s">
        <v>671</v>
      </c>
      <c r="I1726" s="11" t="s">
        <v>667</v>
      </c>
      <c r="J1726" s="11" t="s">
        <v>672</v>
      </c>
    </row>
    <row r="1727" customFormat="false" ht="15" hidden="false" customHeight="false" outlineLevel="0" collapsed="false">
      <c r="A1727" s="11" t="s">
        <v>427</v>
      </c>
      <c r="B1727" s="11" t="s">
        <v>428</v>
      </c>
      <c r="C1727" s="11" t="n">
        <v>2016</v>
      </c>
      <c r="D1727" s="11" t="s">
        <v>18</v>
      </c>
      <c r="E1727" s="17" t="n">
        <v>57259551</v>
      </c>
      <c r="F1727" s="11" t="s">
        <v>98</v>
      </c>
      <c r="G1727" s="11" t="s">
        <v>99</v>
      </c>
      <c r="H1727" s="11" t="s">
        <v>671</v>
      </c>
      <c r="I1727" s="11" t="s">
        <v>667</v>
      </c>
      <c r="J1727" s="11" t="s">
        <v>672</v>
      </c>
    </row>
    <row r="1728" customFormat="false" ht="15" hidden="false" customHeight="false" outlineLevel="0" collapsed="false">
      <c r="A1728" s="11" t="s">
        <v>427</v>
      </c>
      <c r="B1728" s="11" t="s">
        <v>428</v>
      </c>
      <c r="C1728" s="11" t="n">
        <v>2017</v>
      </c>
      <c r="D1728" s="11" t="s">
        <v>18</v>
      </c>
      <c r="E1728" s="17" t="n">
        <v>57635162</v>
      </c>
      <c r="F1728" s="11" t="s">
        <v>98</v>
      </c>
      <c r="G1728" s="11" t="s">
        <v>99</v>
      </c>
      <c r="H1728" s="11" t="s">
        <v>671</v>
      </c>
      <c r="I1728" s="11" t="s">
        <v>667</v>
      </c>
      <c r="J1728" s="11" t="s">
        <v>672</v>
      </c>
    </row>
    <row r="1729" customFormat="false" ht="15" hidden="false" customHeight="false" outlineLevel="0" collapsed="false">
      <c r="A1729" s="11" t="s">
        <v>427</v>
      </c>
      <c r="B1729" s="11" t="s">
        <v>428</v>
      </c>
      <c r="C1729" s="11" t="n">
        <v>2018</v>
      </c>
      <c r="D1729" s="11" t="s">
        <v>18</v>
      </c>
      <c r="E1729" s="17" t="n">
        <v>58613001</v>
      </c>
      <c r="F1729" s="11" t="s">
        <v>98</v>
      </c>
      <c r="G1729" s="11" t="s">
        <v>99</v>
      </c>
      <c r="H1729" s="11" t="s">
        <v>671</v>
      </c>
      <c r="I1729" s="11" t="s">
        <v>667</v>
      </c>
      <c r="J1729" s="11" t="s">
        <v>672</v>
      </c>
    </row>
    <row r="1730" customFormat="false" ht="15" hidden="false" customHeight="false" outlineLevel="0" collapsed="false">
      <c r="A1730" s="11" t="s">
        <v>427</v>
      </c>
      <c r="B1730" s="11" t="s">
        <v>428</v>
      </c>
      <c r="C1730" s="11" t="n">
        <v>2019</v>
      </c>
      <c r="D1730" s="11" t="s">
        <v>18</v>
      </c>
      <c r="E1730" s="17" t="n">
        <v>59587885</v>
      </c>
      <c r="F1730" s="11" t="s">
        <v>98</v>
      </c>
      <c r="G1730" s="11" t="s">
        <v>99</v>
      </c>
      <c r="H1730" s="11" t="s">
        <v>671</v>
      </c>
      <c r="I1730" s="11" t="s">
        <v>667</v>
      </c>
      <c r="J1730" s="11" t="s">
        <v>672</v>
      </c>
    </row>
    <row r="1731" customFormat="false" ht="15" hidden="false" customHeight="false" outlineLevel="0" collapsed="false">
      <c r="A1731" s="11" t="s">
        <v>427</v>
      </c>
      <c r="B1731" s="11" t="s">
        <v>428</v>
      </c>
      <c r="C1731" s="11" t="n">
        <v>2020</v>
      </c>
      <c r="D1731" s="11" t="s">
        <v>18</v>
      </c>
      <c r="E1731" s="17" t="n">
        <v>60562381</v>
      </c>
      <c r="F1731" s="11" t="s">
        <v>98</v>
      </c>
      <c r="G1731" s="11" t="s">
        <v>99</v>
      </c>
      <c r="H1731" s="11" t="s">
        <v>671</v>
      </c>
      <c r="I1731" s="11" t="s">
        <v>667</v>
      </c>
      <c r="J1731" s="11" t="s">
        <v>672</v>
      </c>
    </row>
    <row r="1732" customFormat="false" ht="15" hidden="false" customHeight="false" outlineLevel="0" collapsed="false">
      <c r="A1732" s="11" t="s">
        <v>427</v>
      </c>
      <c r="B1732" s="11" t="s">
        <v>428</v>
      </c>
      <c r="C1732" s="11" t="n">
        <v>2021</v>
      </c>
      <c r="D1732" s="11" t="s">
        <v>18</v>
      </c>
      <c r="E1732" s="17" t="n">
        <v>61502603</v>
      </c>
      <c r="F1732" s="11" t="s">
        <v>98</v>
      </c>
      <c r="G1732" s="11" t="s">
        <v>99</v>
      </c>
      <c r="H1732" s="11" t="s">
        <v>671</v>
      </c>
      <c r="I1732" s="11" t="s">
        <v>667</v>
      </c>
      <c r="J1732" s="11" t="s">
        <v>672</v>
      </c>
    </row>
    <row r="1733" customFormat="false" ht="15" hidden="false" customHeight="false" outlineLevel="0" collapsed="false">
      <c r="A1733" s="11" t="s">
        <v>427</v>
      </c>
      <c r="B1733" s="11" t="s">
        <v>428</v>
      </c>
      <c r="C1733" s="11" t="n">
        <v>2022</v>
      </c>
      <c r="D1733" s="11" t="s">
        <v>18</v>
      </c>
      <c r="E1733" s="17" t="n">
        <v>62378410</v>
      </c>
      <c r="F1733" s="11" t="s">
        <v>98</v>
      </c>
      <c r="G1733" s="11" t="s">
        <v>99</v>
      </c>
      <c r="H1733" s="11" t="s">
        <v>671</v>
      </c>
      <c r="I1733" s="11" t="s">
        <v>667</v>
      </c>
      <c r="J1733" s="11" t="s">
        <v>672</v>
      </c>
    </row>
  </sheetData>
  <autoFilter ref="A1:J17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6"/>
    <col collapsed="false" customWidth="true" hidden="false" outlineLevel="0" max="4" min="4" style="0" width="10"/>
    <col collapsed="false" customWidth="true" hidden="false" outlineLevel="0" max="7" min="5" style="0" width="14"/>
    <col collapsed="false" customWidth="true" hidden="false" outlineLevel="0" max="9" min="8" style="0" width="16"/>
  </cols>
  <sheetData>
    <row r="1" customFormat="false" ht="15" hidden="false" customHeight="false" outlineLevel="0" collapsed="false">
      <c r="A1" s="6" t="s">
        <v>61</v>
      </c>
      <c r="B1" s="6" t="s">
        <v>62</v>
      </c>
      <c r="C1" s="6" t="s">
        <v>63</v>
      </c>
      <c r="D1" s="6" t="s">
        <v>64</v>
      </c>
      <c r="E1" s="6" t="s">
        <v>698</v>
      </c>
      <c r="F1" s="6" t="s">
        <v>699</v>
      </c>
      <c r="G1" s="6" t="s">
        <v>700</v>
      </c>
      <c r="H1" s="6" t="s">
        <v>701</v>
      </c>
      <c r="I1" s="6" t="s">
        <v>702</v>
      </c>
    </row>
    <row r="2" customFormat="false" ht="15" hidden="false" customHeight="false" outlineLevel="0" collapsed="false">
      <c r="A2" s="9" t="s">
        <v>94</v>
      </c>
      <c r="B2" s="9" t="s">
        <v>95</v>
      </c>
      <c r="C2" s="9" t="s">
        <v>96</v>
      </c>
      <c r="D2" s="9" t="s">
        <v>97</v>
      </c>
      <c r="E2" s="9" t="n">
        <v>1</v>
      </c>
      <c r="F2" s="9" t="n">
        <v>1</v>
      </c>
      <c r="G2" s="9" t="n">
        <v>1</v>
      </c>
      <c r="H2" s="9" t="s">
        <v>703</v>
      </c>
      <c r="I2" s="9" t="s">
        <v>704</v>
      </c>
    </row>
    <row r="3" customFormat="false" ht="15" hidden="false" customHeight="false" outlineLevel="0" collapsed="false">
      <c r="A3" s="9" t="s">
        <v>111</v>
      </c>
      <c r="B3" s="9" t="s">
        <v>112</v>
      </c>
      <c r="C3" s="9" t="s">
        <v>113</v>
      </c>
      <c r="D3" s="9" t="s">
        <v>114</v>
      </c>
      <c r="E3" s="9" t="n">
        <v>0</v>
      </c>
      <c r="F3" s="9" t="n">
        <v>1</v>
      </c>
      <c r="G3" s="9" t="n">
        <v>0</v>
      </c>
      <c r="H3" s="9"/>
      <c r="I3" s="9" t="s">
        <v>705</v>
      </c>
    </row>
    <row r="4" customFormat="false" ht="15" hidden="false" customHeight="false" outlineLevel="0" collapsed="false">
      <c r="A4" s="9" t="s">
        <v>130</v>
      </c>
      <c r="B4" s="9" t="s">
        <v>131</v>
      </c>
      <c r="C4" s="9" t="s">
        <v>132</v>
      </c>
      <c r="D4" s="9" t="s">
        <v>133</v>
      </c>
      <c r="E4" s="9" t="n">
        <v>1</v>
      </c>
      <c r="F4" s="9" t="n">
        <v>0</v>
      </c>
      <c r="G4" s="9" t="n">
        <v>0</v>
      </c>
      <c r="H4" s="9" t="s">
        <v>706</v>
      </c>
      <c r="I4" s="9"/>
    </row>
    <row r="5" customFormat="false" ht="15" hidden="false" customHeight="false" outlineLevel="0" collapsed="false">
      <c r="A5" s="9" t="s">
        <v>136</v>
      </c>
      <c r="B5" s="9" t="s">
        <v>137</v>
      </c>
      <c r="C5" s="9" t="s">
        <v>138</v>
      </c>
      <c r="D5" s="9" t="s">
        <v>139</v>
      </c>
      <c r="E5" s="9" t="n">
        <v>1</v>
      </c>
      <c r="F5" s="9" t="n">
        <v>0</v>
      </c>
      <c r="G5" s="9" t="n">
        <v>0</v>
      </c>
      <c r="H5" s="9" t="s">
        <v>707</v>
      </c>
      <c r="I5" s="9"/>
    </row>
    <row r="6" customFormat="false" ht="15" hidden="false" customHeight="false" outlineLevel="0" collapsed="false">
      <c r="A6" s="9" t="s">
        <v>145</v>
      </c>
      <c r="B6" s="9" t="s">
        <v>146</v>
      </c>
      <c r="C6" s="9" t="s">
        <v>147</v>
      </c>
      <c r="D6" s="9" t="s">
        <v>148</v>
      </c>
      <c r="E6" s="9" t="n">
        <v>1</v>
      </c>
      <c r="F6" s="9" t="n">
        <v>0</v>
      </c>
      <c r="G6" s="9" t="n">
        <v>0</v>
      </c>
      <c r="H6" s="9" t="s">
        <v>708</v>
      </c>
      <c r="I6" s="9"/>
    </row>
    <row r="7" customFormat="false" ht="15" hidden="false" customHeight="false" outlineLevel="0" collapsed="false">
      <c r="A7" s="9" t="s">
        <v>163</v>
      </c>
      <c r="B7" s="9" t="s">
        <v>164</v>
      </c>
      <c r="C7" s="9" t="s">
        <v>165</v>
      </c>
      <c r="D7" s="9" t="s">
        <v>166</v>
      </c>
      <c r="E7" s="9" t="n">
        <v>1</v>
      </c>
      <c r="F7" s="9" t="n">
        <v>1</v>
      </c>
      <c r="G7" s="9" t="n">
        <v>1</v>
      </c>
      <c r="H7" s="9" t="s">
        <v>709</v>
      </c>
      <c r="I7" s="9" t="s">
        <v>710</v>
      </c>
    </row>
    <row r="8" customFormat="false" ht="15" hidden="false" customHeight="false" outlineLevel="0" collapsed="false">
      <c r="A8" s="9" t="s">
        <v>178</v>
      </c>
      <c r="B8" s="9" t="s">
        <v>179</v>
      </c>
      <c r="C8" s="9" t="s">
        <v>180</v>
      </c>
      <c r="D8" s="9" t="s">
        <v>181</v>
      </c>
      <c r="E8" s="9" t="n">
        <v>1</v>
      </c>
      <c r="F8" s="9" t="n">
        <v>1</v>
      </c>
      <c r="G8" s="9" t="n">
        <v>1</v>
      </c>
      <c r="H8" s="9" t="s">
        <v>711</v>
      </c>
      <c r="I8" s="9" t="s">
        <v>712</v>
      </c>
    </row>
    <row r="9" customFormat="false" ht="15" hidden="false" customHeight="false" outlineLevel="0" collapsed="false">
      <c r="A9" s="9" t="s">
        <v>194</v>
      </c>
      <c r="B9" s="9" t="s">
        <v>195</v>
      </c>
      <c r="C9" s="9" t="s">
        <v>196</v>
      </c>
      <c r="D9" s="9" t="s">
        <v>197</v>
      </c>
      <c r="E9" s="9" t="n">
        <v>1</v>
      </c>
      <c r="F9" s="9" t="n">
        <v>1</v>
      </c>
      <c r="G9" s="9" t="n">
        <v>1</v>
      </c>
      <c r="H9" s="9" t="s">
        <v>713</v>
      </c>
      <c r="I9" s="9" t="s">
        <v>714</v>
      </c>
    </row>
    <row r="10" customFormat="false" ht="15" hidden="false" customHeight="false" outlineLevel="0" collapsed="false">
      <c r="A10" s="9" t="s">
        <v>201</v>
      </c>
      <c r="B10" s="9" t="s">
        <v>202</v>
      </c>
      <c r="C10" s="9" t="s">
        <v>203</v>
      </c>
      <c r="D10" s="9" t="s">
        <v>204</v>
      </c>
      <c r="E10" s="9" t="n">
        <v>1</v>
      </c>
      <c r="F10" s="9" t="n">
        <v>1</v>
      </c>
      <c r="G10" s="9" t="n">
        <v>1</v>
      </c>
      <c r="H10" s="9" t="s">
        <v>715</v>
      </c>
      <c r="I10" s="9" t="s">
        <v>716</v>
      </c>
    </row>
    <row r="11" customFormat="false" ht="15" hidden="false" customHeight="false" outlineLevel="0" collapsed="false">
      <c r="A11" s="9" t="s">
        <v>207</v>
      </c>
      <c r="B11" s="9" t="s">
        <v>208</v>
      </c>
      <c r="C11" s="9" t="s">
        <v>209</v>
      </c>
      <c r="D11" s="9" t="s">
        <v>210</v>
      </c>
      <c r="E11" s="9" t="n">
        <v>1</v>
      </c>
      <c r="F11" s="9" t="n">
        <v>1</v>
      </c>
      <c r="G11" s="9" t="n">
        <v>1</v>
      </c>
      <c r="H11" s="9" t="s">
        <v>717</v>
      </c>
      <c r="I11" s="9" t="s">
        <v>718</v>
      </c>
    </row>
    <row r="12" customFormat="false" ht="15" hidden="false" customHeight="false" outlineLevel="0" collapsed="false">
      <c r="A12" s="9" t="s">
        <v>213</v>
      </c>
      <c r="B12" s="9" t="s">
        <v>214</v>
      </c>
      <c r="C12" s="9" t="s">
        <v>215</v>
      </c>
      <c r="D12" s="9" t="s">
        <v>216</v>
      </c>
      <c r="E12" s="9" t="n">
        <v>1</v>
      </c>
      <c r="F12" s="9" t="n">
        <v>1</v>
      </c>
      <c r="G12" s="9" t="n">
        <v>1</v>
      </c>
      <c r="H12" s="9" t="s">
        <v>719</v>
      </c>
      <c r="I12" s="9" t="s">
        <v>720</v>
      </c>
    </row>
    <row r="13" customFormat="false" ht="15" hidden="false" customHeight="false" outlineLevel="0" collapsed="false">
      <c r="A13" s="9" t="s">
        <v>221</v>
      </c>
      <c r="B13" s="9" t="s">
        <v>222</v>
      </c>
      <c r="C13" s="9" t="s">
        <v>223</v>
      </c>
      <c r="D13" s="9" t="s">
        <v>224</v>
      </c>
      <c r="E13" s="9" t="n">
        <v>1</v>
      </c>
      <c r="F13" s="9" t="n">
        <v>1</v>
      </c>
      <c r="G13" s="9" t="n">
        <v>1</v>
      </c>
      <c r="H13" s="9" t="s">
        <v>721</v>
      </c>
      <c r="I13" s="9" t="s">
        <v>722</v>
      </c>
    </row>
    <row r="14" customFormat="false" ht="15" hidden="false" customHeight="false" outlineLevel="0" collapsed="false">
      <c r="A14" s="9" t="s">
        <v>231</v>
      </c>
      <c r="B14" s="9" t="s">
        <v>232</v>
      </c>
      <c r="C14" s="9" t="s">
        <v>233</v>
      </c>
      <c r="D14" s="9" t="s">
        <v>234</v>
      </c>
      <c r="E14" s="9" t="n">
        <v>0</v>
      </c>
      <c r="F14" s="9" t="n">
        <v>1</v>
      </c>
      <c r="G14" s="9" t="n">
        <v>0</v>
      </c>
      <c r="H14" s="9"/>
      <c r="I14" s="9" t="s">
        <v>723</v>
      </c>
    </row>
    <row r="15" customFormat="false" ht="15" hidden="false" customHeight="false" outlineLevel="0" collapsed="false">
      <c r="A15" s="9" t="s">
        <v>237</v>
      </c>
      <c r="B15" s="9" t="s">
        <v>238</v>
      </c>
      <c r="C15" s="9" t="s">
        <v>239</v>
      </c>
      <c r="D15" s="9" t="s">
        <v>240</v>
      </c>
      <c r="E15" s="9" t="n">
        <v>0</v>
      </c>
      <c r="F15" s="9" t="n">
        <v>1</v>
      </c>
      <c r="G15" s="9" t="n">
        <v>0</v>
      </c>
      <c r="H15" s="9"/>
      <c r="I15" s="9" t="s">
        <v>724</v>
      </c>
    </row>
    <row r="16" customFormat="false" ht="15" hidden="false" customHeight="false" outlineLevel="0" collapsed="false">
      <c r="A16" s="9" t="s">
        <v>244</v>
      </c>
      <c r="B16" s="9" t="s">
        <v>245</v>
      </c>
      <c r="C16" s="9" t="s">
        <v>246</v>
      </c>
      <c r="D16" s="9" t="s">
        <v>247</v>
      </c>
      <c r="E16" s="9" t="n">
        <v>0</v>
      </c>
      <c r="F16" s="9" t="n">
        <v>1</v>
      </c>
      <c r="G16" s="9" t="n">
        <v>0</v>
      </c>
      <c r="H16" s="9"/>
      <c r="I16" s="9" t="s">
        <v>725</v>
      </c>
    </row>
    <row r="17" customFormat="false" ht="15" hidden="false" customHeight="false" outlineLevel="0" collapsed="false">
      <c r="A17" s="9" t="s">
        <v>251</v>
      </c>
      <c r="B17" s="9" t="s">
        <v>252</v>
      </c>
      <c r="C17" s="9" t="s">
        <v>253</v>
      </c>
      <c r="D17" s="9" t="s">
        <v>254</v>
      </c>
      <c r="E17" s="9" t="n">
        <v>1</v>
      </c>
      <c r="F17" s="9" t="n">
        <v>1</v>
      </c>
      <c r="G17" s="9" t="n">
        <v>1</v>
      </c>
      <c r="H17" s="9" t="s">
        <v>726</v>
      </c>
      <c r="I17" s="9" t="s">
        <v>727</v>
      </c>
    </row>
    <row r="18" customFormat="false" ht="15" hidden="false" customHeight="false" outlineLevel="0" collapsed="false">
      <c r="A18" s="9" t="s">
        <v>261</v>
      </c>
      <c r="B18" s="9" t="s">
        <v>262</v>
      </c>
      <c r="C18" s="9" t="s">
        <v>263</v>
      </c>
      <c r="D18" s="9" t="s">
        <v>264</v>
      </c>
      <c r="E18" s="9" t="n">
        <v>1</v>
      </c>
      <c r="F18" s="9" t="n">
        <v>1</v>
      </c>
      <c r="G18" s="9" t="n">
        <v>1</v>
      </c>
      <c r="H18" s="9" t="s">
        <v>728</v>
      </c>
      <c r="I18" s="9" t="s">
        <v>729</v>
      </c>
    </row>
    <row r="19" customFormat="false" ht="15" hidden="false" customHeight="false" outlineLevel="0" collapsed="false">
      <c r="A19" s="9" t="s">
        <v>282</v>
      </c>
      <c r="B19" s="9" t="s">
        <v>283</v>
      </c>
      <c r="C19" s="9" t="s">
        <v>284</v>
      </c>
      <c r="D19" s="9" t="s">
        <v>285</v>
      </c>
      <c r="E19" s="9" t="n">
        <v>1</v>
      </c>
      <c r="F19" s="9" t="n">
        <v>1</v>
      </c>
      <c r="G19" s="9" t="n">
        <v>1</v>
      </c>
      <c r="H19" s="9" t="s">
        <v>730</v>
      </c>
      <c r="I19" s="9" t="s">
        <v>731</v>
      </c>
    </row>
    <row r="20" customFormat="false" ht="15" hidden="false" customHeight="false" outlineLevel="0" collapsed="false">
      <c r="A20" s="9" t="s">
        <v>302</v>
      </c>
      <c r="B20" s="9" t="s">
        <v>303</v>
      </c>
      <c r="C20" s="9" t="s">
        <v>304</v>
      </c>
      <c r="D20" s="9" t="s">
        <v>305</v>
      </c>
      <c r="E20" s="9" t="n">
        <v>1</v>
      </c>
      <c r="F20" s="9" t="n">
        <v>0</v>
      </c>
      <c r="G20" s="9" t="n">
        <v>0</v>
      </c>
      <c r="H20" s="9" t="s">
        <v>732</v>
      </c>
      <c r="I20" s="9"/>
    </row>
    <row r="21" customFormat="false" ht="15" hidden="false" customHeight="false" outlineLevel="0" collapsed="false">
      <c r="A21" s="9" t="s">
        <v>321</v>
      </c>
      <c r="B21" s="9" t="s">
        <v>322</v>
      </c>
      <c r="C21" s="9" t="s">
        <v>323</v>
      </c>
      <c r="D21" s="9" t="s">
        <v>324</v>
      </c>
      <c r="E21" s="9" t="n">
        <v>1</v>
      </c>
      <c r="F21" s="9" t="n">
        <v>0</v>
      </c>
      <c r="G21" s="9" t="n">
        <v>0</v>
      </c>
      <c r="H21" s="9" t="s">
        <v>733</v>
      </c>
      <c r="I21" s="9"/>
    </row>
    <row r="22" customFormat="false" ht="15" hidden="false" customHeight="false" outlineLevel="0" collapsed="false">
      <c r="A22" s="9" t="s">
        <v>327</v>
      </c>
      <c r="B22" s="9" t="s">
        <v>328</v>
      </c>
      <c r="C22" s="9" t="s">
        <v>329</v>
      </c>
      <c r="D22" s="9" t="s">
        <v>330</v>
      </c>
      <c r="E22" s="9" t="n">
        <v>0</v>
      </c>
      <c r="F22" s="9" t="n">
        <v>1</v>
      </c>
      <c r="G22" s="9" t="n">
        <v>0</v>
      </c>
      <c r="H22" s="9"/>
      <c r="I22" s="9" t="s">
        <v>734</v>
      </c>
    </row>
    <row r="23" customFormat="false" ht="15" hidden="false" customHeight="false" outlineLevel="0" collapsed="false">
      <c r="A23" s="9" t="s">
        <v>343</v>
      </c>
      <c r="B23" s="9" t="s">
        <v>344</v>
      </c>
      <c r="C23" s="9" t="s">
        <v>345</v>
      </c>
      <c r="D23" s="9" t="s">
        <v>346</v>
      </c>
      <c r="E23" s="9" t="n">
        <v>1</v>
      </c>
      <c r="F23" s="9" t="n">
        <v>1</v>
      </c>
      <c r="G23" s="9" t="n">
        <v>1</v>
      </c>
      <c r="H23" s="9" t="s">
        <v>735</v>
      </c>
      <c r="I23" s="9" t="s">
        <v>736</v>
      </c>
    </row>
    <row r="24" customFormat="false" ht="15" hidden="false" customHeight="false" outlineLevel="0" collapsed="false">
      <c r="A24" s="9" t="s">
        <v>359</v>
      </c>
      <c r="B24" s="9" t="s">
        <v>360</v>
      </c>
      <c r="C24" s="9" t="s">
        <v>361</v>
      </c>
      <c r="D24" s="9" t="s">
        <v>362</v>
      </c>
      <c r="E24" s="9" t="n">
        <v>0</v>
      </c>
      <c r="F24" s="9" t="n">
        <v>1</v>
      </c>
      <c r="G24" s="9" t="n">
        <v>0</v>
      </c>
      <c r="H24" s="9"/>
      <c r="I24" s="9" t="s">
        <v>737</v>
      </c>
    </row>
    <row r="25" customFormat="false" ht="15" hidden="false" customHeight="false" outlineLevel="0" collapsed="false">
      <c r="A25" s="9" t="s">
        <v>378</v>
      </c>
      <c r="B25" s="9" t="s">
        <v>379</v>
      </c>
      <c r="C25" s="9" t="s">
        <v>380</v>
      </c>
      <c r="D25" s="9" t="s">
        <v>381</v>
      </c>
      <c r="E25" s="9" t="n">
        <v>1</v>
      </c>
      <c r="F25" s="9" t="n">
        <v>1</v>
      </c>
      <c r="G25" s="9" t="n">
        <v>1</v>
      </c>
      <c r="H25" s="9" t="s">
        <v>738</v>
      </c>
      <c r="I25" s="9" t="s">
        <v>739</v>
      </c>
    </row>
    <row r="26" customFormat="false" ht="15" hidden="false" customHeight="false" outlineLevel="0" collapsed="false">
      <c r="A26" s="9" t="s">
        <v>384</v>
      </c>
      <c r="B26" s="9" t="s">
        <v>385</v>
      </c>
      <c r="C26" s="9" t="s">
        <v>386</v>
      </c>
      <c r="D26" s="9" t="s">
        <v>387</v>
      </c>
      <c r="E26" s="9" t="n">
        <v>1</v>
      </c>
      <c r="F26" s="9" t="n">
        <v>1</v>
      </c>
      <c r="G26" s="9" t="n">
        <v>1</v>
      </c>
      <c r="H26" s="9" t="s">
        <v>740</v>
      </c>
      <c r="I26" s="9" t="s">
        <v>741</v>
      </c>
    </row>
    <row r="27" customFormat="false" ht="15" hidden="false" customHeight="false" outlineLevel="0" collapsed="false">
      <c r="A27" s="9" t="s">
        <v>394</v>
      </c>
      <c r="B27" s="9" t="s">
        <v>395</v>
      </c>
      <c r="C27" s="9" t="s">
        <v>396</v>
      </c>
      <c r="D27" s="9" t="s">
        <v>397</v>
      </c>
      <c r="E27" s="9" t="n">
        <v>1</v>
      </c>
      <c r="F27" s="9" t="n">
        <v>1</v>
      </c>
      <c r="G27" s="9" t="n">
        <v>1</v>
      </c>
      <c r="H27" s="9" t="s">
        <v>742</v>
      </c>
      <c r="I27" s="9" t="s">
        <v>743</v>
      </c>
    </row>
    <row r="28" customFormat="false" ht="15" hidden="false" customHeight="false" outlineLevel="0" collapsed="false">
      <c r="A28" s="9" t="s">
        <v>400</v>
      </c>
      <c r="B28" s="9" t="s">
        <v>401</v>
      </c>
      <c r="C28" s="9" t="s">
        <v>402</v>
      </c>
      <c r="D28" s="9" t="s">
        <v>403</v>
      </c>
      <c r="E28" s="9" t="n">
        <v>1</v>
      </c>
      <c r="F28" s="9" t="n">
        <v>0</v>
      </c>
      <c r="G28" s="9" t="n">
        <v>0</v>
      </c>
      <c r="H28" s="9" t="s">
        <v>744</v>
      </c>
      <c r="I28" s="9"/>
    </row>
    <row r="29" customFormat="false" ht="15" hidden="false" customHeight="false" outlineLevel="0" collapsed="false">
      <c r="A29" s="9" t="s">
        <v>406</v>
      </c>
      <c r="B29" s="9" t="s">
        <v>407</v>
      </c>
      <c r="C29" s="9" t="s">
        <v>408</v>
      </c>
      <c r="D29" s="9" t="s">
        <v>409</v>
      </c>
      <c r="E29" s="9" t="n">
        <v>1</v>
      </c>
      <c r="F29" s="9" t="n">
        <v>1</v>
      </c>
      <c r="G29" s="9" t="n">
        <v>1</v>
      </c>
      <c r="H29" s="9" t="s">
        <v>745</v>
      </c>
      <c r="I29" s="9" t="s">
        <v>746</v>
      </c>
    </row>
    <row r="30" customFormat="false" ht="15" hidden="false" customHeight="false" outlineLevel="0" collapsed="false">
      <c r="A30" s="9" t="s">
        <v>415</v>
      </c>
      <c r="B30" s="9" t="s">
        <v>416</v>
      </c>
      <c r="C30" s="9" t="s">
        <v>417</v>
      </c>
      <c r="D30" s="9" t="s">
        <v>418</v>
      </c>
      <c r="E30" s="9" t="n">
        <v>1</v>
      </c>
      <c r="F30" s="9" t="n">
        <v>1</v>
      </c>
      <c r="G30" s="9" t="n">
        <v>1</v>
      </c>
      <c r="H30" s="9" t="s">
        <v>747</v>
      </c>
      <c r="I30" s="9" t="s">
        <v>748</v>
      </c>
    </row>
    <row r="31" customFormat="false" ht="15" hidden="false" customHeight="false" outlineLevel="0" collapsed="false">
      <c r="A31" s="9" t="s">
        <v>421</v>
      </c>
      <c r="B31" s="9" t="s">
        <v>422</v>
      </c>
      <c r="C31" s="9" t="s">
        <v>423</v>
      </c>
      <c r="D31" s="9" t="s">
        <v>424</v>
      </c>
      <c r="E31" s="9" t="n">
        <v>1</v>
      </c>
      <c r="F31" s="9" t="n">
        <v>1</v>
      </c>
      <c r="G31" s="9" t="n">
        <v>1</v>
      </c>
      <c r="H31" s="9" t="s">
        <v>749</v>
      </c>
      <c r="I31" s="9" t="s">
        <v>750</v>
      </c>
    </row>
    <row r="32" customFormat="false" ht="15" hidden="false" customHeight="false" outlineLevel="0" collapsed="false">
      <c r="A32" s="9" t="s">
        <v>427</v>
      </c>
      <c r="B32" s="9" t="s">
        <v>428</v>
      </c>
      <c r="C32" s="9" t="s">
        <v>429</v>
      </c>
      <c r="D32" s="9" t="s">
        <v>430</v>
      </c>
      <c r="E32" s="9" t="n">
        <v>1</v>
      </c>
      <c r="F32" s="9" t="n">
        <v>1</v>
      </c>
      <c r="G32" s="9" t="n">
        <v>1</v>
      </c>
      <c r="H32" s="9" t="s">
        <v>751</v>
      </c>
      <c r="I32" s="9" t="s">
        <v>752</v>
      </c>
    </row>
    <row r="33" customFormat="false" ht="15" hidden="false" customHeight="false" outlineLevel="0" collapsed="false">
      <c r="A33" s="9" t="s">
        <v>441</v>
      </c>
      <c r="B33" s="9" t="s">
        <v>442</v>
      </c>
      <c r="C33" s="9" t="s">
        <v>443</v>
      </c>
      <c r="D33" s="9" t="s">
        <v>444</v>
      </c>
      <c r="E33" s="9" t="n">
        <v>1</v>
      </c>
      <c r="F33" s="9" t="n">
        <v>0</v>
      </c>
      <c r="G33" s="9" t="n">
        <v>0</v>
      </c>
      <c r="H33" s="9" t="s">
        <v>753</v>
      </c>
      <c r="I33" s="9"/>
    </row>
    <row r="34" customFormat="false" ht="15" hidden="false" customHeight="false" outlineLevel="0" collapsed="false">
      <c r="A34" s="9" t="s">
        <v>455</v>
      </c>
      <c r="B34" s="9" t="s">
        <v>456</v>
      </c>
      <c r="C34" s="9" t="s">
        <v>457</v>
      </c>
      <c r="D34" s="9" t="s">
        <v>458</v>
      </c>
      <c r="E34" s="9" t="n">
        <v>0</v>
      </c>
      <c r="F34" s="9" t="n">
        <v>1</v>
      </c>
      <c r="G34" s="9" t="n">
        <v>0</v>
      </c>
      <c r="H34" s="9"/>
      <c r="I34" s="9" t="s">
        <v>754</v>
      </c>
    </row>
    <row r="35" customFormat="false" ht="15" hidden="false" customHeight="false" outlineLevel="0" collapsed="false">
      <c r="A35" s="9" t="s">
        <v>463</v>
      </c>
      <c r="B35" s="9" t="s">
        <v>464</v>
      </c>
      <c r="C35" s="9" t="s">
        <v>465</v>
      </c>
      <c r="D35" s="9" t="s">
        <v>466</v>
      </c>
      <c r="E35" s="9" t="n">
        <v>1</v>
      </c>
      <c r="F35" s="9" t="n">
        <v>0</v>
      </c>
      <c r="G35" s="9" t="n">
        <v>0</v>
      </c>
      <c r="H35" s="9" t="s">
        <v>755</v>
      </c>
      <c r="I35" s="9"/>
    </row>
    <row r="36" customFormat="false" ht="15" hidden="false" customHeight="false" outlineLevel="0" collapsed="false">
      <c r="A36" s="9" t="s">
        <v>470</v>
      </c>
      <c r="B36" s="9" t="s">
        <v>471</v>
      </c>
      <c r="C36" s="9" t="s">
        <v>472</v>
      </c>
      <c r="D36" s="9" t="s">
        <v>473</v>
      </c>
      <c r="E36" s="9" t="n">
        <v>1</v>
      </c>
      <c r="F36" s="9" t="n">
        <v>1</v>
      </c>
      <c r="G36" s="9" t="n">
        <v>1</v>
      </c>
      <c r="H36" s="9" t="s">
        <v>756</v>
      </c>
      <c r="I36" s="9" t="s">
        <v>757</v>
      </c>
    </row>
    <row r="37" customFormat="false" ht="15" hidden="false" customHeight="false" outlineLevel="0" collapsed="false">
      <c r="A37" s="9" t="s">
        <v>480</v>
      </c>
      <c r="B37" s="9" t="s">
        <v>481</v>
      </c>
      <c r="C37" s="9" t="s">
        <v>482</v>
      </c>
      <c r="D37" s="9" t="s">
        <v>483</v>
      </c>
      <c r="E37" s="9" t="n">
        <v>1</v>
      </c>
      <c r="F37" s="9" t="n">
        <v>1</v>
      </c>
      <c r="G37" s="9" t="n">
        <v>1</v>
      </c>
      <c r="H37" s="9" t="s">
        <v>758</v>
      </c>
      <c r="I37" s="9" t="s">
        <v>759</v>
      </c>
    </row>
    <row r="38" customFormat="false" ht="15" hidden="false" customHeight="false" outlineLevel="0" collapsed="false">
      <c r="A38" s="9" t="s">
        <v>510</v>
      </c>
      <c r="B38" s="9" t="s">
        <v>511</v>
      </c>
      <c r="C38" s="9" t="s">
        <v>512</v>
      </c>
      <c r="D38" s="9" t="s">
        <v>513</v>
      </c>
      <c r="E38" s="9" t="n">
        <v>0</v>
      </c>
      <c r="F38" s="9" t="n">
        <v>1</v>
      </c>
      <c r="G38" s="9" t="n">
        <v>0</v>
      </c>
      <c r="H38" s="9"/>
      <c r="I38" s="9" t="s">
        <v>760</v>
      </c>
    </row>
    <row r="39" customFormat="false" ht="15" hidden="false" customHeight="false" outlineLevel="0" collapsed="false">
      <c r="A39" s="9" t="s">
        <v>517</v>
      </c>
      <c r="B39" s="9" t="s">
        <v>518</v>
      </c>
      <c r="C39" s="9" t="s">
        <v>519</v>
      </c>
      <c r="D39" s="9" t="s">
        <v>520</v>
      </c>
      <c r="E39" s="9" t="n">
        <v>1</v>
      </c>
      <c r="F39" s="9" t="n">
        <v>0</v>
      </c>
      <c r="G39" s="9" t="n">
        <v>0</v>
      </c>
      <c r="H39" s="9" t="s">
        <v>761</v>
      </c>
      <c r="I39" s="9"/>
    </row>
    <row r="40" customFormat="false" ht="15" hidden="false" customHeight="false" outlineLevel="0" collapsed="false">
      <c r="A40" s="9" t="s">
        <v>537</v>
      </c>
      <c r="B40" s="9" t="s">
        <v>538</v>
      </c>
      <c r="C40" s="9" t="s">
        <v>539</v>
      </c>
      <c r="D40" s="9" t="s">
        <v>540</v>
      </c>
      <c r="E40" s="9" t="n">
        <v>1</v>
      </c>
      <c r="F40" s="9" t="n">
        <v>0</v>
      </c>
      <c r="G40" s="9" t="n">
        <v>0</v>
      </c>
      <c r="H40" s="9" t="s">
        <v>762</v>
      </c>
      <c r="I40" s="9"/>
    </row>
    <row r="41" customFormat="false" ht="15" hidden="false" customHeight="false" outlineLevel="0" collapsed="false">
      <c r="A41" s="9" t="s">
        <v>557</v>
      </c>
      <c r="B41" s="9" t="s">
        <v>558</v>
      </c>
      <c r="C41" s="9" t="s">
        <v>559</v>
      </c>
      <c r="D41" s="9" t="s">
        <v>560</v>
      </c>
      <c r="E41" s="9" t="n">
        <v>1</v>
      </c>
      <c r="F41" s="9" t="n">
        <v>1</v>
      </c>
      <c r="G41" s="9" t="n">
        <v>1</v>
      </c>
      <c r="H41" s="9" t="s">
        <v>763</v>
      </c>
      <c r="I41" s="9" t="s">
        <v>764</v>
      </c>
    </row>
    <row r="43" customFormat="false" ht="15" hidden="false" customHeight="false" outlineLevel="0" collapsed="false">
      <c r="A43" s="2" t="s">
        <v>765</v>
      </c>
    </row>
    <row r="44" customFormat="false" ht="15" hidden="false" customHeight="false" outlineLevel="0" collapsed="false">
      <c r="A44" s="2" t="s">
        <v>766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4" min="3" style="0" width="14"/>
    <col collapsed="false" customWidth="true" hidden="false" outlineLevel="0" max="5" min="5" style="0" width="16"/>
    <col collapsed="false" customWidth="true" hidden="false" outlineLevel="0" max="6" min="6" style="0" width="15"/>
    <col collapsed="false" customWidth="true" hidden="false" outlineLevel="0" max="8" min="7" style="0" width="20"/>
    <col collapsed="false" customWidth="true" hidden="false" outlineLevel="0" max="10" min="9" style="0" width="14"/>
  </cols>
  <sheetData>
    <row r="1" customFormat="false" ht="31.5" hidden="false" customHeight="true" outlineLevel="0" collapsed="false">
      <c r="A1" s="8" t="s">
        <v>61</v>
      </c>
      <c r="B1" s="8" t="s">
        <v>62</v>
      </c>
      <c r="C1" s="8" t="s">
        <v>18</v>
      </c>
      <c r="D1" s="8" t="s">
        <v>22</v>
      </c>
      <c r="E1" s="8" t="s">
        <v>26</v>
      </c>
      <c r="F1" s="8" t="s">
        <v>30</v>
      </c>
      <c r="G1" s="8" t="s">
        <v>34</v>
      </c>
      <c r="H1" s="8" t="s">
        <v>38</v>
      </c>
      <c r="I1" s="8" t="s">
        <v>767</v>
      </c>
      <c r="J1" s="8" t="s">
        <v>768</v>
      </c>
    </row>
    <row r="2" customFormat="false" ht="15" hidden="false" customHeight="false" outlineLevel="0" collapsed="false">
      <c r="A2" s="9" t="s">
        <v>94</v>
      </c>
      <c r="B2" s="9" t="s">
        <v>95</v>
      </c>
      <c r="C2" s="20" t="s">
        <v>769</v>
      </c>
      <c r="D2" s="20" t="s">
        <v>769</v>
      </c>
      <c r="E2" s="21" t="s">
        <v>770</v>
      </c>
      <c r="F2" s="21" t="s">
        <v>770</v>
      </c>
      <c r="G2" s="22" t="s">
        <v>771</v>
      </c>
      <c r="H2" s="21" t="s">
        <v>770</v>
      </c>
      <c r="I2" s="22" t="s">
        <v>772</v>
      </c>
      <c r="J2" s="22" t="s">
        <v>772</v>
      </c>
    </row>
    <row r="3" customFormat="false" ht="15" hidden="false" customHeight="false" outlineLevel="0" collapsed="false">
      <c r="A3" s="9" t="s">
        <v>111</v>
      </c>
      <c r="B3" s="9" t="s">
        <v>112</v>
      </c>
      <c r="C3" s="20" t="s">
        <v>769</v>
      </c>
      <c r="D3" s="20" t="s">
        <v>769</v>
      </c>
      <c r="E3" s="20" t="s">
        <v>769</v>
      </c>
      <c r="F3" s="23" t="s">
        <v>773</v>
      </c>
      <c r="G3" s="21" t="s">
        <v>770</v>
      </c>
      <c r="H3" s="20" t="s">
        <v>769</v>
      </c>
      <c r="I3" s="20" t="s">
        <v>774</v>
      </c>
      <c r="J3" s="20" t="s">
        <v>774</v>
      </c>
    </row>
    <row r="4" customFormat="false" ht="15" hidden="false" customHeight="false" outlineLevel="0" collapsed="false">
      <c r="A4" s="9" t="s">
        <v>130</v>
      </c>
      <c r="B4" s="9" t="s">
        <v>131</v>
      </c>
      <c r="C4" s="20" t="s">
        <v>769</v>
      </c>
      <c r="D4" s="20" t="s">
        <v>769</v>
      </c>
      <c r="E4" s="20" t="s">
        <v>769</v>
      </c>
      <c r="F4" s="21" t="s">
        <v>770</v>
      </c>
      <c r="G4" s="21" t="s">
        <v>770</v>
      </c>
      <c r="H4" s="20" t="s">
        <v>769</v>
      </c>
      <c r="I4" s="20" t="s">
        <v>774</v>
      </c>
      <c r="J4" s="20" t="s">
        <v>774</v>
      </c>
    </row>
    <row r="5" customFormat="false" ht="15" hidden="false" customHeight="false" outlineLevel="0" collapsed="false">
      <c r="A5" s="9" t="s">
        <v>136</v>
      </c>
      <c r="B5" s="9" t="s">
        <v>137</v>
      </c>
      <c r="C5" s="20" t="s">
        <v>769</v>
      </c>
      <c r="D5" s="20" t="s">
        <v>775</v>
      </c>
      <c r="E5" s="20" t="s">
        <v>769</v>
      </c>
      <c r="F5" s="21" t="s">
        <v>770</v>
      </c>
      <c r="G5" s="21" t="s">
        <v>770</v>
      </c>
      <c r="H5" s="20" t="s">
        <v>769</v>
      </c>
      <c r="I5" s="20" t="s">
        <v>774</v>
      </c>
      <c r="J5" s="20" t="s">
        <v>774</v>
      </c>
    </row>
    <row r="6" customFormat="false" ht="15" hidden="false" customHeight="false" outlineLevel="0" collapsed="false">
      <c r="A6" s="9" t="s">
        <v>145</v>
      </c>
      <c r="B6" s="9" t="s">
        <v>146</v>
      </c>
      <c r="C6" s="20" t="s">
        <v>769</v>
      </c>
      <c r="D6" s="20" t="s">
        <v>776</v>
      </c>
      <c r="E6" s="22" t="s">
        <v>777</v>
      </c>
      <c r="F6" s="22" t="s">
        <v>778</v>
      </c>
      <c r="G6" s="21" t="s">
        <v>770</v>
      </c>
      <c r="H6" s="21" t="s">
        <v>770</v>
      </c>
      <c r="I6" s="22" t="s">
        <v>772</v>
      </c>
      <c r="J6" s="20" t="s">
        <v>774</v>
      </c>
    </row>
    <row r="7" customFormat="false" ht="15" hidden="false" customHeight="false" outlineLevel="0" collapsed="false">
      <c r="A7" s="9" t="s">
        <v>163</v>
      </c>
      <c r="B7" s="9" t="s">
        <v>164</v>
      </c>
      <c r="C7" s="20" t="s">
        <v>769</v>
      </c>
      <c r="D7" s="22" t="s">
        <v>771</v>
      </c>
      <c r="E7" s="23" t="s">
        <v>779</v>
      </c>
      <c r="F7" s="21" t="s">
        <v>770</v>
      </c>
      <c r="G7" s="21" t="s">
        <v>770</v>
      </c>
      <c r="H7" s="21" t="s">
        <v>770</v>
      </c>
      <c r="I7" s="23" t="s">
        <v>780</v>
      </c>
      <c r="J7" s="23" t="s">
        <v>780</v>
      </c>
    </row>
    <row r="8" customFormat="false" ht="15" hidden="false" customHeight="false" outlineLevel="0" collapsed="false">
      <c r="A8" s="9" t="s">
        <v>178</v>
      </c>
      <c r="B8" s="9" t="s">
        <v>179</v>
      </c>
      <c r="C8" s="20" t="s">
        <v>769</v>
      </c>
      <c r="D8" s="20" t="s">
        <v>776</v>
      </c>
      <c r="E8" s="20" t="s">
        <v>776</v>
      </c>
      <c r="F8" s="21" t="s">
        <v>770</v>
      </c>
      <c r="G8" s="21" t="s">
        <v>770</v>
      </c>
      <c r="H8" s="22" t="s">
        <v>781</v>
      </c>
      <c r="I8" s="20" t="s">
        <v>774</v>
      </c>
      <c r="J8" s="20" t="s">
        <v>774</v>
      </c>
    </row>
    <row r="9" customFormat="false" ht="15" hidden="false" customHeight="false" outlineLevel="0" collapsed="false">
      <c r="A9" s="9" t="s">
        <v>194</v>
      </c>
      <c r="B9" s="9" t="s">
        <v>195</v>
      </c>
      <c r="C9" s="20" t="s">
        <v>769</v>
      </c>
      <c r="D9" s="20" t="s">
        <v>769</v>
      </c>
      <c r="E9" s="20" t="s">
        <v>769</v>
      </c>
      <c r="F9" s="23" t="s">
        <v>773</v>
      </c>
      <c r="G9" s="21" t="s">
        <v>770</v>
      </c>
      <c r="H9" s="20" t="s">
        <v>769</v>
      </c>
      <c r="I9" s="20" t="s">
        <v>774</v>
      </c>
      <c r="J9" s="20" t="s">
        <v>774</v>
      </c>
    </row>
    <row r="10" customFormat="false" ht="15" hidden="false" customHeight="false" outlineLevel="0" collapsed="false">
      <c r="A10" s="9" t="s">
        <v>201</v>
      </c>
      <c r="B10" s="9" t="s">
        <v>202</v>
      </c>
      <c r="C10" s="20" t="s">
        <v>769</v>
      </c>
      <c r="D10" s="20" t="s">
        <v>769</v>
      </c>
      <c r="E10" s="20" t="s">
        <v>769</v>
      </c>
      <c r="F10" s="21" t="s">
        <v>770</v>
      </c>
      <c r="G10" s="21" t="s">
        <v>770</v>
      </c>
      <c r="H10" s="20" t="s">
        <v>769</v>
      </c>
      <c r="I10" s="20" t="s">
        <v>774</v>
      </c>
      <c r="J10" s="20" t="s">
        <v>774</v>
      </c>
    </row>
    <row r="11" customFormat="false" ht="15" hidden="false" customHeight="false" outlineLevel="0" collapsed="false">
      <c r="A11" s="9" t="s">
        <v>207</v>
      </c>
      <c r="B11" s="9" t="s">
        <v>208</v>
      </c>
      <c r="C11" s="20" t="s">
        <v>769</v>
      </c>
      <c r="D11" s="20" t="s">
        <v>769</v>
      </c>
      <c r="E11" s="20" t="s">
        <v>769</v>
      </c>
      <c r="F11" s="21" t="s">
        <v>770</v>
      </c>
      <c r="G11" s="21" t="s">
        <v>770</v>
      </c>
      <c r="H11" s="20" t="s">
        <v>769</v>
      </c>
      <c r="I11" s="20" t="s">
        <v>774</v>
      </c>
      <c r="J11" s="20" t="s">
        <v>774</v>
      </c>
    </row>
    <row r="12" customFormat="false" ht="15" hidden="false" customHeight="false" outlineLevel="0" collapsed="false">
      <c r="A12" s="9" t="s">
        <v>213</v>
      </c>
      <c r="B12" s="9" t="s">
        <v>214</v>
      </c>
      <c r="C12" s="20" t="s">
        <v>769</v>
      </c>
      <c r="D12" s="20" t="s">
        <v>769</v>
      </c>
      <c r="E12" s="20" t="s">
        <v>769</v>
      </c>
      <c r="F12" s="22" t="s">
        <v>782</v>
      </c>
      <c r="G12" s="21" t="s">
        <v>770</v>
      </c>
      <c r="H12" s="20" t="s">
        <v>769</v>
      </c>
      <c r="I12" s="20" t="s">
        <v>774</v>
      </c>
      <c r="J12" s="20" t="s">
        <v>774</v>
      </c>
    </row>
    <row r="13" customFormat="false" ht="15" hidden="false" customHeight="false" outlineLevel="0" collapsed="false">
      <c r="A13" s="9" t="s">
        <v>221</v>
      </c>
      <c r="B13" s="9" t="s">
        <v>222</v>
      </c>
      <c r="C13" s="20" t="s">
        <v>769</v>
      </c>
      <c r="D13" s="20" t="s">
        <v>769</v>
      </c>
      <c r="E13" s="20" t="s">
        <v>769</v>
      </c>
      <c r="F13" s="22" t="s">
        <v>782</v>
      </c>
      <c r="G13" s="21" t="s">
        <v>770</v>
      </c>
      <c r="H13" s="20" t="s">
        <v>769</v>
      </c>
      <c r="I13" s="20" t="s">
        <v>774</v>
      </c>
      <c r="J13" s="20" t="s">
        <v>774</v>
      </c>
    </row>
    <row r="14" customFormat="false" ht="15" hidden="false" customHeight="false" outlineLevel="0" collapsed="false">
      <c r="A14" s="9" t="s">
        <v>231</v>
      </c>
      <c r="B14" s="9" t="s">
        <v>232</v>
      </c>
      <c r="C14" s="20" t="s">
        <v>769</v>
      </c>
      <c r="D14" s="20" t="s">
        <v>769</v>
      </c>
      <c r="E14" s="20" t="s">
        <v>769</v>
      </c>
      <c r="F14" s="21" t="s">
        <v>770</v>
      </c>
      <c r="G14" s="21" t="s">
        <v>770</v>
      </c>
      <c r="H14" s="20" t="s">
        <v>769</v>
      </c>
      <c r="I14" s="20" t="s">
        <v>774</v>
      </c>
      <c r="J14" s="20" t="s">
        <v>774</v>
      </c>
    </row>
    <row r="15" customFormat="false" ht="15" hidden="false" customHeight="false" outlineLevel="0" collapsed="false">
      <c r="A15" s="9" t="s">
        <v>237</v>
      </c>
      <c r="B15" s="9" t="s">
        <v>238</v>
      </c>
      <c r="C15" s="20" t="s">
        <v>769</v>
      </c>
      <c r="D15" s="20" t="s">
        <v>769</v>
      </c>
      <c r="E15" s="20" t="s">
        <v>769</v>
      </c>
      <c r="F15" s="21" t="s">
        <v>770</v>
      </c>
      <c r="G15" s="21" t="s">
        <v>770</v>
      </c>
      <c r="H15" s="22" t="s">
        <v>771</v>
      </c>
      <c r="I15" s="20" t="s">
        <v>774</v>
      </c>
      <c r="J15" s="20" t="s">
        <v>774</v>
      </c>
    </row>
    <row r="16" customFormat="false" ht="15" hidden="false" customHeight="false" outlineLevel="0" collapsed="false">
      <c r="A16" s="9" t="s">
        <v>244</v>
      </c>
      <c r="B16" s="9" t="s">
        <v>245</v>
      </c>
      <c r="C16" s="20" t="s">
        <v>769</v>
      </c>
      <c r="D16" s="22" t="s">
        <v>782</v>
      </c>
      <c r="E16" s="21" t="s">
        <v>770</v>
      </c>
      <c r="F16" s="21" t="s">
        <v>770</v>
      </c>
      <c r="G16" s="21" t="s">
        <v>770</v>
      </c>
      <c r="H16" s="21" t="s">
        <v>770</v>
      </c>
      <c r="I16" s="22" t="s">
        <v>772</v>
      </c>
      <c r="J16" s="23" t="s">
        <v>780</v>
      </c>
    </row>
    <row r="17" customFormat="false" ht="15" hidden="false" customHeight="false" outlineLevel="0" collapsed="false">
      <c r="A17" s="9" t="s">
        <v>251</v>
      </c>
      <c r="B17" s="9" t="s">
        <v>252</v>
      </c>
      <c r="C17" s="20" t="s">
        <v>769</v>
      </c>
      <c r="D17" s="20" t="s">
        <v>769</v>
      </c>
      <c r="E17" s="21" t="s">
        <v>770</v>
      </c>
      <c r="F17" s="23" t="s">
        <v>779</v>
      </c>
      <c r="G17" s="21" t="s">
        <v>770</v>
      </c>
      <c r="H17" s="21" t="s">
        <v>770</v>
      </c>
      <c r="I17" s="22" t="s">
        <v>772</v>
      </c>
      <c r="J17" s="22" t="s">
        <v>772</v>
      </c>
    </row>
    <row r="18" customFormat="false" ht="15" hidden="false" customHeight="false" outlineLevel="0" collapsed="false">
      <c r="A18" s="9" t="s">
        <v>261</v>
      </c>
      <c r="B18" s="9" t="s">
        <v>262</v>
      </c>
      <c r="C18" s="20" t="s">
        <v>769</v>
      </c>
      <c r="D18" s="20" t="s">
        <v>769</v>
      </c>
      <c r="E18" s="20" t="s">
        <v>769</v>
      </c>
      <c r="F18" s="22" t="s">
        <v>783</v>
      </c>
      <c r="G18" s="21" t="s">
        <v>770</v>
      </c>
      <c r="H18" s="20" t="s">
        <v>769</v>
      </c>
      <c r="I18" s="20" t="s">
        <v>774</v>
      </c>
      <c r="J18" s="20" t="s">
        <v>774</v>
      </c>
    </row>
    <row r="19" customFormat="false" ht="15" hidden="false" customHeight="false" outlineLevel="0" collapsed="false">
      <c r="A19" s="9" t="s">
        <v>282</v>
      </c>
      <c r="B19" s="9" t="s">
        <v>283</v>
      </c>
      <c r="C19" s="20" t="s">
        <v>769</v>
      </c>
      <c r="D19" s="21" t="s">
        <v>770</v>
      </c>
      <c r="E19" s="20" t="s">
        <v>769</v>
      </c>
      <c r="F19" s="21" t="s">
        <v>770</v>
      </c>
      <c r="G19" s="22" t="s">
        <v>784</v>
      </c>
      <c r="H19" s="21" t="s">
        <v>770</v>
      </c>
      <c r="I19" s="22" t="s">
        <v>772</v>
      </c>
      <c r="J19" s="22" t="s">
        <v>772</v>
      </c>
    </row>
    <row r="20" customFormat="false" ht="15" hidden="false" customHeight="false" outlineLevel="0" collapsed="false">
      <c r="A20" s="9" t="s">
        <v>302</v>
      </c>
      <c r="B20" s="9" t="s">
        <v>303</v>
      </c>
      <c r="C20" s="20" t="s">
        <v>769</v>
      </c>
      <c r="D20" s="22" t="s">
        <v>771</v>
      </c>
      <c r="E20" s="20" t="s">
        <v>769</v>
      </c>
      <c r="F20" s="21" t="s">
        <v>770</v>
      </c>
      <c r="G20" s="22" t="s">
        <v>781</v>
      </c>
      <c r="H20" s="21" t="s">
        <v>770</v>
      </c>
      <c r="I20" s="22" t="s">
        <v>772</v>
      </c>
      <c r="J20" s="22" t="s">
        <v>772</v>
      </c>
    </row>
    <row r="21" customFormat="false" ht="15" hidden="false" customHeight="false" outlineLevel="0" collapsed="false">
      <c r="A21" s="9" t="s">
        <v>321</v>
      </c>
      <c r="B21" s="9" t="s">
        <v>322</v>
      </c>
      <c r="C21" s="20" t="s">
        <v>769</v>
      </c>
      <c r="D21" s="20" t="s">
        <v>769</v>
      </c>
      <c r="E21" s="20" t="s">
        <v>769</v>
      </c>
      <c r="F21" s="21" t="s">
        <v>770</v>
      </c>
      <c r="G21" s="21" t="s">
        <v>770</v>
      </c>
      <c r="H21" s="20" t="s">
        <v>769</v>
      </c>
      <c r="I21" s="20" t="s">
        <v>774</v>
      </c>
      <c r="J21" s="20" t="s">
        <v>774</v>
      </c>
    </row>
    <row r="22" customFormat="false" ht="15" hidden="false" customHeight="false" outlineLevel="0" collapsed="false">
      <c r="A22" s="9" t="s">
        <v>327</v>
      </c>
      <c r="B22" s="9" t="s">
        <v>328</v>
      </c>
      <c r="C22" s="20" t="s">
        <v>769</v>
      </c>
      <c r="D22" s="22" t="s">
        <v>784</v>
      </c>
      <c r="E22" s="20" t="s">
        <v>775</v>
      </c>
      <c r="F22" s="21" t="s">
        <v>770</v>
      </c>
      <c r="G22" s="21" t="s">
        <v>770</v>
      </c>
      <c r="H22" s="22" t="s">
        <v>777</v>
      </c>
      <c r="I22" s="20" t="s">
        <v>774</v>
      </c>
      <c r="J22" s="22" t="s">
        <v>772</v>
      </c>
    </row>
    <row r="23" customFormat="false" ht="15" hidden="false" customHeight="false" outlineLevel="0" collapsed="false">
      <c r="A23" s="9" t="s">
        <v>343</v>
      </c>
      <c r="B23" s="9" t="s">
        <v>344</v>
      </c>
      <c r="C23" s="20" t="s">
        <v>769</v>
      </c>
      <c r="D23" s="20" t="s">
        <v>769</v>
      </c>
      <c r="E23" s="20" t="s">
        <v>769</v>
      </c>
      <c r="F23" s="22" t="s">
        <v>777</v>
      </c>
      <c r="G23" s="21" t="s">
        <v>770</v>
      </c>
      <c r="H23" s="20" t="s">
        <v>769</v>
      </c>
      <c r="I23" s="20" t="s">
        <v>774</v>
      </c>
      <c r="J23" s="20" t="s">
        <v>774</v>
      </c>
    </row>
    <row r="24" customFormat="false" ht="15" hidden="false" customHeight="false" outlineLevel="0" collapsed="false">
      <c r="A24" s="9" t="s">
        <v>359</v>
      </c>
      <c r="B24" s="9" t="s">
        <v>360</v>
      </c>
      <c r="C24" s="20" t="s">
        <v>769</v>
      </c>
      <c r="D24" s="22" t="s">
        <v>778</v>
      </c>
      <c r="E24" s="21" t="s">
        <v>770</v>
      </c>
      <c r="F24" s="21" t="s">
        <v>770</v>
      </c>
      <c r="G24" s="22" t="s">
        <v>785</v>
      </c>
      <c r="H24" s="21" t="s">
        <v>770</v>
      </c>
      <c r="I24" s="23" t="s">
        <v>780</v>
      </c>
      <c r="J24" s="23" t="s">
        <v>780</v>
      </c>
    </row>
    <row r="25" customFormat="false" ht="15" hidden="false" customHeight="false" outlineLevel="0" collapsed="false">
      <c r="A25" s="9" t="s">
        <v>378</v>
      </c>
      <c r="B25" s="9" t="s">
        <v>379</v>
      </c>
      <c r="C25" s="20" t="s">
        <v>769</v>
      </c>
      <c r="D25" s="20" t="s">
        <v>769</v>
      </c>
      <c r="E25" s="20" t="s">
        <v>769</v>
      </c>
      <c r="F25" s="21" t="s">
        <v>770</v>
      </c>
      <c r="G25" s="21" t="s">
        <v>770</v>
      </c>
      <c r="H25" s="20" t="s">
        <v>769</v>
      </c>
      <c r="I25" s="20" t="s">
        <v>774</v>
      </c>
      <c r="J25" s="20" t="s">
        <v>774</v>
      </c>
    </row>
    <row r="26" customFormat="false" ht="15" hidden="false" customHeight="false" outlineLevel="0" collapsed="false">
      <c r="A26" s="9" t="s">
        <v>384</v>
      </c>
      <c r="B26" s="9" t="s">
        <v>385</v>
      </c>
      <c r="C26" s="20" t="s">
        <v>769</v>
      </c>
      <c r="D26" s="22" t="s">
        <v>771</v>
      </c>
      <c r="E26" s="23" t="s">
        <v>779</v>
      </c>
      <c r="F26" s="21" t="s">
        <v>770</v>
      </c>
      <c r="G26" s="21" t="s">
        <v>770</v>
      </c>
      <c r="H26" s="21" t="s">
        <v>770</v>
      </c>
      <c r="I26" s="23" t="s">
        <v>780</v>
      </c>
      <c r="J26" s="23" t="s">
        <v>780</v>
      </c>
    </row>
    <row r="27" customFormat="false" ht="15" hidden="false" customHeight="false" outlineLevel="0" collapsed="false">
      <c r="A27" s="9" t="s">
        <v>394</v>
      </c>
      <c r="B27" s="9" t="s">
        <v>395</v>
      </c>
      <c r="C27" s="20" t="s">
        <v>769</v>
      </c>
      <c r="D27" s="20" t="s">
        <v>769</v>
      </c>
      <c r="E27" s="20" t="s">
        <v>769</v>
      </c>
      <c r="F27" s="21" t="s">
        <v>770</v>
      </c>
      <c r="G27" s="21" t="s">
        <v>770</v>
      </c>
      <c r="H27" s="20" t="s">
        <v>769</v>
      </c>
      <c r="I27" s="20" t="s">
        <v>774</v>
      </c>
      <c r="J27" s="20" t="s">
        <v>774</v>
      </c>
    </row>
    <row r="28" customFormat="false" ht="15" hidden="false" customHeight="false" outlineLevel="0" collapsed="false">
      <c r="A28" s="9" t="s">
        <v>400</v>
      </c>
      <c r="B28" s="9" t="s">
        <v>401</v>
      </c>
      <c r="C28" s="20" t="s">
        <v>769</v>
      </c>
      <c r="D28" s="20" t="s">
        <v>769</v>
      </c>
      <c r="E28" s="20" t="s">
        <v>769</v>
      </c>
      <c r="F28" s="21" t="s">
        <v>770</v>
      </c>
      <c r="G28" s="21" t="s">
        <v>770</v>
      </c>
      <c r="H28" s="20" t="s">
        <v>769</v>
      </c>
      <c r="I28" s="20" t="s">
        <v>774</v>
      </c>
      <c r="J28" s="20" t="s">
        <v>774</v>
      </c>
    </row>
    <row r="29" customFormat="false" ht="15" hidden="false" customHeight="false" outlineLevel="0" collapsed="false">
      <c r="A29" s="9" t="s">
        <v>406</v>
      </c>
      <c r="B29" s="9" t="s">
        <v>407</v>
      </c>
      <c r="C29" s="20" t="s">
        <v>769</v>
      </c>
      <c r="D29" s="22" t="s">
        <v>771</v>
      </c>
      <c r="E29" s="21" t="s">
        <v>770</v>
      </c>
      <c r="F29" s="23" t="s">
        <v>773</v>
      </c>
      <c r="G29" s="21" t="s">
        <v>770</v>
      </c>
      <c r="H29" s="21" t="s">
        <v>770</v>
      </c>
      <c r="I29" s="23" t="s">
        <v>780</v>
      </c>
      <c r="J29" s="23" t="s">
        <v>780</v>
      </c>
    </row>
    <row r="30" customFormat="false" ht="15" hidden="false" customHeight="false" outlineLevel="0" collapsed="false">
      <c r="A30" s="9" t="s">
        <v>415</v>
      </c>
      <c r="B30" s="9" t="s">
        <v>416</v>
      </c>
      <c r="C30" s="20" t="s">
        <v>769</v>
      </c>
      <c r="D30" s="20" t="s">
        <v>769</v>
      </c>
      <c r="E30" s="20" t="s">
        <v>769</v>
      </c>
      <c r="F30" s="21" t="s">
        <v>770</v>
      </c>
      <c r="G30" s="21" t="s">
        <v>770</v>
      </c>
      <c r="H30" s="20" t="s">
        <v>769</v>
      </c>
      <c r="I30" s="20" t="s">
        <v>774</v>
      </c>
      <c r="J30" s="20" t="s">
        <v>774</v>
      </c>
    </row>
    <row r="31" customFormat="false" ht="15" hidden="false" customHeight="false" outlineLevel="0" collapsed="false">
      <c r="A31" s="9" t="s">
        <v>421</v>
      </c>
      <c r="B31" s="9" t="s">
        <v>422</v>
      </c>
      <c r="C31" s="20" t="s">
        <v>769</v>
      </c>
      <c r="D31" s="20" t="s">
        <v>769</v>
      </c>
      <c r="E31" s="20" t="s">
        <v>769</v>
      </c>
      <c r="F31" s="21" t="s">
        <v>770</v>
      </c>
      <c r="G31" s="21" t="s">
        <v>770</v>
      </c>
      <c r="H31" s="20" t="s">
        <v>769</v>
      </c>
      <c r="I31" s="20" t="s">
        <v>774</v>
      </c>
      <c r="J31" s="20" t="s">
        <v>774</v>
      </c>
    </row>
    <row r="32" customFormat="false" ht="15" hidden="false" customHeight="false" outlineLevel="0" collapsed="false">
      <c r="A32" s="9" t="s">
        <v>427</v>
      </c>
      <c r="B32" s="9" t="s">
        <v>428</v>
      </c>
      <c r="C32" s="20" t="s">
        <v>769</v>
      </c>
      <c r="D32" s="22" t="s">
        <v>777</v>
      </c>
      <c r="E32" s="21" t="s">
        <v>770</v>
      </c>
      <c r="F32" s="21" t="s">
        <v>770</v>
      </c>
      <c r="G32" s="21" t="s">
        <v>770</v>
      </c>
      <c r="H32" s="21" t="s">
        <v>770</v>
      </c>
      <c r="I32" s="22" t="s">
        <v>772</v>
      </c>
      <c r="J32" s="23" t="s">
        <v>780</v>
      </c>
    </row>
    <row r="33" customFormat="false" ht="15" hidden="false" customHeight="false" outlineLevel="0" collapsed="false">
      <c r="A33" s="9" t="s">
        <v>441</v>
      </c>
      <c r="B33" s="9" t="s">
        <v>442</v>
      </c>
      <c r="C33" s="20" t="s">
        <v>769</v>
      </c>
      <c r="D33" s="20" t="s">
        <v>769</v>
      </c>
      <c r="E33" s="20" t="s">
        <v>769</v>
      </c>
      <c r="F33" s="22" t="s">
        <v>777</v>
      </c>
      <c r="G33" s="21" t="s">
        <v>770</v>
      </c>
      <c r="H33" s="20" t="s">
        <v>769</v>
      </c>
      <c r="I33" s="20" t="s">
        <v>774</v>
      </c>
      <c r="J33" s="20" t="s">
        <v>774</v>
      </c>
    </row>
    <row r="34" customFormat="false" ht="15" hidden="false" customHeight="false" outlineLevel="0" collapsed="false">
      <c r="A34" s="9" t="s">
        <v>455</v>
      </c>
      <c r="B34" s="9" t="s">
        <v>456</v>
      </c>
      <c r="C34" s="20" t="s">
        <v>769</v>
      </c>
      <c r="D34" s="22" t="s">
        <v>782</v>
      </c>
      <c r="E34" s="23" t="s">
        <v>773</v>
      </c>
      <c r="F34" s="21" t="s">
        <v>770</v>
      </c>
      <c r="G34" s="21" t="s">
        <v>770</v>
      </c>
      <c r="H34" s="21" t="s">
        <v>770</v>
      </c>
      <c r="I34" s="23" t="s">
        <v>780</v>
      </c>
      <c r="J34" s="23" t="s">
        <v>780</v>
      </c>
    </row>
    <row r="35" customFormat="false" ht="15" hidden="false" customHeight="false" outlineLevel="0" collapsed="false">
      <c r="A35" s="9" t="s">
        <v>463</v>
      </c>
      <c r="B35" s="9" t="s">
        <v>464</v>
      </c>
      <c r="C35" s="20" t="s">
        <v>769</v>
      </c>
      <c r="D35" s="20" t="s">
        <v>769</v>
      </c>
      <c r="E35" s="20" t="s">
        <v>769</v>
      </c>
      <c r="F35" s="21" t="s">
        <v>770</v>
      </c>
      <c r="G35" s="21" t="s">
        <v>770</v>
      </c>
      <c r="H35" s="20" t="s">
        <v>769</v>
      </c>
      <c r="I35" s="20" t="s">
        <v>774</v>
      </c>
      <c r="J35" s="20" t="s">
        <v>774</v>
      </c>
    </row>
    <row r="36" customFormat="false" ht="15" hidden="false" customHeight="false" outlineLevel="0" collapsed="false">
      <c r="A36" s="9" t="s">
        <v>470</v>
      </c>
      <c r="B36" s="9" t="s">
        <v>471</v>
      </c>
      <c r="C36" s="20" t="s">
        <v>769</v>
      </c>
      <c r="D36" s="20" t="s">
        <v>775</v>
      </c>
      <c r="E36" s="20" t="s">
        <v>769</v>
      </c>
      <c r="F36" s="23" t="s">
        <v>779</v>
      </c>
      <c r="G36" s="21" t="s">
        <v>770</v>
      </c>
      <c r="H36" s="20" t="s">
        <v>769</v>
      </c>
      <c r="I36" s="20" t="s">
        <v>774</v>
      </c>
      <c r="J36" s="20" t="s">
        <v>774</v>
      </c>
    </row>
    <row r="37" customFormat="false" ht="15" hidden="false" customHeight="false" outlineLevel="0" collapsed="false">
      <c r="A37" s="9" t="s">
        <v>480</v>
      </c>
      <c r="B37" s="9" t="s">
        <v>481</v>
      </c>
      <c r="C37" s="20" t="s">
        <v>769</v>
      </c>
      <c r="D37" s="21" t="s">
        <v>770</v>
      </c>
      <c r="E37" s="20" t="s">
        <v>776</v>
      </c>
      <c r="F37" s="21" t="s">
        <v>770</v>
      </c>
      <c r="G37" s="20" t="s">
        <v>775</v>
      </c>
      <c r="H37" s="21" t="s">
        <v>770</v>
      </c>
      <c r="I37" s="23" t="s">
        <v>780</v>
      </c>
      <c r="J37" s="22" t="s">
        <v>772</v>
      </c>
    </row>
    <row r="38" customFormat="false" ht="15" hidden="false" customHeight="false" outlineLevel="0" collapsed="false">
      <c r="A38" s="9" t="s">
        <v>510</v>
      </c>
      <c r="B38" s="9" t="s">
        <v>511</v>
      </c>
      <c r="C38" s="20" t="s">
        <v>769</v>
      </c>
      <c r="D38" s="22" t="s">
        <v>771</v>
      </c>
      <c r="E38" s="23" t="s">
        <v>773</v>
      </c>
      <c r="F38" s="21" t="s">
        <v>770</v>
      </c>
      <c r="G38" s="21" t="s">
        <v>770</v>
      </c>
      <c r="H38" s="21" t="s">
        <v>770</v>
      </c>
      <c r="I38" s="23" t="s">
        <v>780</v>
      </c>
      <c r="J38" s="23" t="s">
        <v>780</v>
      </c>
    </row>
    <row r="39" customFormat="false" ht="15" hidden="false" customHeight="false" outlineLevel="0" collapsed="false">
      <c r="A39" s="9" t="s">
        <v>517</v>
      </c>
      <c r="B39" s="9" t="s">
        <v>518</v>
      </c>
      <c r="C39" s="20" t="s">
        <v>769</v>
      </c>
      <c r="D39" s="22" t="s">
        <v>783</v>
      </c>
      <c r="E39" s="20" t="s">
        <v>769</v>
      </c>
      <c r="F39" s="21" t="s">
        <v>770</v>
      </c>
      <c r="G39" s="21" t="s">
        <v>770</v>
      </c>
      <c r="H39" s="22" t="s">
        <v>784</v>
      </c>
      <c r="I39" s="22" t="s">
        <v>772</v>
      </c>
      <c r="J39" s="20" t="s">
        <v>774</v>
      </c>
    </row>
    <row r="40" customFormat="false" ht="15" hidden="false" customHeight="false" outlineLevel="0" collapsed="false">
      <c r="A40" s="9" t="s">
        <v>537</v>
      </c>
      <c r="B40" s="9" t="s">
        <v>538</v>
      </c>
      <c r="C40" s="20" t="s">
        <v>769</v>
      </c>
      <c r="D40" s="20" t="s">
        <v>775</v>
      </c>
      <c r="E40" s="20" t="s">
        <v>775</v>
      </c>
      <c r="F40" s="23" t="s">
        <v>773</v>
      </c>
      <c r="G40" s="21" t="s">
        <v>770</v>
      </c>
      <c r="H40" s="22" t="s">
        <v>781</v>
      </c>
      <c r="I40" s="20" t="s">
        <v>774</v>
      </c>
      <c r="J40" s="20" t="s">
        <v>774</v>
      </c>
    </row>
    <row r="41" customFormat="false" ht="15" hidden="false" customHeight="false" outlineLevel="0" collapsed="false">
      <c r="A41" s="9" t="s">
        <v>557</v>
      </c>
      <c r="B41" s="9" t="s">
        <v>558</v>
      </c>
      <c r="C41" s="20" t="s">
        <v>769</v>
      </c>
      <c r="D41" s="20" t="s">
        <v>769</v>
      </c>
      <c r="E41" s="20" t="s">
        <v>769</v>
      </c>
      <c r="F41" s="20" t="s">
        <v>769</v>
      </c>
      <c r="G41" s="21" t="s">
        <v>770</v>
      </c>
      <c r="H41" s="21" t="s">
        <v>770</v>
      </c>
      <c r="I41" s="20" t="s">
        <v>774</v>
      </c>
      <c r="J41" s="20" t="s">
        <v>774</v>
      </c>
    </row>
    <row r="43" customFormat="false" ht="15" hidden="false" customHeight="false" outlineLevel="0" collapsed="false">
      <c r="A43" s="2" t="s">
        <v>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20"/>
    <col collapsed="false" customWidth="true" hidden="false" outlineLevel="0" max="4" min="4" style="0" width="14"/>
    <col collapsed="false" customWidth="true" hidden="false" outlineLevel="0" max="5" min="5" style="0" width="50"/>
    <col collapsed="false" customWidth="true" hidden="false" outlineLevel="0" max="6" min="6" style="0" width="12"/>
    <col collapsed="false" customWidth="true" hidden="false" outlineLevel="0" max="8" min="7" style="0" width="14"/>
    <col collapsed="false" customWidth="true" hidden="false" outlineLevel="0" max="9" min="9" style="0" width="50"/>
    <col collapsed="false" customWidth="true" hidden="false" outlineLevel="0" max="10" min="10" style="0" width="12"/>
    <col collapsed="false" customWidth="true" hidden="false" outlineLevel="0" max="11" min="11" style="0" width="14"/>
  </cols>
  <sheetData>
    <row r="1" customFormat="false" ht="30" hidden="false" customHeight="true" outlineLevel="0" collapsed="false">
      <c r="A1" s="8" t="s">
        <v>61</v>
      </c>
      <c r="B1" s="8" t="s">
        <v>62</v>
      </c>
      <c r="C1" s="8" t="s">
        <v>584</v>
      </c>
      <c r="D1" s="8" t="s">
        <v>787</v>
      </c>
      <c r="E1" s="8" t="s">
        <v>788</v>
      </c>
      <c r="F1" s="8" t="s">
        <v>789</v>
      </c>
      <c r="G1" s="8" t="s">
        <v>790</v>
      </c>
      <c r="H1" s="8" t="s">
        <v>791</v>
      </c>
      <c r="I1" s="8" t="s">
        <v>792</v>
      </c>
      <c r="J1" s="8" t="s">
        <v>793</v>
      </c>
      <c r="K1" s="8" t="s">
        <v>794</v>
      </c>
    </row>
    <row r="2" customFormat="false" ht="15" hidden="false" customHeight="false" outlineLevel="0" collapsed="false">
      <c r="A2" s="11" t="s">
        <v>94</v>
      </c>
      <c r="B2" s="11" t="s">
        <v>95</v>
      </c>
      <c r="C2" s="11" t="s">
        <v>18</v>
      </c>
      <c r="D2" s="17" t="n">
        <v>22340024</v>
      </c>
      <c r="E2" s="11" t="s">
        <v>98</v>
      </c>
      <c r="F2" s="24"/>
      <c r="G2" s="24"/>
      <c r="H2" s="17" t="n">
        <v>25685412</v>
      </c>
      <c r="I2" s="11" t="s">
        <v>98</v>
      </c>
      <c r="J2" s="24"/>
      <c r="K2" s="24"/>
    </row>
    <row r="3" customFormat="false" ht="15" hidden="false" customHeight="false" outlineLevel="0" collapsed="false">
      <c r="A3" s="11" t="s">
        <v>94</v>
      </c>
      <c r="B3" s="11" t="s">
        <v>95</v>
      </c>
      <c r="C3" s="11" t="s">
        <v>22</v>
      </c>
      <c r="D3" s="17" t="n">
        <v>6018180</v>
      </c>
      <c r="E3" s="11" t="s">
        <v>101</v>
      </c>
      <c r="F3" s="24"/>
      <c r="G3" s="24"/>
      <c r="H3" s="17" t="n">
        <v>7525860</v>
      </c>
      <c r="I3" s="11" t="s">
        <v>101</v>
      </c>
      <c r="J3" s="24"/>
      <c r="K3" s="24"/>
    </row>
    <row r="4" customFormat="false" ht="15" hidden="false" customHeight="false" outlineLevel="0" collapsed="false">
      <c r="A4" s="11" t="s">
        <v>94</v>
      </c>
      <c r="B4" s="11" t="s">
        <v>95</v>
      </c>
      <c r="C4" s="11" t="s">
        <v>26</v>
      </c>
      <c r="D4" s="11"/>
      <c r="E4" s="11"/>
      <c r="F4" s="24"/>
      <c r="G4" s="24"/>
      <c r="H4" s="11"/>
      <c r="I4" s="11"/>
      <c r="J4" s="24"/>
      <c r="K4" s="24"/>
    </row>
    <row r="5" customFormat="false" ht="15" hidden="false" customHeight="false" outlineLevel="0" collapsed="false">
      <c r="A5" s="11" t="s">
        <v>111</v>
      </c>
      <c r="B5" s="11" t="s">
        <v>112</v>
      </c>
      <c r="C5" s="11" t="s">
        <v>18</v>
      </c>
      <c r="D5" s="17" t="n">
        <v>8391643</v>
      </c>
      <c r="E5" s="11" t="s">
        <v>98</v>
      </c>
      <c r="F5" s="24"/>
      <c r="G5" s="24"/>
      <c r="H5" s="17" t="n">
        <v>8955797</v>
      </c>
      <c r="I5" s="11" t="s">
        <v>98</v>
      </c>
      <c r="J5" s="24"/>
      <c r="K5" s="24"/>
    </row>
    <row r="6" customFormat="false" ht="15" hidden="false" customHeight="false" outlineLevel="0" collapsed="false">
      <c r="A6" s="11" t="s">
        <v>111</v>
      </c>
      <c r="B6" s="11" t="s">
        <v>112</v>
      </c>
      <c r="C6" s="11" t="s">
        <v>22</v>
      </c>
      <c r="D6" s="17" t="n">
        <v>1294224</v>
      </c>
      <c r="E6" s="11" t="s">
        <v>116</v>
      </c>
      <c r="F6" s="24"/>
      <c r="G6" s="24"/>
      <c r="H6" s="17" t="n">
        <v>1792053</v>
      </c>
      <c r="I6" s="11" t="s">
        <v>116</v>
      </c>
      <c r="J6" s="24"/>
      <c r="K6" s="24"/>
    </row>
    <row r="7" customFormat="false" ht="15" hidden="false" customHeight="false" outlineLevel="0" collapsed="false">
      <c r="A7" s="11" t="s">
        <v>111</v>
      </c>
      <c r="B7" s="11" t="s">
        <v>112</v>
      </c>
      <c r="C7" s="11" t="s">
        <v>26</v>
      </c>
      <c r="D7" s="17" t="n">
        <v>908591</v>
      </c>
      <c r="E7" s="11" t="s">
        <v>119</v>
      </c>
      <c r="F7" s="24"/>
      <c r="G7" s="24"/>
      <c r="H7" s="17" t="n">
        <v>1517372</v>
      </c>
      <c r="I7" s="11" t="s">
        <v>119</v>
      </c>
      <c r="J7" s="24"/>
      <c r="K7" s="24"/>
    </row>
    <row r="8" customFormat="false" ht="15" hidden="false" customHeight="false" outlineLevel="0" collapsed="false">
      <c r="A8" s="11" t="s">
        <v>130</v>
      </c>
      <c r="B8" s="11" t="s">
        <v>131</v>
      </c>
      <c r="C8" s="11" t="s">
        <v>18</v>
      </c>
      <c r="D8" s="17" t="n">
        <v>11038264</v>
      </c>
      <c r="E8" s="11" t="s">
        <v>98</v>
      </c>
      <c r="F8" s="24"/>
      <c r="G8" s="24"/>
      <c r="H8" s="17" t="n">
        <v>11586195</v>
      </c>
      <c r="I8" s="11" t="s">
        <v>98</v>
      </c>
      <c r="J8" s="24"/>
      <c r="K8" s="24"/>
    </row>
    <row r="9" customFormat="false" ht="15" hidden="false" customHeight="false" outlineLevel="0" collapsed="false">
      <c r="A9" s="11" t="s">
        <v>130</v>
      </c>
      <c r="B9" s="11" t="s">
        <v>131</v>
      </c>
      <c r="C9" s="11" t="s">
        <v>22</v>
      </c>
      <c r="D9" s="17" t="n">
        <v>1628793</v>
      </c>
      <c r="E9" s="11" t="s">
        <v>116</v>
      </c>
      <c r="F9" s="24"/>
      <c r="G9" s="24"/>
      <c r="H9" s="17" t="n">
        <v>2065727</v>
      </c>
      <c r="I9" s="11" t="s">
        <v>116</v>
      </c>
      <c r="J9" s="24"/>
      <c r="K9" s="24"/>
    </row>
    <row r="10" customFormat="false" ht="15" hidden="false" customHeight="false" outlineLevel="0" collapsed="false">
      <c r="A10" s="11" t="s">
        <v>130</v>
      </c>
      <c r="B10" s="11" t="s">
        <v>131</v>
      </c>
      <c r="C10" s="11" t="s">
        <v>26</v>
      </c>
      <c r="D10" s="17" t="n">
        <v>1162608</v>
      </c>
      <c r="E10" s="11" t="s">
        <v>119</v>
      </c>
      <c r="F10" s="24"/>
      <c r="G10" s="24"/>
      <c r="H10" s="17" t="n">
        <v>1454039</v>
      </c>
      <c r="I10" s="11" t="s">
        <v>119</v>
      </c>
      <c r="J10" s="24"/>
      <c r="K10" s="24"/>
    </row>
    <row r="11" customFormat="false" ht="15" hidden="false" customHeight="false" outlineLevel="0" collapsed="false">
      <c r="A11" s="11" t="s">
        <v>136</v>
      </c>
      <c r="B11" s="11" t="s">
        <v>137</v>
      </c>
      <c r="C11" s="11" t="s">
        <v>18</v>
      </c>
      <c r="D11" s="17" t="n">
        <v>7348328</v>
      </c>
      <c r="E11" s="11" t="s">
        <v>98</v>
      </c>
      <c r="F11" s="24"/>
      <c r="G11" s="24"/>
      <c r="H11" s="17" t="n">
        <v>6507301</v>
      </c>
      <c r="I11" s="11" t="s">
        <v>98</v>
      </c>
      <c r="J11" s="24"/>
      <c r="K11" s="24"/>
    </row>
    <row r="12" customFormat="false" ht="15" hidden="false" customHeight="false" outlineLevel="0" collapsed="false">
      <c r="A12" s="11" t="s">
        <v>136</v>
      </c>
      <c r="B12" s="11" t="s">
        <v>137</v>
      </c>
      <c r="C12" s="11" t="s">
        <v>22</v>
      </c>
      <c r="D12" s="17" t="n">
        <v>78621</v>
      </c>
      <c r="E12" s="11" t="s">
        <v>116</v>
      </c>
      <c r="F12" s="24"/>
      <c r="G12" s="24"/>
      <c r="H12" s="17" t="n">
        <v>188519</v>
      </c>
      <c r="I12" s="11" t="s">
        <v>116</v>
      </c>
      <c r="J12" s="24"/>
      <c r="K12" s="24"/>
    </row>
    <row r="13" customFormat="false" ht="15" hidden="false" customHeight="false" outlineLevel="0" collapsed="false">
      <c r="A13" s="11" t="s">
        <v>136</v>
      </c>
      <c r="B13" s="11" t="s">
        <v>137</v>
      </c>
      <c r="C13" s="11" t="s">
        <v>26</v>
      </c>
      <c r="D13" s="17" t="n">
        <v>38815</v>
      </c>
      <c r="E13" s="11" t="s">
        <v>119</v>
      </c>
      <c r="F13" s="24"/>
      <c r="G13" s="24"/>
      <c r="H13" s="17" t="n">
        <v>108438</v>
      </c>
      <c r="I13" s="11" t="s">
        <v>119</v>
      </c>
      <c r="J13" s="24"/>
      <c r="K13" s="24"/>
    </row>
    <row r="14" customFormat="false" ht="15" hidden="false" customHeight="false" outlineLevel="0" collapsed="false">
      <c r="A14" s="11" t="s">
        <v>145</v>
      </c>
      <c r="B14" s="11" t="s">
        <v>146</v>
      </c>
      <c r="C14" s="11" t="s">
        <v>18</v>
      </c>
      <c r="D14" s="17" t="n">
        <v>17351816</v>
      </c>
      <c r="E14" s="11" t="s">
        <v>98</v>
      </c>
      <c r="F14" s="24"/>
      <c r="G14" s="24"/>
      <c r="H14" s="17" t="n">
        <v>19456334</v>
      </c>
      <c r="I14" s="11" t="s">
        <v>98</v>
      </c>
      <c r="J14" s="24"/>
      <c r="K14" s="24"/>
    </row>
    <row r="15" customFormat="false" ht="15" hidden="false" customHeight="false" outlineLevel="0" collapsed="false">
      <c r="A15" s="11" t="s">
        <v>145</v>
      </c>
      <c r="B15" s="11" t="s">
        <v>146</v>
      </c>
      <c r="C15" s="11" t="s">
        <v>22</v>
      </c>
      <c r="D15" s="17" t="n">
        <v>369436</v>
      </c>
      <c r="E15" s="11" t="s">
        <v>101</v>
      </c>
      <c r="F15" s="24"/>
      <c r="G15" s="24"/>
      <c r="H15" s="17" t="n">
        <v>1534813</v>
      </c>
      <c r="I15" s="11" t="s">
        <v>101</v>
      </c>
      <c r="J15" s="24"/>
      <c r="K15" s="24"/>
    </row>
    <row r="16" customFormat="false" ht="15" hidden="false" customHeight="false" outlineLevel="0" collapsed="false">
      <c r="A16" s="11" t="s">
        <v>145</v>
      </c>
      <c r="B16" s="11" t="s">
        <v>146</v>
      </c>
      <c r="C16" s="11" t="s">
        <v>26</v>
      </c>
      <c r="D16" s="11"/>
      <c r="E16" s="11"/>
      <c r="F16" s="24" t="n">
        <v>2017</v>
      </c>
      <c r="G16" s="25" t="n">
        <v>746465</v>
      </c>
      <c r="H16" s="17" t="n">
        <v>1630812</v>
      </c>
      <c r="I16" s="11" t="s">
        <v>152</v>
      </c>
      <c r="J16" s="24"/>
      <c r="K16" s="24"/>
    </row>
    <row r="17" customFormat="false" ht="15" hidden="false" customHeight="false" outlineLevel="0" collapsed="false">
      <c r="A17" s="11" t="s">
        <v>163</v>
      </c>
      <c r="B17" s="11" t="s">
        <v>164</v>
      </c>
      <c r="C17" s="11" t="s">
        <v>18</v>
      </c>
      <c r="D17" s="17" t="n">
        <v>1345035000</v>
      </c>
      <c r="E17" s="11" t="s">
        <v>98</v>
      </c>
      <c r="F17" s="24"/>
      <c r="G17" s="24"/>
      <c r="H17" s="17" t="n">
        <v>1412360000</v>
      </c>
      <c r="I17" s="11" t="s">
        <v>98</v>
      </c>
      <c r="J17" s="24"/>
      <c r="K17" s="24"/>
    </row>
    <row r="18" customFormat="false" ht="15" hidden="false" customHeight="false" outlineLevel="0" collapsed="false">
      <c r="A18" s="11" t="s">
        <v>163</v>
      </c>
      <c r="B18" s="11" t="s">
        <v>164</v>
      </c>
      <c r="C18" s="11" t="s">
        <v>22</v>
      </c>
      <c r="D18" s="11"/>
      <c r="E18" s="11"/>
      <c r="F18" s="24" t="n">
        <v>2010</v>
      </c>
      <c r="G18" s="25" t="n">
        <v>1010008</v>
      </c>
      <c r="H18" s="11"/>
      <c r="I18" s="11"/>
      <c r="J18" s="24" t="n">
        <v>2020</v>
      </c>
      <c r="K18" s="25" t="n">
        <v>1415116</v>
      </c>
    </row>
    <row r="19" customFormat="false" ht="15" hidden="false" customHeight="false" outlineLevel="0" collapsed="false">
      <c r="A19" s="11" t="s">
        <v>163</v>
      </c>
      <c r="B19" s="11" t="s">
        <v>164</v>
      </c>
      <c r="C19" s="11" t="s">
        <v>26</v>
      </c>
      <c r="D19" s="11"/>
      <c r="E19" s="11"/>
      <c r="F19" s="24" t="n">
        <v>2010</v>
      </c>
      <c r="G19" s="25" t="n">
        <v>593832</v>
      </c>
      <c r="H19" s="11"/>
      <c r="I19" s="11"/>
      <c r="J19" s="24" t="n">
        <v>2020</v>
      </c>
      <c r="K19" s="25" t="n">
        <v>845697</v>
      </c>
    </row>
    <row r="20" customFormat="false" ht="15" hidden="false" customHeight="false" outlineLevel="0" collapsed="false">
      <c r="A20" s="11" t="s">
        <v>178</v>
      </c>
      <c r="B20" s="11" t="s">
        <v>179</v>
      </c>
      <c r="C20" s="11" t="s">
        <v>18</v>
      </c>
      <c r="D20" s="17" t="n">
        <v>4280622</v>
      </c>
      <c r="E20" s="11" t="s">
        <v>98</v>
      </c>
      <c r="F20" s="24"/>
      <c r="G20" s="24"/>
      <c r="H20" s="17" t="n">
        <v>3878981</v>
      </c>
      <c r="I20" s="11" t="s">
        <v>98</v>
      </c>
      <c r="J20" s="24"/>
      <c r="K20" s="24"/>
    </row>
    <row r="21" customFormat="false" ht="15" hidden="false" customHeight="false" outlineLevel="0" collapsed="false">
      <c r="A21" s="11" t="s">
        <v>178</v>
      </c>
      <c r="B21" s="11" t="s">
        <v>179</v>
      </c>
      <c r="C21" s="11" t="s">
        <v>22</v>
      </c>
      <c r="D21" s="17" t="n">
        <v>584947</v>
      </c>
      <c r="E21" s="11" t="s">
        <v>183</v>
      </c>
      <c r="F21" s="24"/>
      <c r="G21" s="24"/>
      <c r="H21" s="17" t="n">
        <v>478056</v>
      </c>
      <c r="I21" s="11" t="s">
        <v>116</v>
      </c>
      <c r="J21" s="24"/>
      <c r="K21" s="24"/>
    </row>
    <row r="22" customFormat="false" ht="15" hidden="false" customHeight="false" outlineLevel="0" collapsed="false">
      <c r="A22" s="11" t="s">
        <v>178</v>
      </c>
      <c r="B22" s="11" t="s">
        <v>179</v>
      </c>
      <c r="C22" s="11" t="s">
        <v>26</v>
      </c>
      <c r="D22" s="17" t="n">
        <v>23276</v>
      </c>
      <c r="E22" s="11" t="s">
        <v>183</v>
      </c>
      <c r="F22" s="24"/>
      <c r="G22" s="24"/>
      <c r="H22" s="17" t="n">
        <v>26259</v>
      </c>
      <c r="I22" s="11" t="s">
        <v>119</v>
      </c>
      <c r="J22" s="24"/>
      <c r="K22" s="24"/>
    </row>
    <row r="23" customFormat="false" ht="15" hidden="false" customHeight="false" outlineLevel="0" collapsed="false">
      <c r="A23" s="11" t="s">
        <v>194</v>
      </c>
      <c r="B23" s="11" t="s">
        <v>195</v>
      </c>
      <c r="C23" s="11" t="s">
        <v>18</v>
      </c>
      <c r="D23" s="17" t="n">
        <v>10496088</v>
      </c>
      <c r="E23" s="11" t="s">
        <v>98</v>
      </c>
      <c r="F23" s="24"/>
      <c r="G23" s="24"/>
      <c r="H23" s="17" t="n">
        <v>10505772</v>
      </c>
      <c r="I23" s="11" t="s">
        <v>98</v>
      </c>
      <c r="J23" s="24"/>
      <c r="K23" s="24"/>
    </row>
    <row r="24" customFormat="false" ht="15" hidden="false" customHeight="false" outlineLevel="0" collapsed="false">
      <c r="A24" s="11" t="s">
        <v>194</v>
      </c>
      <c r="B24" s="11" t="s">
        <v>195</v>
      </c>
      <c r="C24" s="11" t="s">
        <v>22</v>
      </c>
      <c r="D24" s="17" t="n">
        <v>387971</v>
      </c>
      <c r="E24" s="11" t="s">
        <v>116</v>
      </c>
      <c r="F24" s="24"/>
      <c r="G24" s="24"/>
      <c r="H24" s="17" t="n">
        <v>409220</v>
      </c>
      <c r="I24" s="11" t="s">
        <v>116</v>
      </c>
      <c r="J24" s="24"/>
      <c r="K24" s="24"/>
    </row>
    <row r="25" customFormat="false" ht="15" hidden="false" customHeight="false" outlineLevel="0" collapsed="false">
      <c r="A25" s="11" t="s">
        <v>194</v>
      </c>
      <c r="B25" s="11" t="s">
        <v>195</v>
      </c>
      <c r="C25" s="11" t="s">
        <v>26</v>
      </c>
      <c r="D25" s="17" t="n">
        <v>416737</v>
      </c>
      <c r="E25" s="11" t="s">
        <v>119</v>
      </c>
      <c r="F25" s="24"/>
      <c r="G25" s="24"/>
      <c r="H25" s="17" t="n">
        <v>488532</v>
      </c>
      <c r="I25" s="11" t="s">
        <v>119</v>
      </c>
      <c r="J25" s="24"/>
      <c r="K25" s="24"/>
    </row>
    <row r="26" customFormat="false" ht="15" hidden="false" customHeight="false" outlineLevel="0" collapsed="false">
      <c r="A26" s="11" t="s">
        <v>201</v>
      </c>
      <c r="B26" s="11" t="s">
        <v>202</v>
      </c>
      <c r="C26" s="11" t="s">
        <v>18</v>
      </c>
      <c r="D26" s="17" t="n">
        <v>5570572</v>
      </c>
      <c r="E26" s="11" t="s">
        <v>98</v>
      </c>
      <c r="F26" s="24"/>
      <c r="G26" s="24"/>
      <c r="H26" s="17" t="n">
        <v>5856733</v>
      </c>
      <c r="I26" s="11" t="s">
        <v>98</v>
      </c>
      <c r="J26" s="24"/>
      <c r="K26" s="24"/>
    </row>
    <row r="27" customFormat="false" ht="15" hidden="false" customHeight="false" outlineLevel="0" collapsed="false">
      <c r="A27" s="11" t="s">
        <v>201</v>
      </c>
      <c r="B27" s="11" t="s">
        <v>202</v>
      </c>
      <c r="C27" s="11" t="s">
        <v>22</v>
      </c>
      <c r="D27" s="17" t="n">
        <v>517230</v>
      </c>
      <c r="E27" s="11" t="s">
        <v>116</v>
      </c>
      <c r="F27" s="24"/>
      <c r="G27" s="24"/>
      <c r="H27" s="17" t="n">
        <v>721135</v>
      </c>
      <c r="I27" s="11" t="s">
        <v>116</v>
      </c>
      <c r="J27" s="24"/>
      <c r="K27" s="24"/>
    </row>
    <row r="28" customFormat="false" ht="15" hidden="false" customHeight="false" outlineLevel="0" collapsed="false">
      <c r="A28" s="11" t="s">
        <v>201</v>
      </c>
      <c r="B28" s="11" t="s">
        <v>202</v>
      </c>
      <c r="C28" s="11" t="s">
        <v>26</v>
      </c>
      <c r="D28" s="17" t="n">
        <v>345884</v>
      </c>
      <c r="E28" s="11" t="s">
        <v>119</v>
      </c>
      <c r="F28" s="24"/>
      <c r="G28" s="24"/>
      <c r="H28" s="17" t="n">
        <v>539443</v>
      </c>
      <c r="I28" s="11" t="s">
        <v>119</v>
      </c>
      <c r="J28" s="24"/>
      <c r="K28" s="24"/>
    </row>
    <row r="29" customFormat="false" ht="15" hidden="false" customHeight="false" outlineLevel="0" collapsed="false">
      <c r="A29" s="11" t="s">
        <v>207</v>
      </c>
      <c r="B29" s="11" t="s">
        <v>208</v>
      </c>
      <c r="C29" s="11" t="s">
        <v>18</v>
      </c>
      <c r="D29" s="17" t="n">
        <v>5388272</v>
      </c>
      <c r="E29" s="11" t="s">
        <v>98</v>
      </c>
      <c r="F29" s="24"/>
      <c r="G29" s="24"/>
      <c r="H29" s="17" t="n">
        <v>5541017</v>
      </c>
      <c r="I29" s="11" t="s">
        <v>98</v>
      </c>
      <c r="J29" s="24"/>
      <c r="K29" s="24"/>
    </row>
    <row r="30" customFormat="false" ht="15" hidden="false" customHeight="false" outlineLevel="0" collapsed="false">
      <c r="A30" s="11" t="s">
        <v>207</v>
      </c>
      <c r="B30" s="11" t="s">
        <v>208</v>
      </c>
      <c r="C30" s="11" t="s">
        <v>22</v>
      </c>
      <c r="D30" s="17" t="n">
        <v>243217</v>
      </c>
      <c r="E30" s="11" t="s">
        <v>116</v>
      </c>
      <c r="F30" s="24"/>
      <c r="G30" s="24"/>
      <c r="H30" s="17" t="n">
        <v>408676</v>
      </c>
      <c r="I30" s="11" t="s">
        <v>116</v>
      </c>
      <c r="J30" s="24"/>
      <c r="K30" s="24"/>
    </row>
    <row r="31" customFormat="false" ht="15" hidden="false" customHeight="false" outlineLevel="0" collapsed="false">
      <c r="A31" s="11" t="s">
        <v>207</v>
      </c>
      <c r="B31" s="11" t="s">
        <v>208</v>
      </c>
      <c r="C31" s="11" t="s">
        <v>26</v>
      </c>
      <c r="D31" s="17" t="n">
        <v>166627</v>
      </c>
      <c r="E31" s="11" t="s">
        <v>119</v>
      </c>
      <c r="F31" s="24"/>
      <c r="G31" s="24"/>
      <c r="H31" s="17" t="n">
        <v>277217</v>
      </c>
      <c r="I31" s="11" t="s">
        <v>119</v>
      </c>
      <c r="J31" s="24"/>
      <c r="K31" s="24"/>
    </row>
    <row r="32" customFormat="false" ht="15" hidden="false" customHeight="false" outlineLevel="0" collapsed="false">
      <c r="A32" s="11" t="s">
        <v>213</v>
      </c>
      <c r="B32" s="11" t="s">
        <v>214</v>
      </c>
      <c r="C32" s="11" t="s">
        <v>18</v>
      </c>
      <c r="D32" s="17" t="n">
        <v>65340830</v>
      </c>
      <c r="E32" s="11" t="s">
        <v>98</v>
      </c>
      <c r="F32" s="24"/>
      <c r="G32" s="24"/>
      <c r="H32" s="17" t="n">
        <v>67842811</v>
      </c>
      <c r="I32" s="11" t="s">
        <v>98</v>
      </c>
      <c r="J32" s="24"/>
      <c r="K32" s="24"/>
    </row>
    <row r="33" customFormat="false" ht="15" hidden="false" customHeight="false" outlineLevel="0" collapsed="false">
      <c r="A33" s="11" t="s">
        <v>213</v>
      </c>
      <c r="B33" s="11" t="s">
        <v>214</v>
      </c>
      <c r="C33" s="11" t="s">
        <v>22</v>
      </c>
      <c r="D33" s="17" t="n">
        <v>7335966</v>
      </c>
      <c r="E33" s="11" t="s">
        <v>116</v>
      </c>
      <c r="F33" s="24"/>
      <c r="G33" s="24"/>
      <c r="H33" s="17" t="n">
        <v>8548924</v>
      </c>
      <c r="I33" s="11" t="s">
        <v>116</v>
      </c>
      <c r="J33" s="24"/>
      <c r="K33" s="24"/>
    </row>
    <row r="34" customFormat="false" ht="15" hidden="false" customHeight="false" outlineLevel="0" collapsed="false">
      <c r="A34" s="11" t="s">
        <v>213</v>
      </c>
      <c r="B34" s="11" t="s">
        <v>214</v>
      </c>
      <c r="C34" s="11" t="s">
        <v>26</v>
      </c>
      <c r="D34" s="17" t="n">
        <v>3875096</v>
      </c>
      <c r="E34" s="11" t="s">
        <v>119</v>
      </c>
      <c r="F34" s="24"/>
      <c r="G34" s="24"/>
      <c r="H34" s="17" t="n">
        <v>5302510</v>
      </c>
      <c r="I34" s="11" t="s">
        <v>119</v>
      </c>
      <c r="J34" s="24"/>
      <c r="K34" s="24"/>
    </row>
    <row r="35" customFormat="false" ht="15" hidden="false" customHeight="false" outlineLevel="0" collapsed="false">
      <c r="A35" s="11" t="s">
        <v>221</v>
      </c>
      <c r="B35" s="11" t="s">
        <v>222</v>
      </c>
      <c r="C35" s="11" t="s">
        <v>18</v>
      </c>
      <c r="D35" s="17" t="n">
        <v>80274983</v>
      </c>
      <c r="E35" s="11" t="s">
        <v>98</v>
      </c>
      <c r="F35" s="24"/>
      <c r="G35" s="24"/>
      <c r="H35" s="17" t="n">
        <v>83196078</v>
      </c>
      <c r="I35" s="11" t="s">
        <v>98</v>
      </c>
      <c r="J35" s="24"/>
      <c r="K35" s="24"/>
    </row>
    <row r="36" customFormat="false" ht="15" hidden="false" customHeight="false" outlineLevel="0" collapsed="false">
      <c r="A36" s="11" t="s">
        <v>221</v>
      </c>
      <c r="B36" s="11" t="s">
        <v>222</v>
      </c>
      <c r="C36" s="11" t="s">
        <v>22</v>
      </c>
      <c r="D36" s="17" t="n">
        <v>8935603</v>
      </c>
      <c r="E36" s="11" t="s">
        <v>116</v>
      </c>
      <c r="F36" s="24"/>
      <c r="G36" s="24"/>
      <c r="H36" s="17" t="n">
        <v>15162728</v>
      </c>
      <c r="I36" s="11" t="s">
        <v>116</v>
      </c>
      <c r="J36" s="24"/>
      <c r="K36" s="24"/>
    </row>
    <row r="37" customFormat="false" ht="15" hidden="false" customHeight="false" outlineLevel="0" collapsed="false">
      <c r="A37" s="11" t="s">
        <v>221</v>
      </c>
      <c r="B37" s="11" t="s">
        <v>222</v>
      </c>
      <c r="C37" s="11" t="s">
        <v>26</v>
      </c>
      <c r="D37" s="17" t="n">
        <v>6107216</v>
      </c>
      <c r="E37" s="11" t="s">
        <v>119</v>
      </c>
      <c r="F37" s="24"/>
      <c r="G37" s="24"/>
      <c r="H37" s="17" t="n">
        <v>10585053</v>
      </c>
      <c r="I37" s="11" t="s">
        <v>119</v>
      </c>
      <c r="J37" s="24"/>
      <c r="K37" s="24"/>
    </row>
    <row r="38" customFormat="false" ht="15" hidden="false" customHeight="false" outlineLevel="0" collapsed="false">
      <c r="A38" s="11" t="s">
        <v>231</v>
      </c>
      <c r="B38" s="11" t="s">
        <v>232</v>
      </c>
      <c r="C38" s="11" t="s">
        <v>18</v>
      </c>
      <c r="D38" s="17" t="n">
        <v>9971727</v>
      </c>
      <c r="E38" s="11" t="s">
        <v>98</v>
      </c>
      <c r="F38" s="24"/>
      <c r="G38" s="24"/>
      <c r="H38" s="17" t="n">
        <v>9630932</v>
      </c>
      <c r="I38" s="11" t="s">
        <v>98</v>
      </c>
      <c r="J38" s="24"/>
      <c r="K38" s="24"/>
    </row>
    <row r="39" customFormat="false" ht="15" hidden="false" customHeight="false" outlineLevel="0" collapsed="false">
      <c r="A39" s="11" t="s">
        <v>231</v>
      </c>
      <c r="B39" s="11" t="s">
        <v>232</v>
      </c>
      <c r="C39" s="11" t="s">
        <v>22</v>
      </c>
      <c r="D39" s="17" t="n">
        <v>443295</v>
      </c>
      <c r="E39" s="11" t="s">
        <v>116</v>
      </c>
      <c r="F39" s="24"/>
      <c r="G39" s="24"/>
      <c r="H39" s="17" t="n">
        <v>597440</v>
      </c>
      <c r="I39" s="11" t="s">
        <v>116</v>
      </c>
      <c r="J39" s="24"/>
      <c r="K39" s="24"/>
    </row>
    <row r="40" customFormat="false" ht="15" hidden="false" customHeight="false" outlineLevel="0" collapsed="false">
      <c r="A40" s="11" t="s">
        <v>231</v>
      </c>
      <c r="B40" s="11" t="s">
        <v>232</v>
      </c>
      <c r="C40" s="11" t="s">
        <v>26</v>
      </c>
      <c r="D40" s="17" t="n">
        <v>209202</v>
      </c>
      <c r="E40" s="11" t="s">
        <v>119</v>
      </c>
      <c r="F40" s="24"/>
      <c r="G40" s="24"/>
      <c r="H40" s="17" t="n">
        <v>194240</v>
      </c>
      <c r="I40" s="11" t="s">
        <v>119</v>
      </c>
      <c r="J40" s="24"/>
      <c r="K40" s="24"/>
    </row>
    <row r="41" customFormat="false" ht="15" hidden="false" customHeight="false" outlineLevel="0" collapsed="false">
      <c r="A41" s="11" t="s">
        <v>237</v>
      </c>
      <c r="B41" s="11" t="s">
        <v>238</v>
      </c>
      <c r="C41" s="11" t="s">
        <v>18</v>
      </c>
      <c r="D41" s="17" t="n">
        <v>319014</v>
      </c>
      <c r="E41" s="11" t="s">
        <v>98</v>
      </c>
      <c r="F41" s="24"/>
      <c r="G41" s="24"/>
      <c r="H41" s="17" t="n">
        <v>372520</v>
      </c>
      <c r="I41" s="11" t="s">
        <v>98</v>
      </c>
      <c r="J41" s="24"/>
      <c r="K41" s="24"/>
    </row>
    <row r="42" customFormat="false" ht="15" hidden="false" customHeight="false" outlineLevel="0" collapsed="false">
      <c r="A42" s="11" t="s">
        <v>237</v>
      </c>
      <c r="B42" s="11" t="s">
        <v>238</v>
      </c>
      <c r="C42" s="11" t="s">
        <v>22</v>
      </c>
      <c r="D42" s="17" t="n">
        <v>34650</v>
      </c>
      <c r="E42" s="11" t="s">
        <v>116</v>
      </c>
      <c r="F42" s="24"/>
      <c r="G42" s="24"/>
      <c r="H42" s="17" t="n">
        <v>67438</v>
      </c>
      <c r="I42" s="11" t="s">
        <v>116</v>
      </c>
      <c r="J42" s="24"/>
      <c r="K42" s="24"/>
    </row>
    <row r="43" customFormat="false" ht="15" hidden="false" customHeight="false" outlineLevel="0" collapsed="false">
      <c r="A43" s="11" t="s">
        <v>237</v>
      </c>
      <c r="B43" s="11" t="s">
        <v>238</v>
      </c>
      <c r="C43" s="11" t="s">
        <v>26</v>
      </c>
      <c r="D43" s="17" t="n">
        <v>21143</v>
      </c>
      <c r="E43" s="11" t="s">
        <v>119</v>
      </c>
      <c r="F43" s="24"/>
      <c r="G43" s="24"/>
      <c r="H43" s="17" t="n">
        <v>51283</v>
      </c>
      <c r="I43" s="11" t="s">
        <v>119</v>
      </c>
      <c r="J43" s="24"/>
      <c r="K43" s="24"/>
    </row>
    <row r="44" customFormat="false" ht="15" hidden="false" customHeight="false" outlineLevel="0" collapsed="false">
      <c r="A44" s="11" t="s">
        <v>244</v>
      </c>
      <c r="B44" s="11" t="s">
        <v>245</v>
      </c>
      <c r="C44" s="11" t="s">
        <v>18</v>
      </c>
      <c r="D44" s="17" t="n">
        <v>1261224954</v>
      </c>
      <c r="E44" s="11" t="s">
        <v>98</v>
      </c>
      <c r="F44" s="24"/>
      <c r="G44" s="24"/>
      <c r="H44" s="17" t="n">
        <v>1414203896</v>
      </c>
      <c r="I44" s="11" t="s">
        <v>98</v>
      </c>
      <c r="J44" s="24"/>
      <c r="K44" s="24"/>
    </row>
    <row r="45" customFormat="false" ht="15" hidden="false" customHeight="false" outlineLevel="0" collapsed="false">
      <c r="A45" s="11" t="s">
        <v>244</v>
      </c>
      <c r="B45" s="11" t="s">
        <v>245</v>
      </c>
      <c r="C45" s="11" t="s">
        <v>22</v>
      </c>
      <c r="D45" s="17" t="n">
        <v>5490000</v>
      </c>
      <c r="E45" s="11" t="s">
        <v>248</v>
      </c>
      <c r="F45" s="24"/>
      <c r="G45" s="24"/>
      <c r="H45" s="11"/>
      <c r="I45" s="11"/>
      <c r="J45" s="24" t="n">
        <v>2020</v>
      </c>
      <c r="K45" s="25" t="n">
        <v>4929816</v>
      </c>
    </row>
    <row r="46" customFormat="false" ht="15" hidden="false" customHeight="false" outlineLevel="0" collapsed="false">
      <c r="A46" s="11" t="s">
        <v>244</v>
      </c>
      <c r="B46" s="11" t="s">
        <v>245</v>
      </c>
      <c r="C46" s="11" t="s">
        <v>26</v>
      </c>
      <c r="D46" s="11"/>
      <c r="E46" s="11"/>
      <c r="F46" s="24"/>
      <c r="G46" s="24"/>
      <c r="H46" s="11"/>
      <c r="I46" s="11"/>
      <c r="J46" s="24"/>
      <c r="K46" s="24"/>
    </row>
    <row r="47" customFormat="false" ht="15" hidden="false" customHeight="false" outlineLevel="0" collapsed="false">
      <c r="A47" s="11" t="s">
        <v>251</v>
      </c>
      <c r="B47" s="11" t="s">
        <v>252</v>
      </c>
      <c r="C47" s="11" t="s">
        <v>18</v>
      </c>
      <c r="D47" s="17" t="n">
        <v>7765800</v>
      </c>
      <c r="E47" s="11" t="s">
        <v>98</v>
      </c>
      <c r="F47" s="24"/>
      <c r="G47" s="24"/>
      <c r="H47" s="17" t="n">
        <v>9371400</v>
      </c>
      <c r="I47" s="11" t="s">
        <v>98</v>
      </c>
      <c r="J47" s="24"/>
      <c r="K47" s="24"/>
    </row>
    <row r="48" customFormat="false" ht="15" hidden="false" customHeight="false" outlineLevel="0" collapsed="false">
      <c r="A48" s="11" t="s">
        <v>251</v>
      </c>
      <c r="B48" s="11" t="s">
        <v>252</v>
      </c>
      <c r="C48" s="11" t="s">
        <v>22</v>
      </c>
      <c r="D48" s="17" t="n">
        <v>1869000</v>
      </c>
      <c r="E48" s="11" t="s">
        <v>101</v>
      </c>
      <c r="F48" s="24"/>
      <c r="G48" s="24"/>
      <c r="H48" s="17" t="n">
        <v>1797300</v>
      </c>
      <c r="I48" s="11" t="s">
        <v>101</v>
      </c>
      <c r="J48" s="24"/>
      <c r="K48" s="24"/>
    </row>
    <row r="49" customFormat="false" ht="15" hidden="false" customHeight="false" outlineLevel="0" collapsed="false">
      <c r="A49" s="11" t="s">
        <v>251</v>
      </c>
      <c r="B49" s="11" t="s">
        <v>252</v>
      </c>
      <c r="C49" s="11" t="s">
        <v>26</v>
      </c>
      <c r="D49" s="11"/>
      <c r="E49" s="11"/>
      <c r="F49" s="24"/>
      <c r="G49" s="24"/>
      <c r="H49" s="11"/>
      <c r="I49" s="11"/>
      <c r="J49" s="24"/>
      <c r="K49" s="24"/>
    </row>
    <row r="50" customFormat="false" ht="15" hidden="false" customHeight="false" outlineLevel="0" collapsed="false">
      <c r="A50" s="11" t="s">
        <v>261</v>
      </c>
      <c r="B50" s="11" t="s">
        <v>262</v>
      </c>
      <c r="C50" s="11" t="s">
        <v>18</v>
      </c>
      <c r="D50" s="17" t="n">
        <v>60026841</v>
      </c>
      <c r="E50" s="11" t="s">
        <v>98</v>
      </c>
      <c r="F50" s="24"/>
      <c r="G50" s="24"/>
      <c r="H50" s="17" t="n">
        <v>59133173</v>
      </c>
      <c r="I50" s="11" t="s">
        <v>98</v>
      </c>
      <c r="J50" s="24"/>
      <c r="K50" s="24"/>
    </row>
    <row r="51" customFormat="false" ht="15" hidden="false" customHeight="false" outlineLevel="0" collapsed="false">
      <c r="A51" s="11" t="s">
        <v>261</v>
      </c>
      <c r="B51" s="11" t="s">
        <v>262</v>
      </c>
      <c r="C51" s="11" t="s">
        <v>22</v>
      </c>
      <c r="D51" s="17" t="n">
        <v>4834495</v>
      </c>
      <c r="E51" s="11" t="s">
        <v>116</v>
      </c>
      <c r="F51" s="24"/>
      <c r="G51" s="24"/>
      <c r="H51" s="17" t="n">
        <v>6262207</v>
      </c>
      <c r="I51" s="11" t="s">
        <v>116</v>
      </c>
      <c r="J51" s="24"/>
      <c r="K51" s="24"/>
    </row>
    <row r="52" customFormat="false" ht="15" hidden="false" customHeight="false" outlineLevel="0" collapsed="false">
      <c r="A52" s="11" t="s">
        <v>261</v>
      </c>
      <c r="B52" s="11" t="s">
        <v>262</v>
      </c>
      <c r="C52" s="11" t="s">
        <v>26</v>
      </c>
      <c r="D52" s="17" t="n">
        <v>4101335</v>
      </c>
      <c r="E52" s="11" t="s">
        <v>119</v>
      </c>
      <c r="F52" s="24"/>
      <c r="G52" s="24"/>
      <c r="H52" s="17" t="n">
        <v>5171894</v>
      </c>
      <c r="I52" s="11" t="s">
        <v>119</v>
      </c>
      <c r="J52" s="24"/>
      <c r="K52" s="24"/>
    </row>
    <row r="53" customFormat="false" ht="15" hidden="false" customHeight="false" outlineLevel="0" collapsed="false">
      <c r="A53" s="11" t="s">
        <v>282</v>
      </c>
      <c r="B53" s="11" t="s">
        <v>283</v>
      </c>
      <c r="C53" s="11" t="s">
        <v>18</v>
      </c>
      <c r="D53" s="17" t="n">
        <v>127833000</v>
      </c>
      <c r="E53" s="11" t="s">
        <v>98</v>
      </c>
      <c r="F53" s="24"/>
      <c r="G53" s="24"/>
      <c r="H53" s="17" t="n">
        <v>125681593</v>
      </c>
      <c r="I53" s="11" t="s">
        <v>98</v>
      </c>
      <c r="J53" s="24"/>
      <c r="K53" s="24"/>
    </row>
    <row r="54" customFormat="false" ht="15" hidden="false" customHeight="false" outlineLevel="0" collapsed="false">
      <c r="A54" s="11" t="s">
        <v>282</v>
      </c>
      <c r="B54" s="11" t="s">
        <v>283</v>
      </c>
      <c r="C54" s="11" t="s">
        <v>22</v>
      </c>
      <c r="D54" s="11"/>
      <c r="E54" s="11"/>
      <c r="F54" s="24"/>
      <c r="G54" s="24"/>
      <c r="H54" s="11"/>
      <c r="I54" s="11"/>
      <c r="J54" s="24"/>
      <c r="K54" s="24"/>
    </row>
    <row r="55" customFormat="false" ht="15" hidden="false" customHeight="false" outlineLevel="0" collapsed="false">
      <c r="A55" s="11" t="s">
        <v>282</v>
      </c>
      <c r="B55" s="11" t="s">
        <v>283</v>
      </c>
      <c r="C55" s="11" t="s">
        <v>26</v>
      </c>
      <c r="D55" s="17" t="n">
        <v>2132913</v>
      </c>
      <c r="E55" s="11" t="s">
        <v>152</v>
      </c>
      <c r="F55" s="24"/>
      <c r="G55" s="24"/>
      <c r="H55" s="17" t="n">
        <v>2887116</v>
      </c>
      <c r="I55" s="11" t="s">
        <v>152</v>
      </c>
      <c r="J55" s="24"/>
      <c r="K55" s="24"/>
    </row>
    <row r="56" customFormat="false" ht="15" hidden="false" customHeight="false" outlineLevel="0" collapsed="false">
      <c r="A56" s="11" t="s">
        <v>302</v>
      </c>
      <c r="B56" s="11" t="s">
        <v>303</v>
      </c>
      <c r="C56" s="11" t="s">
        <v>18</v>
      </c>
      <c r="D56" s="17" t="n">
        <v>49936638</v>
      </c>
      <c r="E56" s="11" t="s">
        <v>98</v>
      </c>
      <c r="F56" s="24"/>
      <c r="G56" s="24"/>
      <c r="H56" s="17" t="n">
        <v>51769539</v>
      </c>
      <c r="I56" s="11" t="s">
        <v>98</v>
      </c>
      <c r="J56" s="24"/>
      <c r="K56" s="24"/>
    </row>
    <row r="57" customFormat="false" ht="15" hidden="false" customHeight="false" outlineLevel="0" collapsed="false">
      <c r="A57" s="11" t="s">
        <v>302</v>
      </c>
      <c r="B57" s="11" t="s">
        <v>303</v>
      </c>
      <c r="C57" s="11" t="s">
        <v>22</v>
      </c>
      <c r="D57" s="11"/>
      <c r="E57" s="11"/>
      <c r="F57" s="24" t="n">
        <v>2010</v>
      </c>
      <c r="G57" s="25" t="n">
        <v>566098</v>
      </c>
      <c r="H57" s="11"/>
      <c r="I57" s="11"/>
      <c r="J57" s="24" t="n">
        <v>2020</v>
      </c>
      <c r="K57" s="25" t="n">
        <v>1723389</v>
      </c>
    </row>
    <row r="58" customFormat="false" ht="15" hidden="false" customHeight="false" outlineLevel="0" collapsed="false">
      <c r="A58" s="11" t="s">
        <v>302</v>
      </c>
      <c r="B58" s="11" t="s">
        <v>303</v>
      </c>
      <c r="C58" s="11" t="s">
        <v>26</v>
      </c>
      <c r="D58" s="17" t="n">
        <v>1088638</v>
      </c>
      <c r="E58" s="11" t="s">
        <v>152</v>
      </c>
      <c r="F58" s="24"/>
      <c r="G58" s="24"/>
      <c r="H58" s="17" t="n">
        <v>1889454</v>
      </c>
      <c r="I58" s="11" t="s">
        <v>152</v>
      </c>
      <c r="J58" s="24"/>
      <c r="K58" s="24"/>
    </row>
    <row r="59" customFormat="false" ht="15" hidden="false" customHeight="false" outlineLevel="0" collapsed="false">
      <c r="A59" s="11" t="s">
        <v>321</v>
      </c>
      <c r="B59" s="11" t="s">
        <v>322</v>
      </c>
      <c r="C59" s="11" t="s">
        <v>18</v>
      </c>
      <c r="D59" s="17" t="n">
        <v>3028115</v>
      </c>
      <c r="E59" s="11" t="s">
        <v>98</v>
      </c>
      <c r="F59" s="24"/>
      <c r="G59" s="24"/>
      <c r="H59" s="17" t="n">
        <v>2808380</v>
      </c>
      <c r="I59" s="11" t="s">
        <v>98</v>
      </c>
      <c r="J59" s="24"/>
      <c r="K59" s="24"/>
    </row>
    <row r="60" customFormat="false" ht="15" hidden="false" customHeight="false" outlineLevel="0" collapsed="false">
      <c r="A60" s="11" t="s">
        <v>321</v>
      </c>
      <c r="B60" s="11" t="s">
        <v>322</v>
      </c>
      <c r="C60" s="11" t="s">
        <v>22</v>
      </c>
      <c r="D60" s="17" t="n">
        <v>149544</v>
      </c>
      <c r="E60" s="11" t="s">
        <v>116</v>
      </c>
      <c r="F60" s="24"/>
      <c r="G60" s="24"/>
      <c r="H60" s="17" t="n">
        <v>155586</v>
      </c>
      <c r="I60" s="11" t="s">
        <v>116</v>
      </c>
      <c r="J60" s="24"/>
      <c r="K60" s="24"/>
    </row>
    <row r="61" customFormat="false" ht="15" hidden="false" customHeight="false" outlineLevel="0" collapsed="false">
      <c r="A61" s="11" t="s">
        <v>321</v>
      </c>
      <c r="B61" s="11" t="s">
        <v>322</v>
      </c>
      <c r="C61" s="11" t="s">
        <v>26</v>
      </c>
      <c r="D61" s="17" t="n">
        <v>24031</v>
      </c>
      <c r="E61" s="11" t="s">
        <v>119</v>
      </c>
      <c r="F61" s="24"/>
      <c r="G61" s="24"/>
      <c r="H61" s="17" t="n">
        <v>20001</v>
      </c>
      <c r="I61" s="11" t="s">
        <v>119</v>
      </c>
      <c r="J61" s="24"/>
      <c r="K61" s="24"/>
    </row>
    <row r="62" customFormat="false" ht="15" hidden="false" customHeight="false" outlineLevel="0" collapsed="false">
      <c r="A62" s="11" t="s">
        <v>327</v>
      </c>
      <c r="B62" s="11" t="s">
        <v>328</v>
      </c>
      <c r="C62" s="11" t="s">
        <v>18</v>
      </c>
      <c r="D62" s="17" t="n">
        <v>115243504</v>
      </c>
      <c r="E62" s="11" t="s">
        <v>98</v>
      </c>
      <c r="F62" s="24"/>
      <c r="G62" s="24"/>
      <c r="H62" s="17" t="n">
        <v>127648148</v>
      </c>
      <c r="I62" s="11" t="s">
        <v>98</v>
      </c>
      <c r="J62" s="24"/>
      <c r="K62" s="24"/>
    </row>
    <row r="63" customFormat="false" ht="15" hidden="false" customHeight="false" outlineLevel="0" collapsed="false">
      <c r="A63" s="11" t="s">
        <v>327</v>
      </c>
      <c r="B63" s="11" t="s">
        <v>328</v>
      </c>
      <c r="C63" s="11" t="s">
        <v>22</v>
      </c>
      <c r="D63" s="17" t="n">
        <v>966778</v>
      </c>
      <c r="E63" s="11" t="s">
        <v>101</v>
      </c>
      <c r="F63" s="24"/>
      <c r="G63" s="24"/>
      <c r="H63" s="11"/>
      <c r="I63" s="11"/>
      <c r="J63" s="24" t="n">
        <v>2020</v>
      </c>
      <c r="K63" s="25" t="n">
        <v>1169883</v>
      </c>
    </row>
    <row r="64" customFormat="false" ht="15" hidden="false" customHeight="false" outlineLevel="0" collapsed="false">
      <c r="A64" s="11" t="s">
        <v>327</v>
      </c>
      <c r="B64" s="11" t="s">
        <v>328</v>
      </c>
      <c r="C64" s="11" t="s">
        <v>26</v>
      </c>
      <c r="D64" s="17" t="n">
        <v>281053</v>
      </c>
      <c r="E64" s="11" t="s">
        <v>152</v>
      </c>
      <c r="F64" s="24"/>
      <c r="G64" s="24"/>
      <c r="H64" s="17" t="n">
        <v>579843</v>
      </c>
      <c r="I64" s="11" t="s">
        <v>152</v>
      </c>
      <c r="J64" s="24"/>
      <c r="K64" s="24"/>
    </row>
    <row r="65" customFormat="false" ht="15" hidden="false" customHeight="false" outlineLevel="0" collapsed="false">
      <c r="A65" s="11" t="s">
        <v>343</v>
      </c>
      <c r="B65" s="11" t="s">
        <v>344</v>
      </c>
      <c r="C65" s="11" t="s">
        <v>18</v>
      </c>
      <c r="D65" s="17" t="n">
        <v>16693074</v>
      </c>
      <c r="E65" s="11" t="s">
        <v>98</v>
      </c>
      <c r="F65" s="24"/>
      <c r="G65" s="24"/>
      <c r="H65" s="17" t="n">
        <v>17533044</v>
      </c>
      <c r="I65" s="11" t="s">
        <v>98</v>
      </c>
      <c r="J65" s="24"/>
      <c r="K65" s="24"/>
    </row>
    <row r="66" customFormat="false" ht="15" hidden="false" customHeight="false" outlineLevel="0" collapsed="false">
      <c r="A66" s="11" t="s">
        <v>343</v>
      </c>
      <c r="B66" s="11" t="s">
        <v>344</v>
      </c>
      <c r="C66" s="11" t="s">
        <v>22</v>
      </c>
      <c r="D66" s="17" t="n">
        <v>1868655</v>
      </c>
      <c r="E66" s="11" t="s">
        <v>116</v>
      </c>
      <c r="F66" s="24"/>
      <c r="G66" s="24"/>
      <c r="H66" s="17" t="n">
        <v>2451157</v>
      </c>
      <c r="I66" s="11" t="s">
        <v>116</v>
      </c>
      <c r="J66" s="24"/>
      <c r="K66" s="24"/>
    </row>
    <row r="67" customFormat="false" ht="15" hidden="false" customHeight="false" outlineLevel="0" collapsed="false">
      <c r="A67" s="11" t="s">
        <v>343</v>
      </c>
      <c r="B67" s="11" t="s">
        <v>344</v>
      </c>
      <c r="C67" s="11" t="s">
        <v>26</v>
      </c>
      <c r="D67" s="17" t="n">
        <v>673235</v>
      </c>
      <c r="E67" s="11" t="s">
        <v>119</v>
      </c>
      <c r="F67" s="24"/>
      <c r="G67" s="24"/>
      <c r="H67" s="17" t="n">
        <v>1171380</v>
      </c>
      <c r="I67" s="11" t="s">
        <v>119</v>
      </c>
      <c r="J67" s="24"/>
      <c r="K67" s="24"/>
    </row>
    <row r="68" customFormat="false" ht="15" hidden="false" customHeight="false" outlineLevel="0" collapsed="false">
      <c r="A68" s="11" t="s">
        <v>359</v>
      </c>
      <c r="B68" s="11" t="s">
        <v>360</v>
      </c>
      <c r="C68" s="11" t="s">
        <v>18</v>
      </c>
      <c r="D68" s="17" t="n">
        <v>4384000</v>
      </c>
      <c r="E68" s="11" t="s">
        <v>98</v>
      </c>
      <c r="F68" s="24"/>
      <c r="G68" s="24"/>
      <c r="H68" s="17" t="n">
        <v>5084600</v>
      </c>
      <c r="I68" s="11" t="s">
        <v>98</v>
      </c>
      <c r="J68" s="24"/>
      <c r="K68" s="24"/>
    </row>
    <row r="69" customFormat="false" ht="15" hidden="false" customHeight="false" outlineLevel="0" collapsed="false">
      <c r="A69" s="11" t="s">
        <v>359</v>
      </c>
      <c r="B69" s="11" t="s">
        <v>360</v>
      </c>
      <c r="C69" s="11" t="s">
        <v>22</v>
      </c>
      <c r="D69" s="11"/>
      <c r="E69" s="11"/>
      <c r="F69" s="24" t="n">
        <v>2010</v>
      </c>
      <c r="G69" s="25" t="n">
        <v>956982</v>
      </c>
      <c r="H69" s="11"/>
      <c r="I69" s="11"/>
      <c r="J69" s="24" t="n">
        <v>2020</v>
      </c>
      <c r="K69" s="25" t="n">
        <v>1343900</v>
      </c>
    </row>
    <row r="70" customFormat="false" ht="15" hidden="false" customHeight="false" outlineLevel="0" collapsed="false">
      <c r="A70" s="11" t="s">
        <v>359</v>
      </c>
      <c r="B70" s="11" t="s">
        <v>360</v>
      </c>
      <c r="C70" s="11" t="s">
        <v>26</v>
      </c>
      <c r="D70" s="11"/>
      <c r="E70" s="11"/>
      <c r="F70" s="24"/>
      <c r="G70" s="24"/>
      <c r="H70" s="11"/>
      <c r="I70" s="11"/>
      <c r="J70" s="24"/>
      <c r="K70" s="24"/>
    </row>
    <row r="71" customFormat="false" ht="15" hidden="false" customHeight="false" outlineLevel="0" collapsed="false">
      <c r="A71" s="11" t="s">
        <v>378</v>
      </c>
      <c r="B71" s="11" t="s">
        <v>379</v>
      </c>
      <c r="C71" s="11" t="s">
        <v>18</v>
      </c>
      <c r="D71" s="17" t="n">
        <v>4953088</v>
      </c>
      <c r="E71" s="11" t="s">
        <v>98</v>
      </c>
      <c r="F71" s="24"/>
      <c r="G71" s="24"/>
      <c r="H71" s="17" t="n">
        <v>5408320</v>
      </c>
      <c r="I71" s="11" t="s">
        <v>98</v>
      </c>
      <c r="J71" s="24"/>
      <c r="K71" s="24"/>
    </row>
    <row r="72" customFormat="false" ht="15" hidden="false" customHeight="false" outlineLevel="0" collapsed="false">
      <c r="A72" s="11" t="s">
        <v>378</v>
      </c>
      <c r="B72" s="11" t="s">
        <v>379</v>
      </c>
      <c r="C72" s="11" t="s">
        <v>22</v>
      </c>
      <c r="D72" s="17" t="n">
        <v>572231</v>
      </c>
      <c r="E72" s="11" t="s">
        <v>116</v>
      </c>
      <c r="F72" s="24"/>
      <c r="G72" s="24"/>
      <c r="H72" s="17" t="n">
        <v>878153</v>
      </c>
      <c r="I72" s="11" t="s">
        <v>116</v>
      </c>
      <c r="J72" s="24"/>
      <c r="K72" s="24"/>
    </row>
    <row r="73" customFormat="false" ht="15" hidden="false" customHeight="false" outlineLevel="0" collapsed="false">
      <c r="A73" s="11" t="s">
        <v>378</v>
      </c>
      <c r="B73" s="11" t="s">
        <v>379</v>
      </c>
      <c r="C73" s="11" t="s">
        <v>26</v>
      </c>
      <c r="D73" s="17" t="n">
        <v>369132</v>
      </c>
      <c r="E73" s="11" t="s">
        <v>119</v>
      </c>
      <c r="F73" s="24"/>
      <c r="G73" s="24"/>
      <c r="H73" s="17" t="n">
        <v>601525</v>
      </c>
      <c r="I73" s="11" t="s">
        <v>119</v>
      </c>
      <c r="J73" s="24"/>
      <c r="K73" s="24"/>
    </row>
    <row r="74" customFormat="false" ht="15" hidden="false" customHeight="false" outlineLevel="0" collapsed="false">
      <c r="A74" s="11" t="s">
        <v>384</v>
      </c>
      <c r="B74" s="11" t="s">
        <v>385</v>
      </c>
      <c r="C74" s="11" t="s">
        <v>18</v>
      </c>
      <c r="D74" s="17" t="n">
        <v>98248614</v>
      </c>
      <c r="E74" s="11" t="s">
        <v>98</v>
      </c>
      <c r="F74" s="24"/>
      <c r="G74" s="24"/>
      <c r="H74" s="17" t="n">
        <v>113100950</v>
      </c>
      <c r="I74" s="11" t="s">
        <v>98</v>
      </c>
      <c r="J74" s="24"/>
      <c r="K74" s="24"/>
    </row>
    <row r="75" customFormat="false" ht="15" hidden="false" customHeight="false" outlineLevel="0" collapsed="false">
      <c r="A75" s="11" t="s">
        <v>384</v>
      </c>
      <c r="B75" s="11" t="s">
        <v>385</v>
      </c>
      <c r="C75" s="11" t="s">
        <v>22</v>
      </c>
      <c r="D75" s="11"/>
      <c r="E75" s="11"/>
      <c r="F75" s="24" t="n">
        <v>2010</v>
      </c>
      <c r="G75" s="25" t="n">
        <v>178147</v>
      </c>
      <c r="H75" s="11"/>
      <c r="I75" s="11"/>
      <c r="J75" s="24" t="n">
        <v>2020</v>
      </c>
      <c r="K75" s="25" t="n">
        <v>87212</v>
      </c>
    </row>
    <row r="76" customFormat="false" ht="15" hidden="false" customHeight="false" outlineLevel="0" collapsed="false">
      <c r="A76" s="11" t="s">
        <v>384</v>
      </c>
      <c r="B76" s="11" t="s">
        <v>385</v>
      </c>
      <c r="C76" s="11" t="s">
        <v>26</v>
      </c>
      <c r="D76" s="11"/>
      <c r="E76" s="11"/>
      <c r="F76" s="24" t="n">
        <v>2010</v>
      </c>
      <c r="G76" s="25" t="n">
        <v>177368</v>
      </c>
      <c r="H76" s="11"/>
      <c r="I76" s="11"/>
      <c r="J76" s="24" t="n">
        <v>2020</v>
      </c>
      <c r="K76" s="25" t="n">
        <v>78396</v>
      </c>
    </row>
    <row r="77" customFormat="false" ht="15" hidden="false" customHeight="false" outlineLevel="0" collapsed="false">
      <c r="A77" s="11" t="s">
        <v>394</v>
      </c>
      <c r="B77" s="11" t="s">
        <v>395</v>
      </c>
      <c r="C77" s="11" t="s">
        <v>18</v>
      </c>
      <c r="D77" s="17" t="n">
        <v>38063255</v>
      </c>
      <c r="E77" s="11" t="s">
        <v>98</v>
      </c>
      <c r="F77" s="24"/>
      <c r="G77" s="24"/>
      <c r="H77" s="17" t="n">
        <v>36981559</v>
      </c>
      <c r="I77" s="11" t="s">
        <v>98</v>
      </c>
      <c r="J77" s="24"/>
      <c r="K77" s="24"/>
    </row>
    <row r="78" customFormat="false" ht="15" hidden="false" customHeight="false" outlineLevel="0" collapsed="false">
      <c r="A78" s="11" t="s">
        <v>394</v>
      </c>
      <c r="B78" s="11" t="s">
        <v>395</v>
      </c>
      <c r="C78" s="11" t="s">
        <v>22</v>
      </c>
      <c r="D78" s="17" t="n">
        <v>637408</v>
      </c>
      <c r="E78" s="11" t="s">
        <v>116</v>
      </c>
      <c r="F78" s="24"/>
      <c r="G78" s="24"/>
      <c r="H78" s="17" t="n">
        <v>935740</v>
      </c>
      <c r="I78" s="11" t="s">
        <v>116</v>
      </c>
      <c r="J78" s="24"/>
      <c r="K78" s="24"/>
    </row>
    <row r="79" customFormat="false" ht="15" hidden="false" customHeight="false" outlineLevel="0" collapsed="false">
      <c r="A79" s="11" t="s">
        <v>394</v>
      </c>
      <c r="B79" s="11" t="s">
        <v>395</v>
      </c>
      <c r="C79" s="11" t="s">
        <v>26</v>
      </c>
      <c r="D79" s="17" t="n">
        <v>79338</v>
      </c>
      <c r="E79" s="11" t="s">
        <v>119</v>
      </c>
      <c r="F79" s="24"/>
      <c r="G79" s="24"/>
      <c r="H79" s="17" t="n">
        <v>447442</v>
      </c>
      <c r="I79" s="11" t="s">
        <v>119</v>
      </c>
      <c r="J79" s="24"/>
      <c r="K79" s="24"/>
    </row>
    <row r="80" customFormat="false" ht="15" hidden="false" customHeight="false" outlineLevel="0" collapsed="false">
      <c r="A80" s="11" t="s">
        <v>400</v>
      </c>
      <c r="B80" s="11" t="s">
        <v>401</v>
      </c>
      <c r="C80" s="11" t="s">
        <v>18</v>
      </c>
      <c r="D80" s="17" t="n">
        <v>10557560</v>
      </c>
      <c r="E80" s="11" t="s">
        <v>98</v>
      </c>
      <c r="F80" s="24"/>
      <c r="G80" s="24"/>
      <c r="H80" s="17" t="n">
        <v>10361831</v>
      </c>
      <c r="I80" s="11" t="s">
        <v>98</v>
      </c>
      <c r="J80" s="24"/>
      <c r="K80" s="24"/>
    </row>
    <row r="81" customFormat="false" ht="15" hidden="false" customHeight="false" outlineLevel="0" collapsed="false">
      <c r="A81" s="11" t="s">
        <v>400</v>
      </c>
      <c r="B81" s="11" t="s">
        <v>401</v>
      </c>
      <c r="C81" s="11" t="s">
        <v>22</v>
      </c>
      <c r="D81" s="17" t="n">
        <v>755484</v>
      </c>
      <c r="E81" s="11" t="s">
        <v>116</v>
      </c>
      <c r="F81" s="24"/>
      <c r="G81" s="24"/>
      <c r="H81" s="17" t="n">
        <v>1495524</v>
      </c>
      <c r="I81" s="11" t="s">
        <v>116</v>
      </c>
      <c r="J81" s="24"/>
      <c r="K81" s="24"/>
    </row>
    <row r="82" customFormat="false" ht="15" hidden="false" customHeight="false" outlineLevel="0" collapsed="false">
      <c r="A82" s="11" t="s">
        <v>400</v>
      </c>
      <c r="B82" s="11" t="s">
        <v>401</v>
      </c>
      <c r="C82" s="11" t="s">
        <v>26</v>
      </c>
      <c r="D82" s="17" t="n">
        <v>445262</v>
      </c>
      <c r="E82" s="11" t="s">
        <v>119</v>
      </c>
      <c r="F82" s="24"/>
      <c r="G82" s="24"/>
      <c r="H82" s="17" t="n">
        <v>595794</v>
      </c>
      <c r="I82" s="11" t="s">
        <v>119</v>
      </c>
      <c r="J82" s="24"/>
      <c r="K82" s="24"/>
    </row>
    <row r="83" customFormat="false" ht="15" hidden="false" customHeight="false" outlineLevel="0" collapsed="false">
      <c r="A83" s="11" t="s">
        <v>406</v>
      </c>
      <c r="B83" s="11" t="s">
        <v>407</v>
      </c>
      <c r="C83" s="11" t="s">
        <v>18</v>
      </c>
      <c r="D83" s="17" t="n">
        <v>143018195</v>
      </c>
      <c r="E83" s="11" t="s">
        <v>98</v>
      </c>
      <c r="F83" s="24"/>
      <c r="G83" s="24"/>
      <c r="H83" s="17" t="n">
        <v>144746762</v>
      </c>
      <c r="I83" s="11" t="s">
        <v>98</v>
      </c>
      <c r="J83" s="24"/>
      <c r="K83" s="24"/>
    </row>
    <row r="84" customFormat="false" ht="15" hidden="false" customHeight="false" outlineLevel="0" collapsed="false">
      <c r="A84" s="11" t="s">
        <v>406</v>
      </c>
      <c r="B84" s="11" t="s">
        <v>407</v>
      </c>
      <c r="C84" s="11" t="s">
        <v>22</v>
      </c>
      <c r="D84" s="11"/>
      <c r="E84" s="11"/>
      <c r="F84" s="24" t="n">
        <v>2010</v>
      </c>
      <c r="G84" s="25" t="n">
        <v>11199727</v>
      </c>
      <c r="H84" s="11"/>
      <c r="I84" s="11"/>
      <c r="J84" s="24" t="n">
        <v>2020</v>
      </c>
      <c r="K84" s="25" t="n">
        <v>7297611</v>
      </c>
    </row>
    <row r="85" customFormat="false" ht="15" hidden="false" customHeight="false" outlineLevel="0" collapsed="false">
      <c r="A85" s="11" t="s">
        <v>406</v>
      </c>
      <c r="B85" s="11" t="s">
        <v>407</v>
      </c>
      <c r="C85" s="11" t="s">
        <v>26</v>
      </c>
      <c r="D85" s="11"/>
      <c r="E85" s="11"/>
      <c r="F85" s="24"/>
      <c r="G85" s="24"/>
      <c r="H85" s="11"/>
      <c r="I85" s="11"/>
      <c r="J85" s="24"/>
      <c r="K85" s="24"/>
    </row>
    <row r="86" customFormat="false" ht="15" hidden="false" customHeight="false" outlineLevel="0" collapsed="false">
      <c r="A86" s="11" t="s">
        <v>415</v>
      </c>
      <c r="B86" s="11" t="s">
        <v>416</v>
      </c>
      <c r="C86" s="11" t="s">
        <v>18</v>
      </c>
      <c r="D86" s="17" t="n">
        <v>5398384</v>
      </c>
      <c r="E86" s="11" t="s">
        <v>98</v>
      </c>
      <c r="F86" s="24"/>
      <c r="G86" s="24"/>
      <c r="H86" s="17" t="n">
        <v>5447247</v>
      </c>
      <c r="I86" s="11" t="s">
        <v>98</v>
      </c>
      <c r="J86" s="24"/>
      <c r="K86" s="24"/>
    </row>
    <row r="87" customFormat="false" ht="15" hidden="false" customHeight="false" outlineLevel="0" collapsed="false">
      <c r="A87" s="11" t="s">
        <v>415</v>
      </c>
      <c r="B87" s="11" t="s">
        <v>416</v>
      </c>
      <c r="C87" s="11" t="s">
        <v>22</v>
      </c>
      <c r="D87" s="17" t="n">
        <v>68135</v>
      </c>
      <c r="E87" s="11" t="s">
        <v>116</v>
      </c>
      <c r="F87" s="24"/>
      <c r="G87" s="24"/>
      <c r="H87" s="17" t="n">
        <v>201941</v>
      </c>
      <c r="I87" s="11" t="s">
        <v>116</v>
      </c>
      <c r="J87" s="24"/>
      <c r="K87" s="24"/>
    </row>
    <row r="88" customFormat="false" ht="15" hidden="false" customHeight="false" outlineLevel="0" collapsed="false">
      <c r="A88" s="11" t="s">
        <v>415</v>
      </c>
      <c r="B88" s="11" t="s">
        <v>416</v>
      </c>
      <c r="C88" s="11" t="s">
        <v>26</v>
      </c>
      <c r="D88" s="17" t="n">
        <v>69607</v>
      </c>
      <c r="E88" s="11" t="s">
        <v>119</v>
      </c>
      <c r="F88" s="24"/>
      <c r="G88" s="24"/>
      <c r="H88" s="17" t="n">
        <v>82075</v>
      </c>
      <c r="I88" s="11" t="s">
        <v>119</v>
      </c>
      <c r="J88" s="24"/>
      <c r="K88" s="24"/>
    </row>
    <row r="89" customFormat="false" ht="15" hidden="false" customHeight="false" outlineLevel="0" collapsed="false">
      <c r="A89" s="11" t="s">
        <v>421</v>
      </c>
      <c r="B89" s="11" t="s">
        <v>422</v>
      </c>
      <c r="C89" s="11" t="s">
        <v>18</v>
      </c>
      <c r="D89" s="17" t="n">
        <v>2052843</v>
      </c>
      <c r="E89" s="11" t="s">
        <v>98</v>
      </c>
      <c r="F89" s="24"/>
      <c r="G89" s="24"/>
      <c r="H89" s="17" t="n">
        <v>2108079</v>
      </c>
      <c r="I89" s="11" t="s">
        <v>98</v>
      </c>
      <c r="J89" s="24"/>
      <c r="K89" s="24"/>
    </row>
    <row r="90" customFormat="false" ht="15" hidden="false" customHeight="false" outlineLevel="0" collapsed="false">
      <c r="A90" s="11" t="s">
        <v>421</v>
      </c>
      <c r="B90" s="11" t="s">
        <v>422</v>
      </c>
      <c r="C90" s="11" t="s">
        <v>22</v>
      </c>
      <c r="D90" s="17" t="n">
        <v>228588</v>
      </c>
      <c r="E90" s="11" t="s">
        <v>116</v>
      </c>
      <c r="F90" s="24"/>
      <c r="G90" s="24"/>
      <c r="H90" s="17" t="n">
        <v>292824</v>
      </c>
      <c r="I90" s="11" t="s">
        <v>116</v>
      </c>
      <c r="J90" s="24"/>
      <c r="K90" s="24"/>
    </row>
    <row r="91" customFormat="false" ht="15" hidden="false" customHeight="false" outlineLevel="0" collapsed="false">
      <c r="A91" s="11" t="s">
        <v>421</v>
      </c>
      <c r="B91" s="11" t="s">
        <v>422</v>
      </c>
      <c r="C91" s="11" t="s">
        <v>26</v>
      </c>
      <c r="D91" s="17" t="n">
        <v>82746</v>
      </c>
      <c r="E91" s="11" t="s">
        <v>119</v>
      </c>
      <c r="F91" s="24"/>
      <c r="G91" s="24"/>
      <c r="H91" s="17" t="n">
        <v>168651</v>
      </c>
      <c r="I91" s="11" t="s">
        <v>119</v>
      </c>
      <c r="J91" s="24"/>
      <c r="K91" s="24"/>
    </row>
    <row r="92" customFormat="false" ht="15" hidden="false" customHeight="false" outlineLevel="0" collapsed="false">
      <c r="A92" s="11" t="s">
        <v>427</v>
      </c>
      <c r="B92" s="11" t="s">
        <v>428</v>
      </c>
      <c r="C92" s="11" t="s">
        <v>18</v>
      </c>
      <c r="D92" s="17" t="n">
        <v>52995205</v>
      </c>
      <c r="E92" s="11" t="s">
        <v>98</v>
      </c>
      <c r="F92" s="24"/>
      <c r="G92" s="24"/>
      <c r="H92" s="17" t="n">
        <v>61502603</v>
      </c>
      <c r="I92" s="11" t="s">
        <v>98</v>
      </c>
      <c r="J92" s="24"/>
      <c r="K92" s="24"/>
    </row>
    <row r="93" customFormat="false" ht="15" hidden="false" customHeight="false" outlineLevel="0" collapsed="false">
      <c r="A93" s="11" t="s">
        <v>427</v>
      </c>
      <c r="B93" s="11" t="s">
        <v>428</v>
      </c>
      <c r="C93" s="11" t="s">
        <v>22</v>
      </c>
      <c r="D93" s="17" t="n">
        <v>2184408</v>
      </c>
      <c r="E93" s="11" t="s">
        <v>432</v>
      </c>
      <c r="F93" s="24"/>
      <c r="G93" s="24"/>
      <c r="H93" s="11"/>
      <c r="I93" s="11"/>
      <c r="J93" s="24" t="n">
        <v>2020</v>
      </c>
      <c r="K93" s="25" t="n">
        <v>2639076</v>
      </c>
    </row>
    <row r="94" customFormat="false" ht="15" hidden="false" customHeight="false" outlineLevel="0" collapsed="false">
      <c r="A94" s="11" t="s">
        <v>427</v>
      </c>
      <c r="B94" s="11" t="s">
        <v>428</v>
      </c>
      <c r="C94" s="11" t="s">
        <v>26</v>
      </c>
      <c r="D94" s="11"/>
      <c r="E94" s="11"/>
      <c r="F94" s="24"/>
      <c r="G94" s="24"/>
      <c r="H94" s="11"/>
      <c r="I94" s="11"/>
      <c r="J94" s="24"/>
      <c r="K94" s="24"/>
    </row>
    <row r="95" customFormat="false" ht="15" hidden="false" customHeight="false" outlineLevel="0" collapsed="false">
      <c r="A95" s="11" t="s">
        <v>441</v>
      </c>
      <c r="B95" s="11" t="s">
        <v>442</v>
      </c>
      <c r="C95" s="11" t="s">
        <v>18</v>
      </c>
      <c r="D95" s="17" t="n">
        <v>46742697</v>
      </c>
      <c r="E95" s="11" t="s">
        <v>98</v>
      </c>
      <c r="F95" s="24"/>
      <c r="G95" s="24"/>
      <c r="H95" s="17" t="n">
        <v>47443821</v>
      </c>
      <c r="I95" s="11" t="s">
        <v>98</v>
      </c>
      <c r="J95" s="24"/>
      <c r="K95" s="24"/>
    </row>
    <row r="96" customFormat="false" ht="15" hidden="false" customHeight="false" outlineLevel="0" collapsed="false">
      <c r="A96" s="11" t="s">
        <v>441</v>
      </c>
      <c r="B96" s="11" t="s">
        <v>442</v>
      </c>
      <c r="C96" s="11" t="s">
        <v>22</v>
      </c>
      <c r="D96" s="17" t="n">
        <v>6282205</v>
      </c>
      <c r="E96" s="11" t="s">
        <v>116</v>
      </c>
      <c r="F96" s="24"/>
      <c r="G96" s="24"/>
      <c r="H96" s="17" t="n">
        <v>7254797</v>
      </c>
      <c r="I96" s="11" t="s">
        <v>116</v>
      </c>
      <c r="J96" s="24"/>
      <c r="K96" s="24"/>
    </row>
    <row r="97" customFormat="false" ht="15" hidden="false" customHeight="false" outlineLevel="0" collapsed="false">
      <c r="A97" s="11" t="s">
        <v>441</v>
      </c>
      <c r="B97" s="11" t="s">
        <v>442</v>
      </c>
      <c r="C97" s="11" t="s">
        <v>26</v>
      </c>
      <c r="D97" s="17" t="n">
        <v>5312439</v>
      </c>
      <c r="E97" s="11" t="s">
        <v>119</v>
      </c>
      <c r="F97" s="24"/>
      <c r="G97" s="24"/>
      <c r="H97" s="17" t="n">
        <v>5402702</v>
      </c>
      <c r="I97" s="11" t="s">
        <v>119</v>
      </c>
      <c r="J97" s="24"/>
      <c r="K97" s="24"/>
    </row>
    <row r="98" customFormat="false" ht="15" hidden="false" customHeight="false" outlineLevel="0" collapsed="false">
      <c r="A98" s="11" t="s">
        <v>455</v>
      </c>
      <c r="B98" s="11" t="s">
        <v>456</v>
      </c>
      <c r="C98" s="11" t="s">
        <v>18</v>
      </c>
      <c r="D98" s="17" t="n">
        <v>556269</v>
      </c>
      <c r="E98" s="11" t="s">
        <v>98</v>
      </c>
      <c r="F98" s="24"/>
      <c r="G98" s="24"/>
      <c r="H98" s="17" t="n">
        <v>617896</v>
      </c>
      <c r="I98" s="11" t="s">
        <v>98</v>
      </c>
      <c r="J98" s="24"/>
      <c r="K98" s="24"/>
    </row>
    <row r="99" customFormat="false" ht="15" hidden="false" customHeight="false" outlineLevel="0" collapsed="false">
      <c r="A99" s="11" t="s">
        <v>455</v>
      </c>
      <c r="B99" s="11" t="s">
        <v>456</v>
      </c>
      <c r="C99" s="11" t="s">
        <v>22</v>
      </c>
      <c r="D99" s="11"/>
      <c r="E99" s="11"/>
      <c r="F99" s="24" t="n">
        <v>2010</v>
      </c>
      <c r="G99" s="25" t="n">
        <v>39713</v>
      </c>
      <c r="H99" s="11"/>
      <c r="I99" s="11"/>
      <c r="J99" s="24" t="n">
        <v>2020</v>
      </c>
      <c r="K99" s="25" t="n">
        <v>47801</v>
      </c>
    </row>
    <row r="100" customFormat="false" ht="15" hidden="false" customHeight="false" outlineLevel="0" collapsed="false">
      <c r="A100" s="11" t="s">
        <v>455</v>
      </c>
      <c r="B100" s="11" t="s">
        <v>456</v>
      </c>
      <c r="C100" s="11" t="s">
        <v>26</v>
      </c>
      <c r="D100" s="11"/>
      <c r="E100" s="11"/>
      <c r="F100" s="24" t="n">
        <v>2012</v>
      </c>
      <c r="G100" s="25" t="n">
        <v>36393</v>
      </c>
      <c r="H100" s="11"/>
      <c r="I100" s="11"/>
      <c r="J100" s="24" t="n">
        <v>2012</v>
      </c>
      <c r="K100" s="25" t="n">
        <v>36393</v>
      </c>
    </row>
    <row r="101" customFormat="false" ht="15" hidden="false" customHeight="false" outlineLevel="0" collapsed="false">
      <c r="A101" s="11" t="s">
        <v>463</v>
      </c>
      <c r="B101" s="11" t="s">
        <v>464</v>
      </c>
      <c r="C101" s="11" t="s">
        <v>18</v>
      </c>
      <c r="D101" s="17" t="n">
        <v>9449213</v>
      </c>
      <c r="E101" s="11" t="s">
        <v>98</v>
      </c>
      <c r="F101" s="24"/>
      <c r="G101" s="24"/>
      <c r="H101" s="17" t="n">
        <v>10415811</v>
      </c>
      <c r="I101" s="11" t="s">
        <v>98</v>
      </c>
      <c r="J101" s="24"/>
      <c r="K101" s="24"/>
    </row>
    <row r="102" customFormat="false" ht="15" hidden="false" customHeight="false" outlineLevel="0" collapsed="false">
      <c r="A102" s="11" t="s">
        <v>463</v>
      </c>
      <c r="B102" s="11" t="s">
        <v>464</v>
      </c>
      <c r="C102" s="11" t="s">
        <v>22</v>
      </c>
      <c r="D102" s="17" t="n">
        <v>1384111</v>
      </c>
      <c r="E102" s="11" t="s">
        <v>116</v>
      </c>
      <c r="F102" s="24"/>
      <c r="G102" s="24"/>
      <c r="H102" s="17" t="n">
        <v>2045234</v>
      </c>
      <c r="I102" s="11" t="s">
        <v>116</v>
      </c>
      <c r="J102" s="24"/>
      <c r="K102" s="24"/>
    </row>
    <row r="103" customFormat="false" ht="15" hidden="false" customHeight="false" outlineLevel="0" collapsed="false">
      <c r="A103" s="11" t="s">
        <v>463</v>
      </c>
      <c r="B103" s="11" t="s">
        <v>464</v>
      </c>
      <c r="C103" s="11" t="s">
        <v>26</v>
      </c>
      <c r="D103" s="17" t="n">
        <v>622275</v>
      </c>
      <c r="E103" s="11" t="s">
        <v>119</v>
      </c>
      <c r="F103" s="24"/>
      <c r="G103" s="24"/>
      <c r="H103" s="17" t="n">
        <v>892254</v>
      </c>
      <c r="I103" s="11" t="s">
        <v>119</v>
      </c>
      <c r="J103" s="24"/>
      <c r="K103" s="24"/>
    </row>
    <row r="104" customFormat="false" ht="15" hidden="false" customHeight="false" outlineLevel="0" collapsed="false">
      <c r="A104" s="11" t="s">
        <v>470</v>
      </c>
      <c r="B104" s="11" t="s">
        <v>471</v>
      </c>
      <c r="C104" s="11" t="s">
        <v>18</v>
      </c>
      <c r="D104" s="17" t="n">
        <v>7912398</v>
      </c>
      <c r="E104" s="11" t="s">
        <v>98</v>
      </c>
      <c r="F104" s="24"/>
      <c r="G104" s="24"/>
      <c r="H104" s="17" t="n">
        <v>8704546</v>
      </c>
      <c r="I104" s="11" t="s">
        <v>98</v>
      </c>
      <c r="J104" s="24"/>
      <c r="K104" s="24"/>
    </row>
    <row r="105" customFormat="false" ht="15" hidden="false" customHeight="false" outlineLevel="0" collapsed="false">
      <c r="A105" s="11" t="s">
        <v>470</v>
      </c>
      <c r="B105" s="11" t="s">
        <v>471</v>
      </c>
      <c r="C105" s="11" t="s">
        <v>22</v>
      </c>
      <c r="D105" s="17" t="n">
        <v>1940349</v>
      </c>
      <c r="E105" s="11" t="s">
        <v>116</v>
      </c>
      <c r="F105" s="24"/>
      <c r="G105" s="24"/>
      <c r="H105" s="17" t="n">
        <v>2553225</v>
      </c>
      <c r="I105" s="11" t="s">
        <v>116</v>
      </c>
      <c r="J105" s="24"/>
      <c r="K105" s="24"/>
    </row>
    <row r="106" customFormat="false" ht="15" hidden="false" customHeight="false" outlineLevel="0" collapsed="false">
      <c r="A106" s="11" t="s">
        <v>470</v>
      </c>
      <c r="B106" s="11" t="s">
        <v>471</v>
      </c>
      <c r="C106" s="11" t="s">
        <v>26</v>
      </c>
      <c r="D106" s="17" t="n">
        <v>1765750</v>
      </c>
      <c r="E106" s="11" t="s">
        <v>119</v>
      </c>
      <c r="F106" s="24"/>
      <c r="G106" s="24"/>
      <c r="H106" s="17" t="n">
        <v>2208864</v>
      </c>
      <c r="I106" s="11" t="s">
        <v>119</v>
      </c>
      <c r="J106" s="24"/>
      <c r="K106" s="24"/>
    </row>
    <row r="107" customFormat="false" ht="15" hidden="false" customHeight="false" outlineLevel="0" collapsed="false">
      <c r="A107" s="11" t="s">
        <v>480</v>
      </c>
      <c r="B107" s="11" t="s">
        <v>481</v>
      </c>
      <c r="C107" s="11" t="s">
        <v>18</v>
      </c>
      <c r="D107" s="17" t="n">
        <v>23225000</v>
      </c>
      <c r="E107" s="13" t="s">
        <v>484</v>
      </c>
      <c r="F107" s="24"/>
      <c r="G107" s="24"/>
      <c r="H107" s="17" t="n">
        <v>23375314</v>
      </c>
      <c r="I107" s="13" t="s">
        <v>499</v>
      </c>
      <c r="J107" s="24"/>
      <c r="K107" s="24"/>
    </row>
    <row r="108" customFormat="false" ht="15" hidden="false" customHeight="false" outlineLevel="0" collapsed="false">
      <c r="A108" s="11" t="s">
        <v>480</v>
      </c>
      <c r="B108" s="11" t="s">
        <v>481</v>
      </c>
      <c r="C108" s="11" t="s">
        <v>22</v>
      </c>
      <c r="D108" s="11"/>
      <c r="E108" s="11"/>
      <c r="F108" s="24"/>
      <c r="G108" s="24"/>
      <c r="H108" s="11"/>
      <c r="I108" s="11"/>
      <c r="J108" s="24"/>
      <c r="K108" s="24"/>
    </row>
    <row r="109" customFormat="false" ht="15" hidden="false" customHeight="false" outlineLevel="0" collapsed="false">
      <c r="A109" s="11" t="s">
        <v>480</v>
      </c>
      <c r="B109" s="11" t="s">
        <v>481</v>
      </c>
      <c r="C109" s="11" t="s">
        <v>26</v>
      </c>
      <c r="D109" s="11"/>
      <c r="E109" s="11"/>
      <c r="F109" s="24" t="n">
        <v>2012</v>
      </c>
      <c r="G109" s="25" t="n">
        <v>483921</v>
      </c>
      <c r="H109" s="17" t="n">
        <v>752900</v>
      </c>
      <c r="I109" s="11" t="s">
        <v>489</v>
      </c>
      <c r="J109" s="24"/>
      <c r="K109" s="24"/>
    </row>
    <row r="110" customFormat="false" ht="15" hidden="false" customHeight="false" outlineLevel="0" collapsed="false">
      <c r="A110" s="11" t="s">
        <v>510</v>
      </c>
      <c r="B110" s="11" t="s">
        <v>511</v>
      </c>
      <c r="C110" s="11" t="s">
        <v>18</v>
      </c>
      <c r="D110" s="17" t="n">
        <v>69007208</v>
      </c>
      <c r="E110" s="11" t="s">
        <v>98</v>
      </c>
      <c r="F110" s="24"/>
      <c r="G110" s="24"/>
      <c r="H110" s="17" t="n">
        <v>71727332</v>
      </c>
      <c r="I110" s="11" t="s">
        <v>98</v>
      </c>
      <c r="J110" s="24"/>
      <c r="K110" s="24"/>
    </row>
    <row r="111" customFormat="false" ht="15" hidden="false" customHeight="false" outlineLevel="0" collapsed="false">
      <c r="A111" s="11" t="s">
        <v>510</v>
      </c>
      <c r="B111" s="11" t="s">
        <v>511</v>
      </c>
      <c r="C111" s="11" t="s">
        <v>22</v>
      </c>
      <c r="D111" s="11"/>
      <c r="E111" s="11"/>
      <c r="F111" s="24" t="n">
        <v>2010</v>
      </c>
      <c r="G111" s="25" t="n">
        <v>2640454</v>
      </c>
      <c r="H111" s="11"/>
      <c r="I111" s="11"/>
      <c r="J111" s="24" t="n">
        <v>2020</v>
      </c>
      <c r="K111" s="25" t="n">
        <v>3015007</v>
      </c>
    </row>
    <row r="112" customFormat="false" ht="15" hidden="false" customHeight="false" outlineLevel="0" collapsed="false">
      <c r="A112" s="11" t="s">
        <v>510</v>
      </c>
      <c r="B112" s="11" t="s">
        <v>511</v>
      </c>
      <c r="C112" s="11" t="s">
        <v>26</v>
      </c>
      <c r="D112" s="11"/>
      <c r="E112" s="11"/>
      <c r="F112" s="24" t="n">
        <v>2018</v>
      </c>
      <c r="G112" s="25" t="n">
        <v>4898461</v>
      </c>
      <c r="H112" s="11"/>
      <c r="I112" s="11"/>
      <c r="J112" s="24" t="n">
        <v>2018</v>
      </c>
      <c r="K112" s="25" t="n">
        <v>4898461</v>
      </c>
    </row>
    <row r="113" customFormat="false" ht="15" hidden="false" customHeight="false" outlineLevel="0" collapsed="false">
      <c r="A113" s="11" t="s">
        <v>517</v>
      </c>
      <c r="B113" s="11" t="s">
        <v>518</v>
      </c>
      <c r="C113" s="11" t="s">
        <v>18</v>
      </c>
      <c r="D113" s="17" t="n">
        <v>74223629</v>
      </c>
      <c r="E113" s="11" t="s">
        <v>98</v>
      </c>
      <c r="F113" s="24"/>
      <c r="G113" s="24"/>
      <c r="H113" s="17" t="n">
        <v>84147318</v>
      </c>
      <c r="I113" s="11" t="s">
        <v>98</v>
      </c>
      <c r="J113" s="24"/>
      <c r="K113" s="24"/>
    </row>
    <row r="114" customFormat="false" ht="15" hidden="false" customHeight="false" outlineLevel="0" collapsed="false">
      <c r="A114" s="11" t="s">
        <v>517</v>
      </c>
      <c r="B114" s="11" t="s">
        <v>518</v>
      </c>
      <c r="C114" s="11" t="s">
        <v>22</v>
      </c>
      <c r="D114" s="11"/>
      <c r="E114" s="11"/>
      <c r="F114" s="24" t="n">
        <v>2014</v>
      </c>
      <c r="G114" s="25" t="n">
        <v>1459775</v>
      </c>
      <c r="H114" s="17" t="n">
        <v>3141351</v>
      </c>
      <c r="I114" s="11" t="s">
        <v>101</v>
      </c>
      <c r="J114" s="24"/>
      <c r="K114" s="24"/>
    </row>
    <row r="115" customFormat="false" ht="15" hidden="false" customHeight="false" outlineLevel="0" collapsed="false">
      <c r="A115" s="11" t="s">
        <v>517</v>
      </c>
      <c r="B115" s="11" t="s">
        <v>518</v>
      </c>
      <c r="C115" s="11" t="s">
        <v>26</v>
      </c>
      <c r="D115" s="17" t="n">
        <v>190531</v>
      </c>
      <c r="E115" s="11" t="s">
        <v>152</v>
      </c>
      <c r="F115" s="24"/>
      <c r="G115" s="24"/>
      <c r="H115" s="17" t="n">
        <v>1792036</v>
      </c>
      <c r="I115" s="11" t="s">
        <v>152</v>
      </c>
      <c r="J115" s="24"/>
      <c r="K115" s="24"/>
    </row>
    <row r="116" customFormat="false" ht="15" hidden="false" customHeight="false" outlineLevel="0" collapsed="false">
      <c r="A116" s="11" t="s">
        <v>537</v>
      </c>
      <c r="B116" s="11" t="s">
        <v>538</v>
      </c>
      <c r="C116" s="11" t="s">
        <v>18</v>
      </c>
      <c r="D116" s="17" t="n">
        <v>63258810</v>
      </c>
      <c r="E116" s="11" t="s">
        <v>98</v>
      </c>
      <c r="F116" s="24"/>
      <c r="G116" s="24"/>
      <c r="H116" s="17" t="n">
        <v>66978000</v>
      </c>
      <c r="I116" s="11" t="s">
        <v>98</v>
      </c>
      <c r="J116" s="24"/>
      <c r="K116" s="24"/>
    </row>
    <row r="117" customFormat="false" ht="15" hidden="false" customHeight="false" outlineLevel="0" collapsed="false">
      <c r="A117" s="11" t="s">
        <v>537</v>
      </c>
      <c r="B117" s="11" t="s">
        <v>538</v>
      </c>
      <c r="C117" s="11" t="s">
        <v>22</v>
      </c>
      <c r="D117" s="17" t="n">
        <v>7342547</v>
      </c>
      <c r="E117" s="11" t="s">
        <v>116</v>
      </c>
      <c r="F117" s="24"/>
      <c r="G117" s="24"/>
      <c r="H117" s="17" t="n">
        <v>9600000</v>
      </c>
      <c r="I117" s="11" t="s">
        <v>550</v>
      </c>
      <c r="J117" s="24"/>
      <c r="K117" s="24"/>
    </row>
    <row r="118" customFormat="false" ht="15" hidden="false" customHeight="false" outlineLevel="0" collapsed="false">
      <c r="A118" s="11" t="s">
        <v>537</v>
      </c>
      <c r="B118" s="11" t="s">
        <v>538</v>
      </c>
      <c r="C118" s="11" t="s">
        <v>26</v>
      </c>
      <c r="D118" s="17" t="n">
        <v>4546862</v>
      </c>
      <c r="E118" s="11" t="s">
        <v>119</v>
      </c>
      <c r="F118" s="24"/>
      <c r="G118" s="24"/>
      <c r="H118" s="17" t="n">
        <v>6000000</v>
      </c>
      <c r="I118" s="11" t="s">
        <v>550</v>
      </c>
      <c r="J118" s="24"/>
      <c r="K118" s="24"/>
    </row>
    <row r="119" customFormat="false" ht="15" hidden="false" customHeight="false" outlineLevel="0" collapsed="false">
      <c r="A119" s="11" t="s">
        <v>557</v>
      </c>
      <c r="B119" s="11" t="s">
        <v>558</v>
      </c>
      <c r="C119" s="11" t="s">
        <v>18</v>
      </c>
      <c r="D119" s="17" t="n">
        <v>311839461</v>
      </c>
      <c r="E119" s="11" t="s">
        <v>98</v>
      </c>
      <c r="F119" s="24"/>
      <c r="G119" s="24"/>
      <c r="H119" s="17" t="n">
        <v>332100166</v>
      </c>
      <c r="I119" s="11" t="s">
        <v>98</v>
      </c>
      <c r="J119" s="24"/>
      <c r="K119" s="24"/>
    </row>
    <row r="120" customFormat="false" ht="15" hidden="false" customHeight="false" outlineLevel="0" collapsed="false">
      <c r="A120" s="11" t="s">
        <v>557</v>
      </c>
      <c r="B120" s="11" t="s">
        <v>558</v>
      </c>
      <c r="C120" s="11" t="s">
        <v>22</v>
      </c>
      <c r="D120" s="17" t="n">
        <v>40381570</v>
      </c>
      <c r="E120" s="11" t="s">
        <v>101</v>
      </c>
      <c r="F120" s="24"/>
      <c r="G120" s="24"/>
      <c r="H120" s="17" t="n">
        <v>45272945</v>
      </c>
      <c r="I120" s="11" t="s">
        <v>101</v>
      </c>
      <c r="J120" s="24"/>
      <c r="K120" s="24"/>
    </row>
    <row r="121" customFormat="false" ht="15" hidden="false" customHeight="false" outlineLevel="0" collapsed="false">
      <c r="A121" s="11" t="s">
        <v>557</v>
      </c>
      <c r="B121" s="11" t="s">
        <v>558</v>
      </c>
      <c r="C121" s="11" t="s">
        <v>26</v>
      </c>
      <c r="D121" s="17" t="n">
        <v>22225536</v>
      </c>
      <c r="E121" s="11" t="s">
        <v>152</v>
      </c>
      <c r="F121" s="24"/>
      <c r="G121" s="24"/>
      <c r="H121" s="17" t="n">
        <v>22164662</v>
      </c>
      <c r="I121" s="11" t="s">
        <v>152</v>
      </c>
      <c r="J121" s="24"/>
      <c r="K121" s="24"/>
    </row>
    <row r="123" customFormat="false" ht="15" hidden="false" customHeight="false" outlineLevel="0" collapsed="false">
      <c r="A123" s="2" t="s">
        <v>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2026-08-16T18:47:16Z</dcterms:created>
  <dc:creator>openpyxl</dc:creator>
  <dc:description/>
  <dc:language>en-US</dc:language>
  <cp:lastModifiedBy/>
  <dcterms:modified xsi:type="dcterms:W3CDTF">2026-08-16T18:47:17Z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